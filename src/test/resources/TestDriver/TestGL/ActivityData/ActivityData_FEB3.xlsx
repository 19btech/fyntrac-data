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GL\ActivityData\"/>
    </mc:Choice>
  </mc:AlternateContent>
  <xr:revisionPtr revIDLastSave="0" documentId="13_ncr:1_{57767F63-2BEF-42D3-BF66-F1B751572C23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InstrumentAttribute" sheetId="9" r:id="rId1"/>
    <sheet name="TransactionActivity" sheetId="3" r:id="rId2"/>
    <sheet name="GLRule" sheetId="7" state="hidden" r:id="rId3"/>
    <sheet name="Sheet1" sheetId="8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4" i="9" l="1"/>
  <c r="N3" i="9"/>
  <c r="N2" i="9"/>
  <c r="F25" i="8"/>
  <c r="E25" i="8"/>
  <c r="F24" i="8"/>
  <c r="E24" i="8"/>
  <c r="D24" i="8"/>
  <c r="C24" i="8"/>
  <c r="D23" i="8"/>
  <c r="C23" i="8"/>
  <c r="D22" i="8"/>
  <c r="D25" i="8" s="1"/>
  <c r="C22" i="8"/>
  <c r="C25" i="8" s="1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<sst xmlns="http://schemas.openxmlformats.org/spreadsheetml/2006/main" count="143" uniqueCount="63">
  <si>
    <t>Postingdate</t>
  </si>
  <si>
    <t>TransactionDate</t>
  </si>
  <si>
    <t>InstrumentId</t>
  </si>
  <si>
    <t>Amount</t>
  </si>
  <si>
    <t>AtrributeId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</si>
  <si>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</si>
  <si>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</si>
  <si>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</si>
  <si>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</si>
  <si>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</si>
  <si>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</si>
  <si>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</si>
  <si>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</si>
  <si>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</si>
  <si>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</si>
  <si>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</si>
  <si>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</si>
  <si>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</si>
  <si>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</si>
  <si>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</si>
  <si>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</si>
  <si>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</si>
  <si>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</si>
  <si>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</si>
  <si>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</si>
  <si>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</si>
  <si>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</si>
  <si>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</si>
  <si>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</si>
  <si>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</si>
  <si>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</si>
  <si>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</si>
  <si>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</si>
  <si>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</si>
  <si>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</si>
  <si>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</si>
  <si>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</si>
  <si>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LOAN1</t>
  </si>
  <si>
    <t>LOAN2</t>
  </si>
  <si>
    <t>LOAN3</t>
  </si>
  <si>
    <t>TransactionName</t>
  </si>
  <si>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</si>
  <si>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</si>
  <si>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</si>
  <si>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</si>
  <si>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</si>
  <si>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</si>
  <si>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</si>
  <si>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</si>
  <si>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</si>
  <si>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</si>
  <si>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</si>
  <si>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</si>
  <si>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PRODUCT_TYPE</t>
  </si>
  <si>
    <t>STATUS_AS_OF</t>
  </si>
  <si>
    <t>INTEREST_RECEIVABLE_CONSUMER</t>
  </si>
  <si>
    <t>NEXT_PAYMENT_DUE_DATE</t>
  </si>
  <si>
    <t>LAST_PAYMENT_MADE_DATE</t>
  </si>
  <si>
    <t>PORTFOLIO</t>
  </si>
  <si>
    <t>actual_360</t>
  </si>
  <si>
    <t>current</t>
  </si>
  <si>
    <t>RAF</t>
  </si>
  <si>
    <t>Servicing_Interest_Accrual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</si>
</sst>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 applyProtection="1"/>
    <xf numFmtId="0" fontId="1" fillId="2" borderId="1" xfId="1" applyFont="1" applyFill="1" applyBorder="1" applyAlignment="1" applyProtection="1"/>
    <xf numFmtId="0" fontId="1" fillId="0" borderId="1" xfId="1" applyFont="1" applyBorder="1" applyAlignment="1" applyProtection="1"/>
    <xf numFmtId="14" fontId="0" fillId="2" borderId="1" xfId="1" applyNumberFormat="1" applyFont="1" applyFill="1" applyBorder="1" applyAlignment="1" applyProtection="1"/>
    <xf numFmtId="0" fontId="0" fillId="0" borderId="1" xfId="1" applyFont="1" applyBorder="1" applyAlignment="1" applyProtection="1"/>
    <xf numFmtId="164" fontId="0" fillId="0" borderId="1" xfId="1" applyNumberFormat="1" applyFont="1" applyBorder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1" fillId="2" borderId="0" xfId="1" applyFont="1" applyFill="1"/>
    <xf numFmtId="0" fontId="1" fillId="0" borderId="0" xfId="1" applyFont="1"/>
    <xf numFmtId="0" fontId="1" fillId="3" borderId="0" xfId="1" applyFont="1" applyFill="1"/>
    <xf numFmtId="0" fontId="3" fillId="0" borderId="0" xfId="1" applyFont="1"/>
    <xf numFmtId="14" fontId="0" fillId="2" borderId="0" xfId="1" applyNumberFormat="1" applyFont="1" applyFill="1"/>
    <xf numFmtId="14" fontId="0" fillId="0" borderId="0" xfId="1" applyNumberFormat="1" applyFont="1"/>
    <xf numFmtId="0" fontId="0" fillId="0" borderId="0" xfId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E8A9-64A7-4012-BD20-59325A891476}">
  <sheetPr>
    <tabColor rgb="FFFFFF00"/>
  </sheetPr>
  <dimension ref="A1:R4"/>
  <sheetViews>
    <sheetView tabSelected="1" zoomScale="120" zoomScaleNormal="120" workbookViewId="0">
      <selection activeCell="D20" sqref="D20"/>
    </sheetView>
  </sheetViews>
  <sheetFormatPr defaultColWidth="11.5703125" defaultRowHeight="15" customHeight="1" x14ac:dyDescent="0.25"/>
  <cols>
    <col min="5" max="5" width="15.85546875" customWidth="1"/>
  </cols>
  <sheetData>
    <row r="1" spans="1:18" x14ac:dyDescent="0.25">
      <c r="A1" s="10" t="s">
        <v>41</v>
      </c>
      <c r="B1" s="11" t="s">
        <v>42</v>
      </c>
      <c r="C1" s="11" t="s">
        <v>43</v>
      </c>
      <c r="D1" s="11" t="s">
        <v>44</v>
      </c>
      <c r="E1" s="12" t="s">
        <v>45</v>
      </c>
      <c r="F1" s="12" t="s">
        <v>46</v>
      </c>
      <c r="G1" s="12" t="s">
        <v>47</v>
      </c>
      <c r="H1" s="12" t="s">
        <v>48</v>
      </c>
      <c r="I1" s="12" t="s">
        <v>49</v>
      </c>
      <c r="J1" s="12" t="s">
        <v>50</v>
      </c>
      <c r="K1" s="12" t="s">
        <v>51</v>
      </c>
      <c r="L1" s="12" t="s">
        <v>52</v>
      </c>
      <c r="M1" s="13" t="s">
        <v>53</v>
      </c>
      <c r="N1" s="12" t="s">
        <v>54</v>
      </c>
      <c r="O1" s="12" t="s">
        <v>55</v>
      </c>
      <c r="P1" s="12" t="s">
        <v>56</v>
      </c>
      <c r="Q1" s="12" t="s">
        <v>57</v>
      </c>
      <c r="R1" s="13" t="s">
        <v>58</v>
      </c>
    </row>
    <row r="2" spans="1:18" x14ac:dyDescent="0.25">
      <c r="A2" s="14">
        <v>44620</v>
      </c>
      <c r="B2" s="14">
        <v>44620</v>
      </c>
      <c r="C2" s="16">
        <v>1</v>
      </c>
      <c r="D2" s="16" t="s">
        <v>37</v>
      </c>
      <c r="E2" s="16">
        <v>100000</v>
      </c>
      <c r="F2" s="16" t="s">
        <v>59</v>
      </c>
      <c r="G2" s="16">
        <v>10</v>
      </c>
      <c r="H2" s="16">
        <v>12</v>
      </c>
      <c r="I2" s="15">
        <v>44592</v>
      </c>
      <c r="J2" s="15">
        <v>44957</v>
      </c>
      <c r="K2" s="16">
        <v>100000</v>
      </c>
      <c r="L2" s="16" t="s">
        <v>60</v>
      </c>
      <c r="M2" s="16">
        <v>103</v>
      </c>
      <c r="N2" s="15">
        <f>A2</f>
        <v>44620</v>
      </c>
      <c r="O2" s="16">
        <v>100</v>
      </c>
      <c r="P2" s="15">
        <v>45350</v>
      </c>
      <c r="Q2" s="15">
        <v>45322</v>
      </c>
      <c r="R2" t="s">
        <v>61</v>
      </c>
    </row>
    <row r="3" spans="1:18" ht="15" customHeight="1" x14ac:dyDescent="0.25">
      <c r="A3" s="14">
        <v>44620</v>
      </c>
      <c r="B3" s="14">
        <v>44620</v>
      </c>
      <c r="C3" s="16">
        <v>1</v>
      </c>
      <c r="D3" s="16" t="s">
        <v>38</v>
      </c>
      <c r="E3" s="16">
        <v>150000</v>
      </c>
      <c r="F3" s="16" t="s">
        <v>59</v>
      </c>
      <c r="G3" s="16">
        <v>8</v>
      </c>
      <c r="H3" s="16">
        <v>12</v>
      </c>
      <c r="I3" s="15">
        <v>44592</v>
      </c>
      <c r="J3" s="15">
        <v>44957</v>
      </c>
      <c r="K3" s="16">
        <v>150000</v>
      </c>
      <c r="L3" s="16" t="s">
        <v>60</v>
      </c>
      <c r="M3" s="16">
        <v>103</v>
      </c>
      <c r="N3" s="15">
        <f>A3</f>
        <v>44620</v>
      </c>
      <c r="O3" s="16">
        <v>200</v>
      </c>
      <c r="P3" s="15">
        <v>45350</v>
      </c>
      <c r="Q3" s="15">
        <v>45322</v>
      </c>
      <c r="R3" t="s">
        <v>61</v>
      </c>
    </row>
    <row r="4" spans="1:18" ht="15" customHeight="1" x14ac:dyDescent="0.25">
      <c r="A4" s="14">
        <v>44620</v>
      </c>
      <c r="B4" s="14">
        <v>44620</v>
      </c>
      <c r="C4" s="16">
        <v>1</v>
      </c>
      <c r="D4" s="16" t="s">
        <v>39</v>
      </c>
      <c r="E4" s="16">
        <v>200000</v>
      </c>
      <c r="F4" s="16" t="s">
        <v>59</v>
      </c>
      <c r="G4" s="16">
        <v>2</v>
      </c>
      <c r="H4" s="16">
        <v>12</v>
      </c>
      <c r="I4" s="15">
        <v>44592</v>
      </c>
      <c r="J4" s="15">
        <v>44957</v>
      </c>
      <c r="K4" s="16">
        <v>200000</v>
      </c>
      <c r="L4" s="16" t="s">
        <v>60</v>
      </c>
      <c r="M4" s="16">
        <v>103</v>
      </c>
      <c r="N4" s="15">
        <f>A4</f>
        <v>44620</v>
      </c>
      <c r="O4" s="16">
        <v>300</v>
      </c>
      <c r="P4" s="15">
        <v>45350</v>
      </c>
      <c r="Q4" s="15">
        <v>45322</v>
      </c>
      <c r="R4" t="s">
        <v>61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4"/>
  <sheetViews>
    <sheetView zoomScaleNormal="100" workbookViewId="0">
      <selection activeCell="E4" sqref="E4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40</v>
      </c>
      <c r="E1" s="3" t="s">
        <v>3</v>
      </c>
      <c r="F1" s="3" t="s">
        <v>4</v>
      </c>
    </row>
    <row r="2" spans="1:6" x14ac:dyDescent="0.25">
      <c r="A2" s="4">
        <v>44620</v>
      </c>
      <c r="B2" s="4">
        <v>44620</v>
      </c>
      <c r="C2" s="5" t="s">
        <v>37</v>
      </c>
      <c r="D2" s="16" t="s">
        <v>62</v>
      </c>
      <c r="E2" s="6">
        <v>210</v>
      </c>
      <c r="F2" s="5">
        <v>1</v>
      </c>
    </row>
    <row r="3" spans="1:6" ht="15" customHeight="1" x14ac:dyDescent="0.25">
      <c r="A3" s="4">
        <v>44620</v>
      </c>
      <c r="B3" s="4">
        <v>44620</v>
      </c>
      <c r="C3" s="5" t="s">
        <v>38</v>
      </c>
      <c r="D3" s="16" t="s">
        <v>62</v>
      </c>
      <c r="E3" s="6">
        <v>310</v>
      </c>
      <c r="F3" s="5">
        <v>1</v>
      </c>
    </row>
    <row r="4" spans="1:6" ht="15" customHeight="1" x14ac:dyDescent="0.25">
      <c r="A4" s="4">
        <v>44620</v>
      </c>
      <c r="B4" s="4">
        <v>44620</v>
      </c>
      <c r="C4" s="5" t="s">
        <v>39</v>
      </c>
      <c r="D4" s="16" t="s">
        <v>62</v>
      </c>
      <c r="E4" s="6">
        <v>410</v>
      </c>
      <c r="F4" s="5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7" t="s">
        <v>5</v>
      </c>
    </row>
    <row r="2" spans="1:6" x14ac:dyDescent="0.25">
      <c r="A2" s="1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25">
      <c r="A4" s="1" t="str">
        <f t="shared" si="0"/>
        <v>Revenueamount&gt;1Cr</v>
      </c>
      <c r="B4" s="1">
        <v>2</v>
      </c>
      <c r="C4" s="8" t="s">
        <v>12</v>
      </c>
      <c r="D4" s="8" t="s">
        <v>13</v>
      </c>
      <c r="E4" s="8" t="s">
        <v>16</v>
      </c>
      <c r="F4" s="9" t="s">
        <v>15</v>
      </c>
    </row>
    <row r="5" spans="1:6" x14ac:dyDescent="0.25">
      <c r="A5" s="1" t="str">
        <f t="shared" si="0"/>
        <v>Revenueamount&lt;1Dr</v>
      </c>
      <c r="B5" s="1">
        <v>3</v>
      </c>
      <c r="C5" s="8" t="s">
        <v>12</v>
      </c>
      <c r="D5" s="8" t="s">
        <v>17</v>
      </c>
      <c r="E5" s="8" t="s">
        <v>14</v>
      </c>
      <c r="F5" s="9" t="s">
        <v>18</v>
      </c>
    </row>
    <row r="6" spans="1:6" x14ac:dyDescent="0.25">
      <c r="A6" s="1" t="str">
        <f t="shared" si="0"/>
        <v>Revenueamount&lt;1Cr</v>
      </c>
      <c r="B6" s="1">
        <v>4</v>
      </c>
      <c r="C6" s="1" t="s">
        <v>12</v>
      </c>
      <c r="D6" s="1" t="s">
        <v>17</v>
      </c>
      <c r="E6" s="1" t="s">
        <v>16</v>
      </c>
      <c r="F6" s="1" t="s">
        <v>18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19</v>
      </c>
      <c r="D7" s="1" t="s">
        <v>13</v>
      </c>
      <c r="E7" s="1" t="s">
        <v>14</v>
      </c>
      <c r="F7" s="1" t="s">
        <v>15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19</v>
      </c>
      <c r="D8" s="1" t="s">
        <v>13</v>
      </c>
      <c r="E8" s="1" t="s">
        <v>16</v>
      </c>
      <c r="F8" s="1" t="s">
        <v>15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19</v>
      </c>
      <c r="D9" s="1" t="s">
        <v>17</v>
      </c>
      <c r="E9" s="1" t="s">
        <v>14</v>
      </c>
      <c r="F9" s="1" t="s">
        <v>18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19</v>
      </c>
      <c r="D10" s="1" t="s">
        <v>17</v>
      </c>
      <c r="E10" s="1" t="s">
        <v>16</v>
      </c>
      <c r="F10" s="1" t="s">
        <v>18</v>
      </c>
    </row>
    <row r="11" spans="1:6" x14ac:dyDescent="0.25">
      <c r="A11" s="1" t="str">
        <f t="shared" si="0"/>
        <v>A/Ramount&gt;1Dr</v>
      </c>
      <c r="B11" s="1">
        <v>9</v>
      </c>
      <c r="C11" s="1" t="s">
        <v>20</v>
      </c>
      <c r="D11" s="1" t="s">
        <v>13</v>
      </c>
      <c r="E11" s="1" t="s">
        <v>14</v>
      </c>
      <c r="F11" s="1" t="s">
        <v>15</v>
      </c>
    </row>
    <row r="12" spans="1:6" x14ac:dyDescent="0.25">
      <c r="A12" s="1" t="str">
        <f t="shared" si="0"/>
        <v>A/Ramount&gt;1Cr</v>
      </c>
      <c r="B12" s="1">
        <v>10</v>
      </c>
      <c r="C12" s="1" t="s">
        <v>20</v>
      </c>
      <c r="D12" s="1" t="s">
        <v>13</v>
      </c>
      <c r="E12" s="1" t="s">
        <v>16</v>
      </c>
      <c r="F12" s="1" t="s">
        <v>15</v>
      </c>
    </row>
    <row r="13" spans="1:6" x14ac:dyDescent="0.25">
      <c r="A13" s="1" t="str">
        <f t="shared" si="0"/>
        <v>A/Ramount&lt;1Dr</v>
      </c>
      <c r="B13" s="1">
        <v>11</v>
      </c>
      <c r="C13" s="1" t="s">
        <v>20</v>
      </c>
      <c r="D13" s="1" t="s">
        <v>17</v>
      </c>
      <c r="E13" s="1" t="s">
        <v>14</v>
      </c>
      <c r="F13" s="1" t="s">
        <v>18</v>
      </c>
    </row>
    <row r="14" spans="1:6" x14ac:dyDescent="0.25">
      <c r="A14" s="1" t="str">
        <f t="shared" si="0"/>
        <v>A/Ramount&lt;1Cr</v>
      </c>
      <c r="B14" s="1">
        <v>12</v>
      </c>
      <c r="C14" s="1" t="s">
        <v>20</v>
      </c>
      <c r="D14" s="1" t="s">
        <v>17</v>
      </c>
      <c r="E14" s="1" t="s">
        <v>16</v>
      </c>
      <c r="F14" s="1" t="s">
        <v>18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9" customWidth="1"/>
  </cols>
  <sheetData>
    <row r="1" spans="2:15" x14ac:dyDescent="0.25">
      <c r="B1" s="1">
        <v>1</v>
      </c>
      <c r="D1" s="1" t="s">
        <v>14</v>
      </c>
      <c r="E1" s="1" t="s">
        <v>16</v>
      </c>
      <c r="G1" s="7" t="s">
        <v>21</v>
      </c>
      <c r="H1" s="7" t="s">
        <v>22</v>
      </c>
      <c r="I1" s="7"/>
    </row>
    <row r="2" spans="2:15" x14ac:dyDescent="0.25">
      <c r="C2" s="1" t="s">
        <v>23</v>
      </c>
      <c r="D2" s="1">
        <v>100</v>
      </c>
      <c r="G2" s="1" t="s">
        <v>24</v>
      </c>
      <c r="H2" s="9" t="s">
        <v>24</v>
      </c>
    </row>
    <row r="3" spans="2:15" x14ac:dyDescent="0.25">
      <c r="C3" s="1" t="s">
        <v>25</v>
      </c>
      <c r="E3" s="1">
        <v>-100</v>
      </c>
      <c r="G3" s="1" t="s">
        <v>12</v>
      </c>
      <c r="H3" s="9" t="s">
        <v>24</v>
      </c>
    </row>
    <row r="5" spans="2:15" x14ac:dyDescent="0.25">
      <c r="B5" s="1">
        <v>2</v>
      </c>
      <c r="C5" s="9" t="str">
        <f>C2</f>
        <v>Def</v>
      </c>
      <c r="D5" s="9">
        <v>100</v>
      </c>
      <c r="E5" s="9"/>
      <c r="G5" s="9" t="s">
        <v>24</v>
      </c>
      <c r="H5" s="9" t="s">
        <v>24</v>
      </c>
    </row>
    <row r="6" spans="2:15" x14ac:dyDescent="0.25">
      <c r="C6" s="9" t="s">
        <v>25</v>
      </c>
      <c r="D6" s="9"/>
      <c r="E6" s="9">
        <v>-100</v>
      </c>
      <c r="G6" s="9" t="s">
        <v>12</v>
      </c>
      <c r="H6" s="9" t="s">
        <v>24</v>
      </c>
    </row>
    <row r="8" spans="2:15" x14ac:dyDescent="0.25">
      <c r="B8" s="1">
        <v>3</v>
      </c>
      <c r="C8" s="9" t="s">
        <v>25</v>
      </c>
      <c r="D8" s="9">
        <v>200</v>
      </c>
      <c r="E8" s="9"/>
      <c r="F8" s="9"/>
      <c r="G8" s="9" t="s">
        <v>12</v>
      </c>
      <c r="H8" s="9" t="s">
        <v>26</v>
      </c>
    </row>
    <row r="9" spans="2:15" x14ac:dyDescent="0.25">
      <c r="C9" s="9" t="s">
        <v>23</v>
      </c>
      <c r="D9" s="9"/>
      <c r="E9" s="9">
        <v>-200</v>
      </c>
      <c r="F9" s="9"/>
      <c r="G9" s="9" t="s">
        <v>24</v>
      </c>
      <c r="H9" s="9" t="s">
        <v>26</v>
      </c>
    </row>
    <row r="10" spans="2:15" x14ac:dyDescent="0.25">
      <c r="J10" s="9" t="s">
        <v>27</v>
      </c>
      <c r="K10" s="9" t="s">
        <v>28</v>
      </c>
      <c r="L10" s="9" t="s">
        <v>29</v>
      </c>
      <c r="M10" s="9" t="s">
        <v>30</v>
      </c>
      <c r="N10" s="9" t="s">
        <v>31</v>
      </c>
      <c r="O10" s="9" t="s">
        <v>32</v>
      </c>
    </row>
    <row r="11" spans="2:15" x14ac:dyDescent="0.25">
      <c r="B11" s="1">
        <v>3</v>
      </c>
      <c r="C11" s="1" t="s">
        <v>23</v>
      </c>
      <c r="D11" s="1">
        <v>200</v>
      </c>
      <c r="G11" s="9" t="s">
        <v>33</v>
      </c>
      <c r="H11" s="9" t="s">
        <v>26</v>
      </c>
      <c r="M11" s="1">
        <v>100</v>
      </c>
      <c r="O11" s="1">
        <v>100</v>
      </c>
    </row>
    <row r="12" spans="2:15" x14ac:dyDescent="0.25">
      <c r="C12" s="1" t="s">
        <v>25</v>
      </c>
      <c r="E12" s="1">
        <v>-200</v>
      </c>
      <c r="G12" s="9" t="str">
        <f>G8</f>
        <v>Revenue</v>
      </c>
      <c r="H12" s="9" t="s">
        <v>26</v>
      </c>
      <c r="J12" s="9">
        <f>O11</f>
        <v>100</v>
      </c>
      <c r="M12" s="1">
        <v>100</v>
      </c>
      <c r="O12" s="9">
        <f>J12+M12</f>
        <v>200</v>
      </c>
    </row>
    <row r="13" spans="2:15" x14ac:dyDescent="0.25">
      <c r="J13" s="9">
        <f>O12</f>
        <v>200</v>
      </c>
      <c r="L13" s="1">
        <v>1200</v>
      </c>
      <c r="M13" s="1">
        <v>100</v>
      </c>
      <c r="N13" s="9">
        <f>L13-J13-M13</f>
        <v>900</v>
      </c>
      <c r="O13" s="1">
        <v>0</v>
      </c>
    </row>
    <row r="14" spans="2:15" x14ac:dyDescent="0.25">
      <c r="B14" s="1">
        <v>3</v>
      </c>
      <c r="C14" s="1" t="s">
        <v>34</v>
      </c>
      <c r="D14" s="1">
        <v>1200</v>
      </c>
      <c r="G14" s="1" t="s">
        <v>35</v>
      </c>
      <c r="H14" s="9" t="s">
        <v>26</v>
      </c>
      <c r="K14" s="9">
        <f t="shared" ref="K14:K22" si="0">N13</f>
        <v>900</v>
      </c>
      <c r="M14" s="9">
        <v>100</v>
      </c>
      <c r="N14" s="9">
        <f t="shared" ref="N14:N22" si="1">K14-M14</f>
        <v>800</v>
      </c>
    </row>
    <row r="15" spans="2:15" x14ac:dyDescent="0.25">
      <c r="C15" s="1" t="s">
        <v>36</v>
      </c>
      <c r="E15" s="1">
        <v>-1200</v>
      </c>
      <c r="G15" s="9" t="str">
        <f>G11</f>
        <v>Def Revenue</v>
      </c>
      <c r="H15" s="9" t="s">
        <v>26</v>
      </c>
      <c r="K15" s="9">
        <f t="shared" si="0"/>
        <v>800</v>
      </c>
      <c r="L15" s="9"/>
      <c r="M15" s="9">
        <v>100</v>
      </c>
      <c r="N15" s="9">
        <f t="shared" si="1"/>
        <v>700</v>
      </c>
    </row>
    <row r="16" spans="2:15" x14ac:dyDescent="0.25">
      <c r="K16" s="9">
        <f t="shared" si="0"/>
        <v>700</v>
      </c>
      <c r="L16" s="9"/>
      <c r="M16" s="9">
        <v>100</v>
      </c>
      <c r="N16" s="9">
        <f t="shared" si="1"/>
        <v>600</v>
      </c>
    </row>
    <row r="17" spans="2:14" x14ac:dyDescent="0.25">
      <c r="B17" s="1">
        <v>3</v>
      </c>
      <c r="C17" s="1" t="s">
        <v>23</v>
      </c>
      <c r="D17" s="1">
        <v>100</v>
      </c>
      <c r="G17" s="9" t="s">
        <v>33</v>
      </c>
      <c r="H17" s="9" t="s">
        <v>26</v>
      </c>
      <c r="K17" s="9">
        <f t="shared" si="0"/>
        <v>600</v>
      </c>
      <c r="L17" s="9"/>
      <c r="M17" s="9">
        <v>100</v>
      </c>
      <c r="N17" s="9">
        <f t="shared" si="1"/>
        <v>500</v>
      </c>
    </row>
    <row r="18" spans="2:14" x14ac:dyDescent="0.25">
      <c r="C18" s="1" t="s">
        <v>25</v>
      </c>
      <c r="E18" s="1">
        <v>-100</v>
      </c>
      <c r="G18" s="9" t="str">
        <f>G12</f>
        <v>Revenue</v>
      </c>
      <c r="H18" s="9" t="s">
        <v>26</v>
      </c>
      <c r="K18" s="9">
        <f t="shared" si="0"/>
        <v>500</v>
      </c>
      <c r="L18" s="9"/>
      <c r="M18" s="9">
        <v>100</v>
      </c>
      <c r="N18" s="9">
        <f t="shared" si="1"/>
        <v>400</v>
      </c>
    </row>
    <row r="19" spans="2:14" x14ac:dyDescent="0.25">
      <c r="K19" s="9">
        <f t="shared" si="0"/>
        <v>400</v>
      </c>
      <c r="L19" s="9"/>
      <c r="M19" s="9">
        <v>100</v>
      </c>
      <c r="N19" s="9">
        <f t="shared" si="1"/>
        <v>300</v>
      </c>
    </row>
    <row r="20" spans="2:14" x14ac:dyDescent="0.25">
      <c r="K20" s="9">
        <f t="shared" si="0"/>
        <v>300</v>
      </c>
      <c r="L20" s="9"/>
      <c r="M20" s="9">
        <v>100</v>
      </c>
      <c r="N20" s="9">
        <f t="shared" si="1"/>
        <v>200</v>
      </c>
    </row>
    <row r="21" spans="2:14" x14ac:dyDescent="0.25">
      <c r="C21" s="1" t="s">
        <v>24</v>
      </c>
      <c r="D21" s="1" t="s">
        <v>12</v>
      </c>
      <c r="E21" s="1" t="s">
        <v>35</v>
      </c>
      <c r="F21" s="1" t="s">
        <v>33</v>
      </c>
      <c r="K21" s="9">
        <f t="shared" si="0"/>
        <v>200</v>
      </c>
      <c r="L21" s="9"/>
      <c r="M21" s="9">
        <v>100</v>
      </c>
      <c r="N21" s="9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9">
        <f t="shared" si="0"/>
        <v>100</v>
      </c>
      <c r="L22" s="9"/>
      <c r="M22" s="9">
        <v>100</v>
      </c>
      <c r="N22" s="9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9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9"/>
    </row>
    <row r="25" spans="2:14" x14ac:dyDescent="0.25">
      <c r="C25" s="1">
        <f>SUM(C22:C24)</f>
        <v>0</v>
      </c>
      <c r="D25" s="1">
        <f>SUM(D22:D24)</f>
        <v>-300</v>
      </c>
      <c r="E25" s="9">
        <f>SUM(E22:E24)</f>
        <v>1200</v>
      </c>
      <c r="F25" s="9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InstrumentAttribute</vt:lpstr>
      <vt:lpstr>TransactionActivity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2026-01-10T00:42:22Z</dcterms:modified>
  <dc:language>en-US</dc:language>
</cp:coreProperties>
</file>