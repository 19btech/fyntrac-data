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Model\"/>
    </mc:Choice>
  </mc:AlternateContent>
  <xr:revisionPtr revIDLastSave="0" documentId="13_ncr:1_{C354416B-3A1A-4F8B-9EEC-55131CDCC40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RANX" sheetId="27" r:id="rId1"/>
    <sheet name="EOD" sheetId="28" r:id="rId2"/>
    <sheet name="REPLAY" sheetId="33" r:id="rId3"/>
    <sheet name="EXPECTED" sheetId="38" r:id="rId4"/>
    <sheet name="Scenario" sheetId="30" r:id="rId5"/>
    <sheet name="CALCULATION" sheetId="36" r:id="rId6"/>
    <sheet name="o_Transaction" sheetId="7" r:id="rId7"/>
    <sheet name="Scenario2" sheetId="39" r:id="rId8"/>
    <sheet name="EXPECTED2" sheetId="40" r:id="rId9"/>
    <sheet name="Check" sheetId="41" r:id="rId10"/>
  </sheets>
  <definedNames>
    <definedName name="_xlnm._FilterDatabase" localSheetId="9" hidden="1">Check!$A$2:$F$2</definedName>
    <definedName name="_xlnm._FilterDatabase" localSheetId="4" hidden="1">Scenario!$A$2:$F$2</definedName>
    <definedName name="_xlnm._FilterDatabase" localSheetId="7" hidden="1">Scenario2!$A$2:$I$41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1" i="39" l="1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K21" i="39"/>
  <c r="K20" i="39"/>
  <c r="K19" i="39"/>
  <c r="K18" i="39"/>
  <c r="K17" i="39"/>
  <c r="K16" i="39"/>
  <c r="K15" i="39"/>
  <c r="K14" i="39"/>
  <c r="K13" i="39"/>
  <c r="K12" i="39"/>
  <c r="K11" i="39"/>
  <c r="K10" i="39"/>
  <c r="K9" i="39"/>
  <c r="K8" i="39"/>
  <c r="K7" i="39"/>
  <c r="K6" i="39"/>
  <c r="K5" i="39"/>
  <c r="K4" i="39"/>
  <c r="K3" i="39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I21" i="41"/>
  <c r="F21" i="41"/>
  <c r="E21" i="41"/>
  <c r="H21" i="41"/>
  <c r="I8" i="41"/>
  <c r="I7" i="41"/>
  <c r="H7" i="41"/>
  <c r="I6" i="41"/>
  <c r="H6" i="41"/>
  <c r="G16" i="41"/>
  <c r="G15" i="41"/>
  <c r="G13" i="41"/>
  <c r="G9" i="41"/>
  <c r="I4" i="41"/>
  <c r="H4" i="41"/>
  <c r="H8" i="41" s="1"/>
  <c r="B4" i="41"/>
  <c r="H3" i="41"/>
  <c r="B3" i="41"/>
  <c r="Q1" i="41"/>
  <c r="R1" i="41" s="1"/>
  <c r="N2" i="41" s="1"/>
  <c r="N1" i="41"/>
  <c r="E21" i="39"/>
  <c r="B21" i="39"/>
  <c r="B20" i="39"/>
  <c r="G39" i="39"/>
  <c r="E35" i="39"/>
  <c r="E32" i="39"/>
  <c r="E28" i="39"/>
  <c r="G15" i="39"/>
  <c r="G14" i="39"/>
  <c r="G12" i="39"/>
  <c r="G8" i="39"/>
  <c r="I4" i="39"/>
  <c r="H4" i="39"/>
  <c r="H6" i="39" s="1"/>
  <c r="B4" i="39"/>
  <c r="H3" i="39"/>
  <c r="B3" i="39"/>
  <c r="Q1" i="39"/>
  <c r="R1" i="39" s="1"/>
  <c r="N2" i="39" s="1"/>
  <c r="N1" i="39"/>
  <c r="B8" i="36"/>
  <c r="W44" i="36"/>
  <c r="V44" i="36" s="1"/>
  <c r="W43" i="36"/>
  <c r="V43" i="36" s="1"/>
  <c r="W42" i="36"/>
  <c r="V42" i="36" s="1"/>
  <c r="W41" i="36"/>
  <c r="V41" i="36" s="1"/>
  <c r="W40" i="36"/>
  <c r="V40" i="36" s="1"/>
  <c r="W39" i="36"/>
  <c r="V39" i="36" s="1"/>
  <c r="W38" i="36"/>
  <c r="V38" i="36" s="1"/>
  <c r="W37" i="36"/>
  <c r="V37" i="36" s="1"/>
  <c r="W36" i="36"/>
  <c r="V36" i="36" s="1"/>
  <c r="W35" i="36"/>
  <c r="B6" i="36"/>
  <c r="B7" i="36" s="1"/>
  <c r="B17" i="36" l="1"/>
  <c r="B18" i="36"/>
  <c r="B19" i="36"/>
  <c r="B20" i="36"/>
  <c r="B21" i="36"/>
  <c r="B22" i="36"/>
  <c r="B23" i="36"/>
  <c r="J23" i="36" s="1"/>
  <c r="B24" i="36"/>
  <c r="B16" i="36"/>
  <c r="B15" i="36"/>
  <c r="B14" i="36"/>
  <c r="B42" i="36"/>
  <c r="N42" i="36" s="1"/>
  <c r="H5" i="41"/>
  <c r="E5" i="41" s="1"/>
  <c r="I5" i="41" s="1"/>
  <c r="E8" i="41"/>
  <c r="H10" i="41"/>
  <c r="H9" i="41"/>
  <c r="E9" i="41" s="1"/>
  <c r="B12" i="36"/>
  <c r="H20" i="39"/>
  <c r="H21" i="39" s="1"/>
  <c r="H22" i="39" s="1"/>
  <c r="E22" i="39" s="1"/>
  <c r="E5" i="39"/>
  <c r="H7" i="39"/>
  <c r="H23" i="39" s="1"/>
  <c r="H5" i="39"/>
  <c r="H8" i="39"/>
  <c r="E7" i="39"/>
  <c r="B45" i="36"/>
  <c r="C45" i="36" s="1"/>
  <c r="B43" i="36"/>
  <c r="B44" i="36"/>
  <c r="Q44" i="36" s="1"/>
  <c r="B40" i="36"/>
  <c r="C40" i="36" s="1"/>
  <c r="B41" i="36"/>
  <c r="C41" i="36" s="1"/>
  <c r="V35" i="36"/>
  <c r="C42" i="36" l="1"/>
  <c r="Q42" i="36"/>
  <c r="I9" i="41"/>
  <c r="I10" i="41" s="1"/>
  <c r="J12" i="36"/>
  <c r="I12" i="36"/>
  <c r="F12" i="36"/>
  <c r="E12" i="36"/>
  <c r="I5" i="39"/>
  <c r="I6" i="39" s="1"/>
  <c r="I7" i="39" s="1"/>
  <c r="E20" i="39"/>
  <c r="I20" i="39" s="1"/>
  <c r="I21" i="39" s="1"/>
  <c r="I22" i="39" s="1"/>
  <c r="I23" i="39" s="1"/>
  <c r="I24" i="39" s="1"/>
  <c r="E8" i="39"/>
  <c r="H9" i="39"/>
  <c r="H24" i="39"/>
  <c r="H25" i="39" s="1"/>
  <c r="H26" i="39" s="1"/>
  <c r="N43" i="36"/>
  <c r="C43" i="36"/>
  <c r="C44" i="36"/>
  <c r="N44" i="36"/>
  <c r="Q43" i="36"/>
  <c r="N41" i="36"/>
  <c r="Q41" i="36"/>
  <c r="N40" i="36"/>
  <c r="Q40" i="36"/>
  <c r="I41" i="36"/>
  <c r="H40" i="36"/>
  <c r="D43" i="36"/>
  <c r="D44" i="36"/>
  <c r="D42" i="36"/>
  <c r="I40" i="36"/>
  <c r="D40" i="36"/>
  <c r="H44" i="36"/>
  <c r="E42" i="36"/>
  <c r="H43" i="36"/>
  <c r="H42" i="36"/>
  <c r="D41" i="36"/>
  <c r="E43" i="36"/>
  <c r="I44" i="36"/>
  <c r="I42" i="36"/>
  <c r="H41" i="36"/>
  <c r="I43" i="36"/>
  <c r="E41" i="36"/>
  <c r="E40" i="36"/>
  <c r="I23" i="36"/>
  <c r="E44" i="36"/>
  <c r="J21" i="36"/>
  <c r="I21" i="36"/>
  <c r="J20" i="36"/>
  <c r="I20" i="36"/>
  <c r="J19" i="36"/>
  <c r="I19" i="36"/>
  <c r="J24" i="36"/>
  <c r="I24" i="36"/>
  <c r="J22" i="36"/>
  <c r="I22" i="36"/>
  <c r="E12" i="41" l="1"/>
  <c r="E11" i="41" s="1"/>
  <c r="H11" i="41" s="1"/>
  <c r="H12" i="41" s="1"/>
  <c r="H13" i="41" s="1"/>
  <c r="I11" i="41"/>
  <c r="I12" i="41" s="1"/>
  <c r="I8" i="39"/>
  <c r="I9" i="39" s="1"/>
  <c r="I10" i="39" s="1"/>
  <c r="H27" i="39"/>
  <c r="E26" i="39"/>
  <c r="E25" i="39"/>
  <c r="I25" i="39" s="1"/>
  <c r="I26" i="39" s="1"/>
  <c r="B5" i="36"/>
  <c r="B13" i="36" s="1"/>
  <c r="B3" i="36"/>
  <c r="B2" i="36"/>
  <c r="H14" i="41" l="1"/>
  <c r="H15" i="41" s="1"/>
  <c r="E13" i="41"/>
  <c r="I13" i="41" s="1"/>
  <c r="I14" i="41" s="1"/>
  <c r="G24" i="36"/>
  <c r="G23" i="36"/>
  <c r="G22" i="36"/>
  <c r="G21" i="36"/>
  <c r="G20" i="36"/>
  <c r="G19" i="36"/>
  <c r="G18" i="36"/>
  <c r="G17" i="36"/>
  <c r="D12" i="36"/>
  <c r="G16" i="36"/>
  <c r="C12" i="36"/>
  <c r="G15" i="36"/>
  <c r="G14" i="36"/>
  <c r="G12" i="36"/>
  <c r="H12" i="36" s="1"/>
  <c r="K12" i="36" s="1"/>
  <c r="E11" i="39"/>
  <c r="E10" i="39" s="1"/>
  <c r="H10" i="39" s="1"/>
  <c r="H11" i="39" s="1"/>
  <c r="H12" i="39" s="1"/>
  <c r="E12" i="39" s="1"/>
  <c r="H28" i="39"/>
  <c r="E27" i="39"/>
  <c r="I27" i="39" s="1"/>
  <c r="I28" i="39" s="1"/>
  <c r="I29" i="39" s="1"/>
  <c r="W34" i="36"/>
  <c r="W33" i="36"/>
  <c r="B33" i="36"/>
  <c r="I13" i="36"/>
  <c r="E15" i="41" l="1"/>
  <c r="I15" i="41" s="1"/>
  <c r="H16" i="41"/>
  <c r="P12" i="36"/>
  <c r="L12" i="36"/>
  <c r="M12" i="36" s="1"/>
  <c r="N12" i="36" s="1"/>
  <c r="O12" i="36" s="1"/>
  <c r="S12" i="36" s="1"/>
  <c r="I18" i="36"/>
  <c r="J18" i="36"/>
  <c r="I11" i="39"/>
  <c r="I12" i="39" s="1"/>
  <c r="I13" i="39" s="1"/>
  <c r="H13" i="39"/>
  <c r="H14" i="39" s="1"/>
  <c r="H15" i="39" s="1"/>
  <c r="E14" i="39"/>
  <c r="E30" i="39"/>
  <c r="E29" i="39" s="1"/>
  <c r="H29" i="39" s="1"/>
  <c r="H30" i="39" s="1"/>
  <c r="H31" i="39" s="1"/>
  <c r="H16" i="39"/>
  <c r="E15" i="39"/>
  <c r="V33" i="36"/>
  <c r="V34" i="36"/>
  <c r="I33" i="36"/>
  <c r="E33" i="36"/>
  <c r="F33" i="36"/>
  <c r="G33" i="36"/>
  <c r="H33" i="36"/>
  <c r="J17" i="36"/>
  <c r="I17" i="36"/>
  <c r="J16" i="36"/>
  <c r="I16" i="36"/>
  <c r="J15" i="36"/>
  <c r="I15" i="36"/>
  <c r="J14" i="36"/>
  <c r="I14" i="36"/>
  <c r="F13" i="36"/>
  <c r="G13" i="36" s="1"/>
  <c r="J13" i="36"/>
  <c r="E17" i="36"/>
  <c r="C16" i="36"/>
  <c r="D16" i="36"/>
  <c r="C15" i="36"/>
  <c r="E16" i="36"/>
  <c r="E15" i="36"/>
  <c r="D15" i="36"/>
  <c r="C14" i="36"/>
  <c r="D14" i="36"/>
  <c r="C13" i="36"/>
  <c r="E14" i="36"/>
  <c r="E13" i="36"/>
  <c r="D13" i="36"/>
  <c r="E16" i="41" l="1"/>
  <c r="I16" i="41" s="1"/>
  <c r="I17" i="41" s="1"/>
  <c r="I18" i="41" s="1"/>
  <c r="H17" i="41"/>
  <c r="B39" i="36"/>
  <c r="I14" i="39"/>
  <c r="I15" i="39" s="1"/>
  <c r="I16" i="39" s="1"/>
  <c r="I17" i="39" s="1"/>
  <c r="E18" i="39" s="1"/>
  <c r="E17" i="39" s="1"/>
  <c r="H17" i="39" s="1"/>
  <c r="H18" i="39" s="1"/>
  <c r="H19" i="39" s="1"/>
  <c r="E19" i="39" s="1"/>
  <c r="H32" i="39"/>
  <c r="H33" i="39" s="1"/>
  <c r="E31" i="39"/>
  <c r="I30" i="39"/>
  <c r="B34" i="36"/>
  <c r="C33" i="36" s="1"/>
  <c r="B38" i="36"/>
  <c r="C38" i="36" s="1"/>
  <c r="B36" i="36"/>
  <c r="C36" i="36" s="1"/>
  <c r="B37" i="36"/>
  <c r="C37" i="36" s="1"/>
  <c r="B35" i="36"/>
  <c r="H35" i="36" s="1"/>
  <c r="J33" i="36"/>
  <c r="S33" i="36" s="1"/>
  <c r="E19" i="41" l="1"/>
  <c r="E18" i="41" s="1"/>
  <c r="H18" i="41" s="1"/>
  <c r="H19" i="41" s="1"/>
  <c r="H20" i="41" s="1"/>
  <c r="E20" i="41" s="1"/>
  <c r="C39" i="36"/>
  <c r="D39" i="36"/>
  <c r="I39" i="36"/>
  <c r="H39" i="36"/>
  <c r="E39" i="36"/>
  <c r="I31" i="39"/>
  <c r="I32" i="39" s="1"/>
  <c r="E33" i="39"/>
  <c r="H34" i="39"/>
  <c r="I18" i="39"/>
  <c r="I19" i="39" s="1"/>
  <c r="C35" i="36"/>
  <c r="D35" i="36" s="1"/>
  <c r="H38" i="36"/>
  <c r="E34" i="36"/>
  <c r="I34" i="36"/>
  <c r="H34" i="36"/>
  <c r="C34" i="36"/>
  <c r="D34" i="36" s="1"/>
  <c r="E38" i="36"/>
  <c r="T33" i="36"/>
  <c r="I38" i="36"/>
  <c r="D38" i="36"/>
  <c r="D33" i="36"/>
  <c r="E35" i="36"/>
  <c r="I35" i="36"/>
  <c r="D37" i="36"/>
  <c r="I37" i="36"/>
  <c r="E37" i="36"/>
  <c r="H37" i="36"/>
  <c r="D36" i="36"/>
  <c r="I36" i="36"/>
  <c r="H36" i="36"/>
  <c r="E36" i="36"/>
  <c r="R33" i="36"/>
  <c r="K33" i="36"/>
  <c r="H13" i="36"/>
  <c r="K13" i="36" s="1"/>
  <c r="I19" i="41" l="1"/>
  <c r="I20" i="41" s="1"/>
  <c r="H35" i="39"/>
  <c r="E34" i="39"/>
  <c r="I33" i="39"/>
  <c r="P13" i="36"/>
  <c r="L13" i="36"/>
  <c r="D18" i="36"/>
  <c r="D17" i="36"/>
  <c r="E18" i="36"/>
  <c r="C17" i="36"/>
  <c r="I34" i="39" l="1"/>
  <c r="I35" i="39" s="1"/>
  <c r="M13" i="36"/>
  <c r="F14" i="36" s="1"/>
  <c r="D19" i="36"/>
  <c r="C18" i="36"/>
  <c r="E19" i="36"/>
  <c r="I36" i="39" l="1"/>
  <c r="E37" i="39"/>
  <c r="E36" i="39" s="1"/>
  <c r="H36" i="39" s="1"/>
  <c r="H37" i="39" s="1"/>
  <c r="H38" i="39" s="1"/>
  <c r="N13" i="36"/>
  <c r="O13" i="36" s="1"/>
  <c r="H14" i="36" s="1"/>
  <c r="K14" i="36" s="1"/>
  <c r="P14" i="36" s="1"/>
  <c r="D20" i="36"/>
  <c r="E20" i="36"/>
  <c r="C19" i="36"/>
  <c r="D21" i="36"/>
  <c r="H39" i="39" l="1"/>
  <c r="E38" i="39"/>
  <c r="I37" i="39"/>
  <c r="L14" i="36"/>
  <c r="M14" i="36" s="1"/>
  <c r="N14" i="36" s="1"/>
  <c r="O14" i="36" s="1"/>
  <c r="H15" i="36" s="1"/>
  <c r="E21" i="36"/>
  <c r="C20" i="36"/>
  <c r="D22" i="36"/>
  <c r="I38" i="39" l="1"/>
  <c r="E41" i="39" s="1"/>
  <c r="E40" i="39"/>
  <c r="E39" i="39"/>
  <c r="F15" i="36"/>
  <c r="K15" i="36"/>
  <c r="E22" i="36"/>
  <c r="C21" i="36"/>
  <c r="D23" i="36"/>
  <c r="I39" i="39" l="1"/>
  <c r="L15" i="36"/>
  <c r="M15" i="36" s="1"/>
  <c r="P15" i="36"/>
  <c r="E23" i="36"/>
  <c r="C22" i="36"/>
  <c r="D24" i="36"/>
  <c r="N15" i="36" l="1"/>
  <c r="F16" i="36"/>
  <c r="C23" i="36"/>
  <c r="E24" i="36"/>
  <c r="C24" i="36"/>
  <c r="O15" i="36" l="1"/>
  <c r="H16" i="36" s="1"/>
  <c r="K16" i="36" l="1"/>
  <c r="P16" i="36" l="1"/>
  <c r="L16" i="36"/>
  <c r="M16" i="36" s="1"/>
  <c r="N16" i="36" l="1"/>
  <c r="F17" i="36"/>
  <c r="G34" i="30"/>
  <c r="E30" i="30"/>
  <c r="E27" i="30"/>
  <c r="E23" i="30"/>
  <c r="G13" i="30"/>
  <c r="G12" i="30"/>
  <c r="G10" i="30"/>
  <c r="G6" i="30"/>
  <c r="G5" i="30"/>
  <c r="O16" i="36" l="1"/>
  <c r="H17" i="36" s="1"/>
  <c r="K17" i="36" l="1"/>
  <c r="L17" i="36" l="1"/>
  <c r="M17" i="36" s="1"/>
  <c r="F18" i="36" s="1"/>
  <c r="P17" i="36"/>
  <c r="N17" i="36" l="1"/>
  <c r="O17" i="36" s="1"/>
  <c r="H18" i="36" l="1"/>
  <c r="F40" i="36" l="1"/>
  <c r="K18" i="36"/>
  <c r="J40" i="36" l="1"/>
  <c r="S40" i="36" s="1"/>
  <c r="T40" i="36" s="1"/>
  <c r="P18" i="36"/>
  <c r="L18" i="36"/>
  <c r="M18" i="36" s="1"/>
  <c r="R40" i="36" l="1"/>
  <c r="K40" i="36"/>
  <c r="N18" i="36"/>
  <c r="O18" i="36" s="1"/>
  <c r="H19" i="36" s="1"/>
  <c r="F19" i="36"/>
  <c r="K19" i="36" l="1"/>
  <c r="O40" i="36" l="1"/>
  <c r="G41" i="36" s="1"/>
  <c r="F41" i="36"/>
  <c r="P19" i="36"/>
  <c r="L19" i="36"/>
  <c r="M19" i="36" s="1"/>
  <c r="J41" i="36" l="1"/>
  <c r="S41" i="36" s="1"/>
  <c r="T41" i="36" s="1"/>
  <c r="N19" i="36"/>
  <c r="O19" i="36" s="1"/>
  <c r="H20" i="36" s="1"/>
  <c r="F20" i="36"/>
  <c r="R41" i="36" l="1"/>
  <c r="K41" i="36"/>
  <c r="K20" i="36"/>
  <c r="P20" i="36" l="1"/>
  <c r="L20" i="36"/>
  <c r="M20" i="36" s="1"/>
  <c r="O41" i="36" l="1"/>
  <c r="G42" i="36" s="1"/>
  <c r="F42" i="36"/>
  <c r="N20" i="36"/>
  <c r="O20" i="36" s="1"/>
  <c r="H21" i="36" s="1"/>
  <c r="F21" i="36"/>
  <c r="J42" i="36" l="1"/>
  <c r="S42" i="36" s="1"/>
  <c r="T42" i="36" s="1"/>
  <c r="K21" i="36"/>
  <c r="R42" i="36" l="1"/>
  <c r="K42" i="36"/>
  <c r="P21" i="36"/>
  <c r="L21" i="36"/>
  <c r="M21" i="36" s="1"/>
  <c r="N21" i="36" l="1"/>
  <c r="O21" i="36" s="1"/>
  <c r="H22" i="36" s="1"/>
  <c r="F22" i="36"/>
  <c r="F43" i="36" l="1"/>
  <c r="O42" i="36"/>
  <c r="G43" i="36" s="1"/>
  <c r="K22" i="36"/>
  <c r="J43" i="36" l="1"/>
  <c r="S43" i="36" s="1"/>
  <c r="T43" i="36" s="1"/>
  <c r="P22" i="36"/>
  <c r="L22" i="36"/>
  <c r="M22" i="36" s="1"/>
  <c r="I4" i="30"/>
  <c r="H4" i="30"/>
  <c r="H5" i="30" s="1"/>
  <c r="H18" i="30" s="1"/>
  <c r="B4" i="30"/>
  <c r="H3" i="30"/>
  <c r="B3" i="30"/>
  <c r="Q1" i="30"/>
  <c r="R1" i="30" s="1"/>
  <c r="N2" i="30" s="1"/>
  <c r="N1" i="30"/>
  <c r="R43" i="36" l="1"/>
  <c r="K43" i="36"/>
  <c r="N22" i="36"/>
  <c r="O22" i="36" s="1"/>
  <c r="H23" i="36" s="1"/>
  <c r="F23" i="36"/>
  <c r="I18" i="30"/>
  <c r="H7" i="30"/>
  <c r="H6" i="30"/>
  <c r="E6" i="30" s="1"/>
  <c r="E5" i="30"/>
  <c r="I5" i="30" s="1"/>
  <c r="I6" i="30" s="1"/>
  <c r="I7" i="30" s="1"/>
  <c r="E9" i="30" s="1"/>
  <c r="E8" i="30" s="1"/>
  <c r="K23" i="36" l="1"/>
  <c r="E20" i="30"/>
  <c r="I20" i="30" s="1"/>
  <c r="I8" i="30"/>
  <c r="I9" i="30" s="1"/>
  <c r="F44" i="36" l="1"/>
  <c r="O43" i="36"/>
  <c r="G44" i="36" s="1"/>
  <c r="P23" i="36"/>
  <c r="L23" i="36"/>
  <c r="M23" i="36" s="1"/>
  <c r="H8" i="30"/>
  <c r="H9" i="30" s="1"/>
  <c r="H10" i="30" s="1"/>
  <c r="J44" i="36" l="1"/>
  <c r="S44" i="36" s="1"/>
  <c r="T44" i="36" s="1"/>
  <c r="N23" i="36"/>
  <c r="O23" i="36" s="1"/>
  <c r="H24" i="36" s="1"/>
  <c r="F24" i="36"/>
  <c r="H11" i="30"/>
  <c r="E10" i="30"/>
  <c r="H12" i="30"/>
  <c r="R44" i="36" l="1"/>
  <c r="K44" i="36"/>
  <c r="K24" i="36"/>
  <c r="H13" i="30"/>
  <c r="E13" i="30" s="1"/>
  <c r="E12" i="30"/>
  <c r="I10" i="30"/>
  <c r="O44" i="36" l="1"/>
  <c r="P24" i="36"/>
  <c r="L24" i="36"/>
  <c r="M24" i="36" s="1"/>
  <c r="N24" i="36" s="1"/>
  <c r="O24" i="36" s="1"/>
  <c r="I11" i="30"/>
  <c r="I12" i="30" s="1"/>
  <c r="I13" i="30" s="1"/>
  <c r="I14" i="30" s="1"/>
  <c r="I15" i="30" s="1"/>
  <c r="O25" i="36" l="1"/>
  <c r="K25" i="36"/>
  <c r="L25" i="36"/>
  <c r="M25" i="36"/>
  <c r="B27" i="36" s="1"/>
  <c r="E16" i="30"/>
  <c r="E15" i="30" s="1"/>
  <c r="C28" i="36" l="1"/>
  <c r="B28" i="36"/>
  <c r="C27" i="36"/>
  <c r="D27" i="36" s="1"/>
  <c r="I16" i="30"/>
  <c r="L43" i="36" l="1"/>
  <c r="L41" i="36"/>
  <c r="L42" i="36"/>
  <c r="L39" i="36"/>
  <c r="L44" i="36"/>
  <c r="L40" i="36"/>
  <c r="L33" i="36"/>
  <c r="N33" i="36" s="1"/>
  <c r="F34" i="36" s="1"/>
  <c r="L35" i="36"/>
  <c r="L36" i="36"/>
  <c r="L37" i="36"/>
  <c r="L38" i="36"/>
  <c r="E53" i="36"/>
  <c r="L34" i="36"/>
  <c r="D28" i="36"/>
  <c r="M41" i="36" l="1"/>
  <c r="M40" i="36"/>
  <c r="M42" i="36"/>
  <c r="M39" i="36"/>
  <c r="M44" i="36"/>
  <c r="M43" i="36"/>
  <c r="M33" i="36"/>
  <c r="M36" i="36"/>
  <c r="M37" i="36"/>
  <c r="M35" i="36"/>
  <c r="M38" i="36"/>
  <c r="E54" i="36"/>
  <c r="M34" i="36"/>
  <c r="D53" i="36"/>
  <c r="D5" i="7" s="1"/>
  <c r="E5" i="7" s="1"/>
  <c r="A53" i="36"/>
  <c r="A5" i="7" s="1"/>
  <c r="B53" i="36"/>
  <c r="B5" i="7" s="1"/>
  <c r="F53" i="36"/>
  <c r="F5" i="7" s="1"/>
  <c r="C53" i="36"/>
  <c r="C5" i="7" s="1"/>
  <c r="H14" i="30"/>
  <c r="H15" i="30" s="1"/>
  <c r="D54" i="36" l="1"/>
  <c r="D6" i="7" s="1"/>
  <c r="E6" i="7" s="1"/>
  <c r="A54" i="36"/>
  <c r="A6" i="7" s="1"/>
  <c r="B54" i="36"/>
  <c r="B6" i="7" s="1"/>
  <c r="F54" i="36"/>
  <c r="F6" i="7" s="1"/>
  <c r="C54" i="36"/>
  <c r="C6" i="7" s="1"/>
  <c r="H16" i="30"/>
  <c r="H17" i="30" s="1"/>
  <c r="E17" i="30" s="1"/>
  <c r="I17" i="30" s="1"/>
  <c r="H19" i="30" l="1"/>
  <c r="H20" i="30" l="1"/>
  <c r="H21" i="30" s="1"/>
  <c r="O33" i="36"/>
  <c r="P33" i="36" s="1"/>
  <c r="Q33" i="36" l="1"/>
  <c r="G34" i="36" s="1"/>
  <c r="J34" i="36" s="1"/>
  <c r="S34" i="36" s="1"/>
  <c r="E21" i="30"/>
  <c r="I21" i="30" s="1"/>
  <c r="H22" i="30"/>
  <c r="E22" i="30" l="1"/>
  <c r="H23" i="30"/>
  <c r="I22" i="30"/>
  <c r="I23" i="30" s="1"/>
  <c r="I24" i="30" s="1"/>
  <c r="T34" i="36"/>
  <c r="K34" i="36"/>
  <c r="N34" i="36" s="1"/>
  <c r="R34" i="36"/>
  <c r="E25" i="30" l="1"/>
  <c r="E24" i="30" s="1"/>
  <c r="H24" i="30" s="1"/>
  <c r="H25" i="30" s="1"/>
  <c r="H26" i="30" s="1"/>
  <c r="I25" i="30"/>
  <c r="F35" i="36"/>
  <c r="O34" i="36"/>
  <c r="P34" i="36" s="1"/>
  <c r="H27" i="30" l="1"/>
  <c r="H28" i="30" s="1"/>
  <c r="E26" i="30"/>
  <c r="I26" i="30" s="1"/>
  <c r="I27" i="30" s="1"/>
  <c r="Q34" i="36"/>
  <c r="G35" i="36" s="1"/>
  <c r="H29" i="30" l="1"/>
  <c r="E28" i="30"/>
  <c r="I28" i="30" s="1"/>
  <c r="J35" i="36"/>
  <c r="S35" i="36" s="1"/>
  <c r="E29" i="30" l="1"/>
  <c r="I29" i="30" s="1"/>
  <c r="I30" i="30" s="1"/>
  <c r="H30" i="30"/>
  <c r="T35" i="36"/>
  <c r="R35" i="36"/>
  <c r="K35" i="36"/>
  <c r="I31" i="30" l="1"/>
  <c r="E32" i="30"/>
  <c r="E31" i="30" s="1"/>
  <c r="H31" i="30" s="1"/>
  <c r="H32" i="30" s="1"/>
  <c r="H33" i="30" s="1"/>
  <c r="N35" i="36"/>
  <c r="E33" i="30" l="1"/>
  <c r="H34" i="30"/>
  <c r="I32" i="30"/>
  <c r="I33" i="30" s="1"/>
  <c r="O35" i="36"/>
  <c r="F36" i="36"/>
  <c r="Q35" i="36" l="1"/>
  <c r="P35" i="36"/>
  <c r="P45" i="36" s="1"/>
  <c r="E50" i="36" s="1"/>
  <c r="E36" i="30"/>
  <c r="E34" i="30"/>
  <c r="I34" i="30" s="1"/>
  <c r="E35" i="30"/>
  <c r="G36" i="36"/>
  <c r="J36" i="36" l="1"/>
  <c r="S36" i="36" s="1"/>
  <c r="T36" i="36" l="1"/>
  <c r="R36" i="36"/>
  <c r="K36" i="36"/>
  <c r="N36" i="36" l="1"/>
  <c r="O36" i="36" l="1"/>
  <c r="Q36" i="36" s="1"/>
  <c r="G37" i="36" s="1"/>
  <c r="F37" i="36"/>
  <c r="J37" i="36" l="1"/>
  <c r="S37" i="36" s="1"/>
  <c r="T37" i="36" l="1"/>
  <c r="R37" i="36"/>
  <c r="K37" i="36"/>
  <c r="N37" i="36" l="1"/>
  <c r="O37" i="36" l="1"/>
  <c r="F38" i="36"/>
  <c r="Q37" i="36" l="1"/>
  <c r="G38" i="36" s="1"/>
  <c r="J38" i="36" l="1"/>
  <c r="S38" i="36" s="1"/>
  <c r="T38" i="36" l="1"/>
  <c r="R38" i="36"/>
  <c r="K38" i="36"/>
  <c r="N38" i="36" l="1"/>
  <c r="O38" i="36" l="1"/>
  <c r="F39" i="36"/>
  <c r="Q38" i="36"/>
  <c r="G39" i="36" l="1"/>
  <c r="J39" i="36" l="1"/>
  <c r="S39" i="36" l="1"/>
  <c r="R39" i="36"/>
  <c r="K39" i="36"/>
  <c r="J45" i="36"/>
  <c r="E51" i="36" s="1"/>
  <c r="F51" i="36" l="1"/>
  <c r="F3" i="7" s="1"/>
  <c r="C51" i="36"/>
  <c r="C3" i="7" s="1"/>
  <c r="D51" i="36"/>
  <c r="D3" i="7" s="1"/>
  <c r="E3" i="7" s="1"/>
  <c r="A51" i="36"/>
  <c r="A3" i="7" s="1"/>
  <c r="K45" i="36"/>
  <c r="E52" i="36" s="1"/>
  <c r="N39" i="36"/>
  <c r="O39" i="36" s="1"/>
  <c r="N45" i="36"/>
  <c r="T39" i="36"/>
  <c r="T45" i="36"/>
  <c r="B51" i="36" s="1"/>
  <c r="B3" i="7" s="1"/>
  <c r="G40" i="36" l="1"/>
  <c r="Q39" i="36"/>
  <c r="Q45" i="36" s="1"/>
  <c r="B52" i="36"/>
  <c r="B4" i="7" s="1"/>
  <c r="A52" i="36"/>
  <c r="A4" i="7" s="1"/>
  <c r="D52" i="36"/>
  <c r="D4" i="7" s="1"/>
  <c r="E4" i="7" s="1"/>
  <c r="F52" i="36"/>
  <c r="F4" i="7" s="1"/>
  <c r="C52" i="36"/>
  <c r="C4" i="7" s="1"/>
  <c r="C50" i="36" l="1"/>
  <c r="C2" i="7" s="1"/>
  <c r="D50" i="36"/>
  <c r="D2" i="7" s="1"/>
  <c r="E2" i="7" s="1"/>
  <c r="A50" i="36"/>
  <c r="A2" i="7" s="1"/>
  <c r="B50" i="36"/>
  <c r="B2" i="7" s="1"/>
  <c r="F50" i="36"/>
  <c r="F2" i="7" s="1"/>
</calcChain>
</file>

<file path=xl/sharedStrings.xml><?xml version="1.0" encoding="utf-8"?>
<sst xmlns="http://schemas.openxmlformats.org/spreadsheetml/2006/main" count="513" uniqueCount="89">
  <si>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</si>
  <si>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</si>
  <si>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</si>
  <si>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</si>
  <si>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</si>
  <si>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</si>
  <si>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</si>
  <si>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</si>
  <si>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Transactiontype</t>
  </si>
  <si>
    <t>IDHJ-EGNY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</si>
  <si>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</si>
  <si>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</si>
  <si>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</si>
  <si>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</si>
  <si>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</si>
  <si>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</si>
  <si>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</si>
  <si>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</si>
  <si>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</si>
  <si>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S.No</t>
  </si>
  <si>
    <t>Effective Date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</si>
  <si>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</si>
  <si>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</si>
  <si>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</si>
  <si>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</si>
  <si>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</si>
  <si>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</si>
  <si>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</si>
  <si>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</si>
  <si>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</si>
  <si>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</si>
  <si>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</si>
  <si>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</si>
  <si>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</si>
  <si>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</si>
  <si>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</si>
  <si>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</si>
  <si>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Metric</t>
  </si>
  <si>
    <t>PMT</t>
  </si>
  <si>
    <t>Current</t>
  </si>
  <si>
    <t>TRANSACTIONS_AMOUNT_REMIT</t>
  </si>
  <si>
    <t>Helper Column</t>
  </si>
  <si>
    <t>ATTRIBUTE_INTEREST_RATE_CURRENT</t>
  </si>
  <si>
    <t>TransactionName</t>
  </si>
  <si>
    <t>Draw</t>
  </si>
  <si>
    <t>L1</t>
  </si>
  <si>
    <t>TRANSACTIONS_AMOUNT_DRAW</t>
  </si>
  <si>
    <t>Adjustment</t>
  </si>
  <si>
    <t>Posting Date</t>
  </si>
  <si>
    <t>BALANCES_BEGINNINGBALANCE_Unpaid_Principal_Balance</t>
  </si>
  <si>
    <t>BALANCES_BEGINNINGBALANCE_UNPAID_PRINCIPAL_BALANCE</t>
  </si>
  <si>
    <t>Accrual Break Date</t>
  </si>
  <si>
    <t>Accrual Break Days</t>
  </si>
  <si>
    <t>Per Day Interest</t>
  </si>
  <si>
    <t>Effective End Days</t>
  </si>
  <si>
    <t>Adjustment Beg Air</t>
  </si>
  <si>
    <t>TRANSACTIONS</t>
  </si>
  <si>
    <t>Count</t>
  </si>
  <si>
    <t>Calculation</t>
  </si>
  <si>
    <t>REPLAY</t>
  </si>
  <si>
    <t>IN ORDER</t>
  </si>
  <si>
    <t>Payment Helper</t>
  </si>
  <si>
    <t>Order</t>
  </si>
  <si>
    <t>Principal Adj</t>
  </si>
  <si>
    <t>Interest Adj</t>
  </si>
  <si>
    <t>Adjutment</t>
  </si>
  <si>
    <t>After Replay</t>
  </si>
  <si>
    <t>Attribute ID</t>
  </si>
  <si>
    <t>Helper Column 2</t>
  </si>
  <si>
    <t>Helper Column 3</t>
  </si>
  <si>
    <t>REPLAY EVENT</t>
  </si>
  <si>
    <t>INT_ACC</t>
  </si>
  <si>
    <t>INPUT</t>
  </si>
  <si>
    <t>OUTPUT</t>
  </si>
  <si>
    <t>Earliest Transaction Date</t>
  </si>
  <si>
    <t>Round</t>
  </si>
  <si>
    <t>Total Accrual</t>
  </si>
  <si>
    <t>PURCHASE_INTEREST</t>
  </si>
  <si>
    <t>PURCHASE_UPB</t>
  </si>
  <si>
    <t>SERVICING_INTEREST_ACCRUAL</t>
  </si>
  <si>
    <t>DRAW</t>
  </si>
  <si>
    <t>PAYMENT_INTEREST</t>
  </si>
  <si>
    <t>PAYMENT_UPB</t>
  </si>
  <si>
    <t>REMIT</t>
  </si>
  <si>
    <t>INTEREST_ADJUSTMENT</t>
  </si>
  <si>
    <t>PRINCIPAL_ADJUSTMENT</t>
  </si>
  <si>
    <t>ARWK-RAAM</t>
  </si>
  <si>
    <t>BALANCES_BEGINNINGBALANCE_ACCRUED_INTEREST_RECEIVABLE</t>
  </si>
  <si>
    <t>BALANCES_BEGINNINGBALANCE_Accrued_Interest_Receivable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</si>
</sst>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#,##0.000000000_);[Red]\(#,##0.000000000\)"/>
    <numFmt numFmtId="170" formatCode="0.0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444746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9900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0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0" borderId="0" xfId="0" applyBorder="1"/>
    <xf numFmtId="164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Border="1" applyAlignment="1">
      <alignment horizontal="left" vertical="center" wrapText="1"/>
    </xf>
    <xf numFmtId="0" fontId="1" fillId="0" borderId="0" xfId="0" applyFont="1"/>
    <xf numFmtId="40" fontId="0" fillId="0" borderId="0" xfId="0" applyNumberFormat="1"/>
    <xf numFmtId="166" fontId="0" fillId="0" borderId="0" xfId="0" applyNumberFormat="1"/>
    <xf numFmtId="167" fontId="0" fillId="0" borderId="2" xfId="0" applyNumberFormat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/>
    <xf numFmtId="0" fontId="0" fillId="0" borderId="2" xfId="1" applyFont="1" applyBorder="1"/>
    <xf numFmtId="165" fontId="0" fillId="0" borderId="2" xfId="0" applyNumberFormat="1" applyBorder="1"/>
    <xf numFmtId="14" fontId="1" fillId="0" borderId="0" xfId="1" applyNumberFormat="1" applyFont="1"/>
    <xf numFmtId="14" fontId="1" fillId="0" borderId="0" xfId="0" applyNumberFormat="1" applyFont="1"/>
    <xf numFmtId="0" fontId="1" fillId="0" borderId="0" xfId="1" applyFont="1"/>
    <xf numFmtId="0" fontId="1" fillId="5" borderId="3" xfId="1" applyNumberFormat="1" applyFont="1" applyFill="1" applyBorder="1"/>
    <xf numFmtId="0" fontId="0" fillId="0" borderId="0" xfId="1" applyNumberFormat="1" applyFont="1"/>
    <xf numFmtId="0" fontId="1" fillId="7" borderId="3" xfId="1" applyFont="1" applyFill="1" applyBorder="1"/>
    <xf numFmtId="0" fontId="0" fillId="0" borderId="0" xfId="0"/>
    <xf numFmtId="0" fontId="0" fillId="0" borderId="0" xfId="0"/>
    <xf numFmtId="2" fontId="0" fillId="0" borderId="2" xfId="0" applyNumberFormat="1" applyBorder="1"/>
    <xf numFmtId="14" fontId="0" fillId="8" borderId="2" xfId="0" applyNumberFormat="1" applyFill="1" applyBorder="1"/>
    <xf numFmtId="0" fontId="0" fillId="8" borderId="2" xfId="0" applyFill="1" applyBorder="1"/>
    <xf numFmtId="164" fontId="1" fillId="4" borderId="8" xfId="0" applyNumberFormat="1" applyFont="1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Fill="1" applyBorder="1"/>
    <xf numFmtId="0" fontId="4" fillId="2" borderId="0" xfId="1" applyFont="1" applyFill="1"/>
    <xf numFmtId="0" fontId="4" fillId="4" borderId="0" xfId="0" applyFont="1" applyFill="1"/>
    <xf numFmtId="0" fontId="4" fillId="0" borderId="0" xfId="0" applyFont="1" applyBorder="1"/>
    <xf numFmtId="0" fontId="0" fillId="0" borderId="0" xfId="0" applyNumberFormat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2" xfId="0" applyFont="1" applyBorder="1"/>
    <xf numFmtId="164" fontId="1" fillId="4" borderId="9" xfId="0" applyNumberFormat="1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left" vertical="center" wrapText="1"/>
    </xf>
    <xf numFmtId="164" fontId="4" fillId="4" borderId="11" xfId="0" applyNumberFormat="1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left" vertical="center" wrapText="1"/>
    </xf>
    <xf numFmtId="164" fontId="0" fillId="0" borderId="2" xfId="0" applyNumberFormat="1" applyBorder="1" applyAlignment="1">
      <alignment vertical="center" wrapText="1"/>
    </xf>
    <xf numFmtId="170" fontId="0" fillId="0" borderId="0" xfId="1" applyNumberFormat="1" applyFont="1"/>
    <xf numFmtId="0" fontId="0" fillId="0" borderId="3" xfId="0" applyBorder="1"/>
    <xf numFmtId="40" fontId="0" fillId="0" borderId="2" xfId="0" applyNumberFormat="1" applyBorder="1"/>
    <xf numFmtId="14" fontId="0" fillId="0" borderId="0" xfId="0" applyNumberFormat="1" applyFill="1" applyBorder="1"/>
    <xf numFmtId="0" fontId="5" fillId="0" borderId="14" xfId="0" applyFont="1" applyBorder="1" applyAlignment="1">
      <alignment horizontal="right" vertical="center" wrapText="1" indent="1" readingOrder="1"/>
    </xf>
    <xf numFmtId="14" fontId="6" fillId="0" borderId="2" xfId="0" applyNumberFormat="1" applyFont="1" applyBorder="1" applyAlignment="1">
      <alignment horizontal="right" vertical="center" wrapText="1" indent="2" readingOrder="1"/>
    </xf>
    <xf numFmtId="14" fontId="6" fillId="0" borderId="2" xfId="0" applyNumberFormat="1" applyFont="1" applyBorder="1" applyAlignment="1">
      <alignment horizontal="right" vertical="center" wrapText="1" indent="1" readingOrder="1"/>
    </xf>
    <xf numFmtId="8" fontId="6" fillId="0" borderId="2" xfId="0" applyNumberFormat="1" applyFont="1" applyBorder="1" applyAlignment="1">
      <alignment horizontal="right" vertical="center" wrapText="1" indent="1" readingOrder="1"/>
    </xf>
    <xf numFmtId="8" fontId="7" fillId="0" borderId="2" xfId="0" applyNumberFormat="1" applyFont="1" applyBorder="1" applyAlignment="1">
      <alignment horizontal="right" vertical="center" wrapText="1" indent="1" readingOrder="1"/>
    </xf>
    <xf numFmtId="14" fontId="6" fillId="0" borderId="3" xfId="0" applyNumberFormat="1" applyFont="1" applyBorder="1" applyAlignment="1">
      <alignment horizontal="right" vertical="center" wrapText="1" indent="2" readingOrder="1"/>
    </xf>
    <xf numFmtId="14" fontId="6" fillId="0" borderId="3" xfId="0" applyNumberFormat="1" applyFont="1" applyBorder="1" applyAlignment="1">
      <alignment horizontal="right" vertical="center" wrapText="1" indent="1" readingOrder="1"/>
    </xf>
    <xf numFmtId="8" fontId="6" fillId="0" borderId="3" xfId="0" applyNumberFormat="1" applyFont="1" applyBorder="1" applyAlignment="1">
      <alignment horizontal="right" vertical="center" wrapText="1" indent="1" readingOrder="1"/>
    </xf>
    <xf numFmtId="8" fontId="7" fillId="0" borderId="3" xfId="0" applyNumberFormat="1" applyFont="1" applyBorder="1" applyAlignment="1">
      <alignment horizontal="right" vertical="center" wrapText="1" indent="1" readingOrder="1"/>
    </xf>
    <xf numFmtId="0" fontId="5" fillId="0" borderId="16" xfId="0" applyFont="1" applyBorder="1" applyAlignment="1">
      <alignment horizontal="right" vertical="center" wrapText="1" indent="2" readingOrder="1"/>
    </xf>
    <xf numFmtId="0" fontId="5" fillId="0" borderId="17" xfId="0" applyFont="1" applyBorder="1" applyAlignment="1">
      <alignment horizontal="right" vertical="center" wrapText="1" indent="1" readingOrder="1"/>
    </xf>
    <xf numFmtId="0" fontId="5" fillId="0" borderId="18" xfId="0" applyFont="1" applyBorder="1" applyAlignment="1">
      <alignment horizontal="right" vertical="center" wrapText="1" indent="1" readingOrder="1"/>
    </xf>
    <xf numFmtId="0" fontId="10" fillId="0" borderId="0" xfId="0" applyFont="1"/>
    <xf numFmtId="0" fontId="5" fillId="0" borderId="16" xfId="0" applyFont="1" applyBorder="1" applyAlignment="1">
      <alignment horizontal="left" vertical="center" indent="2" readingOrder="1"/>
    </xf>
    <xf numFmtId="0" fontId="5" fillId="0" borderId="17" xfId="0" applyFont="1" applyBorder="1" applyAlignment="1">
      <alignment horizontal="left" vertical="center" indent="1" readingOrder="1"/>
    </xf>
    <xf numFmtId="0" fontId="5" fillId="0" borderId="18" xfId="0" applyFont="1" applyBorder="1" applyAlignment="1">
      <alignment horizontal="left" vertical="center" indent="1" readingOrder="1"/>
    </xf>
    <xf numFmtId="0" fontId="5" fillId="0" borderId="14" xfId="0" applyFont="1" applyBorder="1" applyAlignment="1">
      <alignment horizontal="left" vertical="center" indent="1" readingOrder="1"/>
    </xf>
    <xf numFmtId="0" fontId="5" fillId="0" borderId="15" xfId="0" applyFont="1" applyBorder="1" applyAlignment="1">
      <alignment horizontal="left" vertical="center" indent="1" readingOrder="1"/>
    </xf>
    <xf numFmtId="14" fontId="6" fillId="0" borderId="2" xfId="0" applyNumberFormat="1" applyFont="1" applyBorder="1" applyAlignment="1">
      <alignment horizontal="left" vertical="center" indent="2" readingOrder="1"/>
    </xf>
    <xf numFmtId="14" fontId="6" fillId="0" borderId="2" xfId="0" applyNumberFormat="1" applyFont="1" applyBorder="1" applyAlignment="1">
      <alignment horizontal="left" vertical="center" indent="1" readingOrder="1"/>
    </xf>
    <xf numFmtId="8" fontId="6" fillId="0" borderId="2" xfId="0" applyNumberFormat="1" applyFont="1" applyBorder="1" applyAlignment="1">
      <alignment horizontal="left" vertical="center" indent="1" readingOrder="1"/>
    </xf>
    <xf numFmtId="14" fontId="7" fillId="0" borderId="2" xfId="0" applyNumberFormat="1" applyFont="1" applyBorder="1" applyAlignment="1">
      <alignment horizontal="left" vertical="center" indent="2" readingOrder="1"/>
    </xf>
    <xf numFmtId="14" fontId="7" fillId="0" borderId="2" xfId="0" applyNumberFormat="1" applyFont="1" applyBorder="1" applyAlignment="1">
      <alignment horizontal="left" vertical="center" indent="1" readingOrder="1"/>
    </xf>
    <xf numFmtId="8" fontId="7" fillId="0" borderId="2" xfId="0" applyNumberFormat="1" applyFont="1" applyBorder="1" applyAlignment="1">
      <alignment horizontal="left" vertical="center" indent="1" readingOrder="1"/>
    </xf>
    <xf numFmtId="2" fontId="6" fillId="0" borderId="2" xfId="0" applyNumberFormat="1" applyFont="1" applyBorder="1" applyAlignment="1">
      <alignment horizontal="right" vertical="center" wrapText="1" indent="1" readingOrder="1"/>
    </xf>
    <xf numFmtId="14" fontId="7" fillId="0" borderId="2" xfId="0" applyNumberFormat="1" applyFont="1" applyBorder="1" applyAlignment="1">
      <alignment horizontal="right" vertical="center" wrapText="1" indent="2" readingOrder="1"/>
    </xf>
    <xf numFmtId="2" fontId="6" fillId="0" borderId="3" xfId="0" applyNumberFormat="1" applyFont="1" applyBorder="1" applyAlignment="1">
      <alignment horizontal="right" vertical="center" wrapText="1" indent="1" readingOrder="1"/>
    </xf>
    <xf numFmtId="0" fontId="1" fillId="5" borderId="2" xfId="1" applyFont="1" applyFill="1" applyBorder="1"/>
    <xf numFmtId="0" fontId="1" fillId="5" borderId="2" xfId="1" applyNumberFormat="1" applyFont="1" applyFill="1" applyBorder="1"/>
    <xf numFmtId="0" fontId="1" fillId="7" borderId="2" xfId="1" applyFont="1" applyFill="1" applyBorder="1"/>
    <xf numFmtId="0" fontId="1" fillId="0" borderId="2" xfId="0" applyFont="1" applyBorder="1"/>
    <xf numFmtId="40" fontId="0" fillId="6" borderId="2" xfId="0" applyNumberFormat="1" applyFill="1" applyBorder="1"/>
    <xf numFmtId="40" fontId="0" fillId="8" borderId="2" xfId="0" applyNumberFormat="1" applyFill="1" applyBorder="1"/>
    <xf numFmtId="168" fontId="0" fillId="0" borderId="2" xfId="0" applyNumberFormat="1" applyBorder="1"/>
    <xf numFmtId="166" fontId="0" fillId="0" borderId="2" xfId="0" applyNumberFormat="1" applyBorder="1"/>
    <xf numFmtId="169" fontId="0" fillId="0" borderId="2" xfId="0" applyNumberFormat="1" applyBorder="1"/>
    <xf numFmtId="0" fontId="0" fillId="0" borderId="7" xfId="0" applyBorder="1"/>
    <xf numFmtId="0" fontId="0" fillId="8" borderId="7" xfId="0" applyFill="1" applyBorder="1"/>
    <xf numFmtId="40" fontId="0" fillId="0" borderId="13" xfId="0" applyNumberFormat="1" applyBorder="1"/>
    <xf numFmtId="40" fontId="0" fillId="8" borderId="13" xfId="0" applyNumberFormat="1" applyFill="1" applyBorder="1"/>
    <xf numFmtId="168" fontId="0" fillId="0" borderId="13" xfId="0" applyNumberFormat="1" applyBorder="1"/>
    <xf numFmtId="166" fontId="0" fillId="0" borderId="13" xfId="0" applyNumberFormat="1" applyBorder="1"/>
    <xf numFmtId="169" fontId="0" fillId="0" borderId="13" xfId="0" applyNumberFormat="1" applyBorder="1"/>
    <xf numFmtId="0" fontId="0" fillId="2" borderId="0" xfId="0" applyFill="1" applyBorder="1"/>
    <xf numFmtId="0" fontId="0" fillId="8" borderId="0" xfId="0" applyFill="1" applyBorder="1"/>
    <xf numFmtId="0" fontId="5" fillId="0" borderId="2" xfId="0" applyFont="1" applyBorder="1" applyAlignment="1">
      <alignment horizontal="left" vertical="center" indent="1" readingOrder="1"/>
    </xf>
    <xf numFmtId="0" fontId="5" fillId="0" borderId="20" xfId="0" applyFont="1" applyBorder="1" applyAlignment="1">
      <alignment horizontal="right" vertical="center" wrapText="1" indent="1" readingOrder="1"/>
    </xf>
    <xf numFmtId="0" fontId="5" fillId="0" borderId="21" xfId="0" applyFont="1" applyBorder="1" applyAlignment="1">
      <alignment horizontal="right" vertical="center" wrapText="1" indent="1" readingOrder="1"/>
    </xf>
    <xf numFmtId="0" fontId="5" fillId="0" borderId="3" xfId="0" applyFont="1" applyBorder="1" applyAlignment="1">
      <alignment horizontal="right" vertical="center" wrapText="1" indent="1" readingOrder="1"/>
    </xf>
    <xf numFmtId="0" fontId="5" fillId="0" borderId="16" xfId="0" applyFont="1" applyBorder="1" applyAlignment="1">
      <alignment horizontal="right" vertical="center" wrapText="1" indent="1" readingOrder="1"/>
    </xf>
    <xf numFmtId="167" fontId="0" fillId="0" borderId="0" xfId="0" applyNumberFormat="1"/>
    <xf numFmtId="0" fontId="1" fillId="0" borderId="0" xfId="0" applyFont="1" applyFill="1" applyBorder="1"/>
    <xf numFmtId="0" fontId="1" fillId="5" borderId="2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tabSelected="1" workbookViewId="0">
      <selection activeCell="E12" sqref="E1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1.42578125" bestFit="1" customWidth="1"/>
    <col min="6" max="6" width="31.5703125" bestFit="1" customWidth="1"/>
  </cols>
  <sheetData>
    <row r="1" spans="1:7" x14ac:dyDescent="0.25">
      <c r="A1" s="46" t="s">
        <v>3</v>
      </c>
      <c r="B1" s="47" t="s">
        <v>7</v>
      </c>
      <c r="C1" s="48" t="s">
        <v>5</v>
      </c>
      <c r="D1" s="48" t="s">
        <v>6</v>
      </c>
      <c r="E1" s="13" t="s">
        <v>40</v>
      </c>
      <c r="F1" s="13" t="s">
        <v>46</v>
      </c>
    </row>
    <row r="2" spans="1:7" x14ac:dyDescent="0.25">
      <c r="A2" s="21"/>
      <c r="B2" s="21"/>
      <c r="C2" s="6"/>
      <c r="D2" s="6"/>
      <c r="E2" s="7"/>
      <c r="F2" s="54"/>
      <c r="G2" s="43"/>
    </row>
    <row r="3" spans="1:7" x14ac:dyDescent="0.25">
      <c r="A3" s="21"/>
      <c r="B3" s="21"/>
      <c r="C3" s="6"/>
      <c r="D3" s="6"/>
      <c r="E3" s="7"/>
      <c r="F3" s="54"/>
      <c r="G3" s="8"/>
    </row>
    <row r="4" spans="1:7" x14ac:dyDescent="0.25">
      <c r="A4" s="21"/>
      <c r="B4" s="21"/>
      <c r="C4" s="6"/>
      <c r="D4" s="6"/>
      <c r="E4" s="7"/>
      <c r="F4" s="1"/>
    </row>
    <row r="5" spans="1:7" x14ac:dyDescent="0.25">
      <c r="A5" s="21"/>
      <c r="B5" s="21"/>
      <c r="C5" s="6"/>
      <c r="D5" s="6"/>
      <c r="E5" s="7"/>
      <c r="F5" s="1"/>
    </row>
    <row r="6" spans="1:7" x14ac:dyDescent="0.25">
      <c r="A6" s="6"/>
      <c r="B6" s="6"/>
      <c r="C6" s="6"/>
      <c r="D6" s="6"/>
      <c r="E6" s="6"/>
      <c r="F6" s="6"/>
    </row>
    <row r="7" spans="1:7" x14ac:dyDescent="0.25">
      <c r="A7" s="6"/>
      <c r="B7" s="6"/>
      <c r="C7" s="6"/>
      <c r="D7" s="6"/>
      <c r="E7" s="6"/>
      <c r="F7" s="6"/>
    </row>
    <row r="8" spans="1:7" x14ac:dyDescent="0.25">
      <c r="A8" s="6"/>
      <c r="B8" s="6"/>
      <c r="C8" s="6"/>
      <c r="D8" s="6"/>
      <c r="E8" s="6"/>
      <c r="F8" s="6"/>
    </row>
    <row r="9" spans="1:7" x14ac:dyDescent="0.25">
      <c r="A9" s="6"/>
      <c r="B9" s="6"/>
      <c r="C9" s="6"/>
      <c r="D9" s="6"/>
      <c r="E9" s="6"/>
      <c r="F9" s="6"/>
    </row>
    <row r="10" spans="1:7" x14ac:dyDescent="0.25">
      <c r="A10" s="6"/>
      <c r="B10" s="6"/>
      <c r="C10" s="6"/>
      <c r="D10" s="6"/>
      <c r="E10" s="6"/>
      <c r="F10" s="6"/>
    </row>
    <row r="11" spans="1:7" x14ac:dyDescent="0.25">
      <c r="A11" s="6"/>
      <c r="B11" s="6"/>
      <c r="C11" s="6"/>
      <c r="D11" s="6"/>
      <c r="E11" s="6"/>
      <c r="F11" s="6"/>
    </row>
    <row r="12" spans="1:7" x14ac:dyDescent="0.25">
      <c r="A12" s="6"/>
      <c r="B12" s="6"/>
      <c r="C12" s="6"/>
      <c r="D12" s="6"/>
      <c r="E12" s="6"/>
      <c r="F12" s="6"/>
    </row>
    <row r="13" spans="1:7" x14ac:dyDescent="0.25">
      <c r="A13" s="6"/>
      <c r="B13" s="6"/>
      <c r="C13" s="6"/>
      <c r="D13" s="6"/>
      <c r="E13" s="6"/>
      <c r="F1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G2"/>
  <sheetViews>
    <sheetView workbookViewId="0">
      <selection activeCell="A2" sqref="A2:G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</cols>
  <sheetData>
    <row r="1" spans="1:7" x14ac:dyDescent="0.25">
      <c r="A1" s="46" t="s">
        <v>3</v>
      </c>
      <c r="B1" s="47" t="s">
        <v>7</v>
      </c>
      <c r="C1" s="48" t="s">
        <v>5</v>
      </c>
      <c r="D1" s="48" t="s">
        <v>6</v>
      </c>
      <c r="E1" s="60" t="s">
        <v>42</v>
      </c>
      <c r="F1" s="61" t="s">
        <v>50</v>
      </c>
      <c r="G1" s="61" t="s">
        <v>87</v>
      </c>
    </row>
    <row r="2" spans="1:7" x14ac:dyDescent="0.25">
      <c r="A2" s="21"/>
      <c r="B2" s="21"/>
      <c r="C2" s="6"/>
      <c r="D2" s="6"/>
      <c r="E2" s="44"/>
      <c r="F2" s="7"/>
      <c r="G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H7"/>
  <sheetViews>
    <sheetView workbookViewId="0">
      <selection activeCell="A2" sqref="A2:XFD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1.42578125" bestFit="1" customWidth="1"/>
    <col min="6" max="6" width="31.5703125" bestFit="1" customWidth="1"/>
    <col min="7" max="7" width="54.85546875" bestFit="1" customWidth="1"/>
    <col min="8" max="8" width="54.7109375" bestFit="1" customWidth="1"/>
  </cols>
  <sheetData>
    <row r="1" spans="1:8" x14ac:dyDescent="0.25">
      <c r="A1" s="12" t="s">
        <v>3</v>
      </c>
      <c r="B1" s="42" t="s">
        <v>7</v>
      </c>
      <c r="C1" s="11" t="s">
        <v>5</v>
      </c>
      <c r="D1" s="11" t="s">
        <v>6</v>
      </c>
      <c r="E1" s="13" t="s">
        <v>40</v>
      </c>
      <c r="F1" s="13" t="s">
        <v>46</v>
      </c>
      <c r="G1" s="60" t="s">
        <v>49</v>
      </c>
      <c r="H1" s="13" t="s">
        <v>88</v>
      </c>
    </row>
    <row r="2" spans="1:8" x14ac:dyDescent="0.25">
      <c r="A2" s="21"/>
      <c r="B2" s="21"/>
      <c r="C2" s="6"/>
      <c r="D2" s="6"/>
      <c r="E2" s="7"/>
      <c r="F2" s="6"/>
      <c r="G2" s="7"/>
      <c r="H2" s="7"/>
    </row>
    <row r="3" spans="1:8" x14ac:dyDescent="0.25">
      <c r="A3" s="21"/>
      <c r="B3" s="21"/>
      <c r="C3" s="6"/>
      <c r="D3" s="6"/>
      <c r="E3" s="7"/>
      <c r="F3" s="6"/>
      <c r="G3" s="7"/>
      <c r="H3" s="7"/>
    </row>
    <row r="4" spans="1:8" x14ac:dyDescent="0.25">
      <c r="A4" s="21"/>
      <c r="B4" s="21"/>
      <c r="C4" s="6"/>
      <c r="D4" s="6"/>
      <c r="E4" s="7"/>
      <c r="F4" s="6"/>
      <c r="G4" s="7"/>
      <c r="H4" s="7"/>
    </row>
    <row r="5" spans="1:8" x14ac:dyDescent="0.25">
      <c r="A5" s="21"/>
      <c r="B5" s="21"/>
      <c r="C5" s="6"/>
      <c r="D5" s="6"/>
      <c r="E5" s="7"/>
      <c r="F5" s="6"/>
      <c r="G5" s="7"/>
      <c r="H5" s="7"/>
    </row>
    <row r="6" spans="1:8" x14ac:dyDescent="0.25">
      <c r="A6" s="1"/>
      <c r="B6" s="1"/>
      <c r="C6" s="6"/>
      <c r="D6" s="59"/>
      <c r="E6" s="6"/>
      <c r="F6" s="6"/>
      <c r="G6" s="6"/>
      <c r="H6" s="6"/>
    </row>
    <row r="7" spans="1:8" x14ac:dyDescent="0.25">
      <c r="A7" s="1"/>
      <c r="B7" s="1"/>
      <c r="C7" s="6"/>
      <c r="D7" s="6"/>
      <c r="E7" s="6"/>
      <c r="F7" s="6"/>
      <c r="G7" s="6"/>
      <c r="H7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653E-6347-4A20-83F2-4182948C2766}">
  <sheetPr>
    <tabColor rgb="FFFFC000"/>
  </sheetPr>
  <dimension ref="A1:H49"/>
  <sheetViews>
    <sheetView workbookViewId="0">
      <selection activeCell="C23" sqref="C23"/>
    </sheetView>
  </sheetViews>
  <sheetFormatPr defaultRowHeight="15" x14ac:dyDescent="0.25"/>
  <cols>
    <col min="1" max="1" width="16.7109375" bestFit="1" customWidth="1"/>
    <col min="2" max="2" width="16.85546875" bestFit="1" customWidth="1"/>
    <col min="3" max="3" width="38.7109375" bestFit="1" customWidth="1"/>
    <col min="4" max="4" width="38.140625" bestFit="1" customWidth="1"/>
    <col min="5" max="5" width="38.7109375" bestFit="1" customWidth="1"/>
    <col min="6" max="6" width="38.140625" bestFit="1" customWidth="1"/>
    <col min="7" max="7" width="52.140625" customWidth="1"/>
    <col min="8" max="8" width="57.28515625" bestFit="1" customWidth="1"/>
  </cols>
  <sheetData>
    <row r="1" spans="1:8" s="53" customFormat="1" ht="27" thickBot="1" x14ac:dyDescent="0.45">
      <c r="A1" s="131" t="s">
        <v>72</v>
      </c>
      <c r="B1" s="132"/>
      <c r="C1" s="132"/>
      <c r="D1" s="132"/>
      <c r="E1" s="132"/>
      <c r="F1" s="132"/>
      <c r="G1" s="132"/>
      <c r="H1" s="133"/>
    </row>
    <row r="2" spans="1:8" s="53" customFormat="1" x14ac:dyDescent="0.25"/>
    <row r="3" spans="1:8" s="53" customFormat="1" ht="21" x14ac:dyDescent="0.35">
      <c r="A3" s="90" t="s">
        <v>70</v>
      </c>
    </row>
    <row r="4" spans="1:8" ht="15.75" thickBot="1" x14ac:dyDescent="0.3"/>
    <row r="5" spans="1:8" ht="30.75" thickBot="1" x14ac:dyDescent="0.3">
      <c r="A5" s="87" t="s">
        <v>48</v>
      </c>
      <c r="B5" s="88" t="s">
        <v>20</v>
      </c>
      <c r="C5" s="88" t="s">
        <v>5</v>
      </c>
      <c r="D5" s="88" t="s">
        <v>6</v>
      </c>
      <c r="E5" s="88" t="s">
        <v>40</v>
      </c>
      <c r="F5" s="88" t="s">
        <v>46</v>
      </c>
      <c r="G5" s="88" t="s">
        <v>49</v>
      </c>
      <c r="H5" s="89" t="s">
        <v>88</v>
      </c>
    </row>
    <row r="6" spans="1:8" x14ac:dyDescent="0.25">
      <c r="A6" s="83">
        <v>44712</v>
      </c>
      <c r="B6" s="84">
        <v>44614</v>
      </c>
      <c r="C6" s="75" t="s">
        <v>45</v>
      </c>
      <c r="D6" s="75">
        <v>1</v>
      </c>
      <c r="E6" s="85">
        <v>400</v>
      </c>
      <c r="F6" s="85"/>
      <c r="G6" s="85">
        <v>100000</v>
      </c>
      <c r="H6" s="86">
        <v>100</v>
      </c>
    </row>
    <row r="7" spans="1:8" x14ac:dyDescent="0.25">
      <c r="A7" s="79">
        <v>44712</v>
      </c>
      <c r="B7" s="80">
        <v>44635</v>
      </c>
      <c r="C7" s="6" t="s">
        <v>45</v>
      </c>
      <c r="D7" s="6">
        <v>1</v>
      </c>
      <c r="E7" s="81">
        <v>1500</v>
      </c>
      <c r="F7" s="81"/>
      <c r="G7" s="82"/>
      <c r="H7" s="82"/>
    </row>
    <row r="8" spans="1:8" x14ac:dyDescent="0.25">
      <c r="A8" s="79">
        <v>44712</v>
      </c>
      <c r="B8" s="80">
        <v>44645</v>
      </c>
      <c r="C8" s="6" t="s">
        <v>45</v>
      </c>
      <c r="D8" s="6">
        <v>1</v>
      </c>
      <c r="E8" s="81"/>
      <c r="F8" s="82">
        <v>7000</v>
      </c>
      <c r="G8" s="81"/>
      <c r="H8" s="81"/>
    </row>
    <row r="9" spans="1:8" x14ac:dyDescent="0.25">
      <c r="A9" s="79">
        <v>44712</v>
      </c>
      <c r="B9" s="80">
        <v>44671</v>
      </c>
      <c r="C9" s="6" t="s">
        <v>45</v>
      </c>
      <c r="D9" s="59">
        <v>1</v>
      </c>
      <c r="E9" s="81">
        <v>2000</v>
      </c>
      <c r="F9" s="81"/>
      <c r="G9" s="82"/>
      <c r="H9" s="82"/>
    </row>
    <row r="10" spans="1:8" x14ac:dyDescent="0.25">
      <c r="A10" s="79">
        <v>44712</v>
      </c>
      <c r="B10" s="80">
        <v>44712</v>
      </c>
      <c r="C10" s="6" t="s">
        <v>45</v>
      </c>
      <c r="D10" s="59">
        <v>1</v>
      </c>
      <c r="E10" s="81"/>
      <c r="F10" s="81"/>
      <c r="G10" s="81"/>
      <c r="H10" s="81"/>
    </row>
    <row r="12" spans="1:8" ht="21" x14ac:dyDescent="0.35">
      <c r="A12" s="90" t="s">
        <v>38</v>
      </c>
    </row>
    <row r="13" spans="1:8" ht="15.75" thickBot="1" x14ac:dyDescent="0.3"/>
    <row r="14" spans="1:8" ht="15.75" thickBot="1" x14ac:dyDescent="0.3">
      <c r="A14" s="91" t="s">
        <v>48</v>
      </c>
      <c r="B14" s="92" t="s">
        <v>20</v>
      </c>
      <c r="C14" s="88" t="s">
        <v>5</v>
      </c>
      <c r="D14" s="88" t="s">
        <v>6</v>
      </c>
      <c r="E14" s="92" t="s">
        <v>40</v>
      </c>
      <c r="F14" s="93" t="s">
        <v>46</v>
      </c>
    </row>
    <row r="15" spans="1:8" x14ac:dyDescent="0.25">
      <c r="A15" s="96">
        <v>44651</v>
      </c>
      <c r="B15" s="97">
        <v>44635</v>
      </c>
      <c r="C15" s="6" t="s">
        <v>45</v>
      </c>
      <c r="D15" s="6">
        <v>1</v>
      </c>
      <c r="E15" s="98">
        <v>1500</v>
      </c>
      <c r="F15" s="98"/>
    </row>
    <row r="16" spans="1:8" x14ac:dyDescent="0.25">
      <c r="A16" s="96">
        <v>44651</v>
      </c>
      <c r="B16" s="97">
        <v>44645</v>
      </c>
      <c r="C16" s="6" t="s">
        <v>45</v>
      </c>
      <c r="D16" s="6">
        <v>1</v>
      </c>
      <c r="E16" s="98"/>
      <c r="F16" s="98">
        <v>7000</v>
      </c>
    </row>
    <row r="17" spans="1:8" x14ac:dyDescent="0.25">
      <c r="A17" s="96">
        <v>44681</v>
      </c>
      <c r="B17" s="97">
        <v>44671</v>
      </c>
      <c r="C17" s="6" t="s">
        <v>45</v>
      </c>
      <c r="D17" s="59">
        <v>1</v>
      </c>
      <c r="E17" s="98">
        <v>2000</v>
      </c>
      <c r="F17" s="98"/>
    </row>
    <row r="18" spans="1:8" x14ac:dyDescent="0.25">
      <c r="A18" s="99">
        <v>44712</v>
      </c>
      <c r="B18" s="100">
        <v>44614</v>
      </c>
      <c r="C18" s="6" t="s">
        <v>45</v>
      </c>
      <c r="D18" s="59">
        <v>1</v>
      </c>
      <c r="E18" s="101">
        <v>400</v>
      </c>
      <c r="F18" s="101"/>
    </row>
    <row r="20" spans="1:8" ht="21" x14ac:dyDescent="0.35">
      <c r="A20" s="90" t="s">
        <v>71</v>
      </c>
    </row>
    <row r="21" spans="1:8" ht="15.75" thickBot="1" x14ac:dyDescent="0.3"/>
    <row r="22" spans="1:8" ht="30.75" thickBot="1" x14ac:dyDescent="0.3">
      <c r="A22" s="87" t="s">
        <v>48</v>
      </c>
      <c r="B22" s="92" t="s">
        <v>20</v>
      </c>
      <c r="C22" s="88" t="s">
        <v>5</v>
      </c>
      <c r="D22" s="88" t="s">
        <v>6</v>
      </c>
      <c r="E22" s="88" t="s">
        <v>42</v>
      </c>
      <c r="F22" s="88" t="s">
        <v>49</v>
      </c>
      <c r="G22" s="89" t="s">
        <v>88</v>
      </c>
    </row>
    <row r="23" spans="1:8" x14ac:dyDescent="0.25">
      <c r="A23" s="83">
        <v>44620</v>
      </c>
      <c r="B23" s="83">
        <v>44620</v>
      </c>
      <c r="C23" s="75" t="s">
        <v>45</v>
      </c>
      <c r="D23" s="75">
        <v>1</v>
      </c>
      <c r="E23" s="104">
        <v>10</v>
      </c>
      <c r="F23" s="85">
        <v>100000</v>
      </c>
      <c r="G23" s="85">
        <v>100</v>
      </c>
    </row>
    <row r="24" spans="1:8" x14ac:dyDescent="0.25">
      <c r="A24" s="79">
        <v>44651</v>
      </c>
      <c r="B24" s="79">
        <v>44651</v>
      </c>
      <c r="C24" s="6" t="s">
        <v>45</v>
      </c>
      <c r="D24" s="6">
        <v>1</v>
      </c>
      <c r="E24" s="102">
        <v>10</v>
      </c>
      <c r="F24" s="81">
        <v>100000</v>
      </c>
      <c r="G24" s="81">
        <v>877.77779999999996</v>
      </c>
    </row>
    <row r="25" spans="1:8" x14ac:dyDescent="0.25">
      <c r="A25" s="79">
        <v>44681</v>
      </c>
      <c r="B25" s="79">
        <v>44681</v>
      </c>
      <c r="C25" s="6" t="s">
        <v>45</v>
      </c>
      <c r="D25" s="6">
        <v>1</v>
      </c>
      <c r="E25" s="102">
        <v>10</v>
      </c>
      <c r="F25" s="81">
        <v>106766.6667</v>
      </c>
      <c r="G25" s="81">
        <v>484.73149999999998</v>
      </c>
    </row>
    <row r="26" spans="1:8" x14ac:dyDescent="0.25">
      <c r="A26" s="103">
        <v>44712</v>
      </c>
      <c r="B26" s="103">
        <v>44712</v>
      </c>
      <c r="C26" s="6" t="s">
        <v>45</v>
      </c>
      <c r="D26" s="59">
        <v>1</v>
      </c>
      <c r="E26" s="102">
        <v>10</v>
      </c>
      <c r="F26" s="81">
        <v>105814.88890000001</v>
      </c>
      <c r="G26" s="81">
        <v>323.32330000000002</v>
      </c>
    </row>
    <row r="28" spans="1:8" ht="15.75" thickBot="1" x14ac:dyDescent="0.3"/>
    <row r="29" spans="1:8" ht="27" thickBot="1" x14ac:dyDescent="0.45">
      <c r="A29" s="131" t="s">
        <v>73</v>
      </c>
      <c r="B29" s="132"/>
      <c r="C29" s="132"/>
      <c r="D29" s="132"/>
      <c r="E29" s="132"/>
      <c r="F29" s="132"/>
      <c r="G29" s="132"/>
      <c r="H29" s="133"/>
    </row>
    <row r="32" spans="1:8" x14ac:dyDescent="0.25">
      <c r="A32" s="105" t="s">
        <v>3</v>
      </c>
      <c r="B32" s="105" t="s">
        <v>4</v>
      </c>
      <c r="C32" s="106" t="s">
        <v>5</v>
      </c>
      <c r="D32" s="107" t="s">
        <v>43</v>
      </c>
      <c r="E32" s="105" t="s">
        <v>1</v>
      </c>
      <c r="F32" s="105" t="s">
        <v>6</v>
      </c>
    </row>
    <row r="33" spans="1:6" x14ac:dyDescent="0.25">
      <c r="A33" s="6">
        <v>20220131</v>
      </c>
      <c r="B33" s="6">
        <v>20220131</v>
      </c>
      <c r="C33" s="44" t="s">
        <v>9</v>
      </c>
      <c r="D33" s="6" t="s">
        <v>77</v>
      </c>
      <c r="E33" s="45">
        <v>100</v>
      </c>
      <c r="F33" s="6">
        <v>1</v>
      </c>
    </row>
    <row r="34" spans="1:6" x14ac:dyDescent="0.25">
      <c r="A34" s="6">
        <v>20220131</v>
      </c>
      <c r="B34" s="6">
        <v>20220131</v>
      </c>
      <c r="C34" s="44" t="s">
        <v>9</v>
      </c>
      <c r="D34" s="6" t="s">
        <v>78</v>
      </c>
      <c r="E34" s="45">
        <v>100000</v>
      </c>
      <c r="F34" s="6">
        <v>1</v>
      </c>
    </row>
    <row r="35" spans="1:6" x14ac:dyDescent="0.25">
      <c r="A35" s="6">
        <v>20220228</v>
      </c>
      <c r="B35" s="6">
        <v>20220228</v>
      </c>
      <c r="C35" s="44" t="s">
        <v>9</v>
      </c>
      <c r="D35" s="6" t="s">
        <v>79</v>
      </c>
      <c r="E35" s="45">
        <v>777.77779999999996</v>
      </c>
      <c r="F35" s="6">
        <v>1</v>
      </c>
    </row>
    <row r="36" spans="1:6" x14ac:dyDescent="0.25">
      <c r="A36" s="6">
        <v>20220331</v>
      </c>
      <c r="B36" s="6">
        <v>20220325</v>
      </c>
      <c r="C36" s="44" t="s">
        <v>9</v>
      </c>
      <c r="D36" s="6" t="s">
        <v>80</v>
      </c>
      <c r="E36" s="45">
        <v>7000</v>
      </c>
      <c r="F36" s="6">
        <v>1</v>
      </c>
    </row>
    <row r="37" spans="1:6" x14ac:dyDescent="0.25">
      <c r="A37" s="6">
        <v>20220331</v>
      </c>
      <c r="B37" s="6">
        <v>20220315</v>
      </c>
      <c r="C37" s="44" t="s">
        <v>9</v>
      </c>
      <c r="D37" s="6" t="s">
        <v>81</v>
      </c>
      <c r="E37" s="45">
        <v>-1266.6667</v>
      </c>
      <c r="F37" s="6">
        <v>1</v>
      </c>
    </row>
    <row r="38" spans="1:6" x14ac:dyDescent="0.25">
      <c r="A38" s="6">
        <v>20220331</v>
      </c>
      <c r="B38" s="6">
        <v>20220315</v>
      </c>
      <c r="C38" s="44" t="s">
        <v>9</v>
      </c>
      <c r="D38" s="6" t="s">
        <v>82</v>
      </c>
      <c r="E38" s="45">
        <v>-233.33330000000001</v>
      </c>
      <c r="F38" s="6">
        <v>1</v>
      </c>
    </row>
    <row r="39" spans="1:6" x14ac:dyDescent="0.25">
      <c r="A39" s="6">
        <v>20220331</v>
      </c>
      <c r="B39" s="6">
        <v>20220315</v>
      </c>
      <c r="C39" s="44" t="s">
        <v>9</v>
      </c>
      <c r="D39" s="6" t="s">
        <v>83</v>
      </c>
      <c r="E39" s="45">
        <v>1500</v>
      </c>
      <c r="F39" s="6">
        <v>1</v>
      </c>
    </row>
    <row r="40" spans="1:6" x14ac:dyDescent="0.25">
      <c r="A40" s="6">
        <v>20220331</v>
      </c>
      <c r="B40" s="6">
        <v>20220331</v>
      </c>
      <c r="C40" s="44" t="s">
        <v>9</v>
      </c>
      <c r="D40" s="6" t="s">
        <v>79</v>
      </c>
      <c r="E40" s="45">
        <v>873.6203999999999</v>
      </c>
      <c r="F40" s="6">
        <v>1</v>
      </c>
    </row>
    <row r="41" spans="1:6" x14ac:dyDescent="0.25">
      <c r="A41" s="6">
        <v>20220430</v>
      </c>
      <c r="B41" s="6">
        <v>20220420</v>
      </c>
      <c r="C41" s="44" t="s">
        <v>9</v>
      </c>
      <c r="D41" s="6" t="s">
        <v>81</v>
      </c>
      <c r="E41" s="45">
        <v>-1048.2221999999999</v>
      </c>
      <c r="F41" s="6">
        <v>1</v>
      </c>
    </row>
    <row r="42" spans="1:6" x14ac:dyDescent="0.25">
      <c r="A42" s="6">
        <v>20220430</v>
      </c>
      <c r="B42" s="6">
        <v>20220420</v>
      </c>
      <c r="C42" s="44" t="s">
        <v>9</v>
      </c>
      <c r="D42" s="6" t="s">
        <v>82</v>
      </c>
      <c r="E42" s="45">
        <v>-951.77779999999996</v>
      </c>
      <c r="F42" s="6">
        <v>1</v>
      </c>
    </row>
    <row r="43" spans="1:6" x14ac:dyDescent="0.25">
      <c r="A43" s="6">
        <v>20220430</v>
      </c>
      <c r="B43" s="6">
        <v>20220420</v>
      </c>
      <c r="C43" s="44" t="s">
        <v>9</v>
      </c>
      <c r="D43" s="6" t="s">
        <v>83</v>
      </c>
      <c r="E43" s="45">
        <v>1500</v>
      </c>
      <c r="F43" s="6">
        <v>1</v>
      </c>
    </row>
    <row r="44" spans="1:6" x14ac:dyDescent="0.25">
      <c r="A44" s="6">
        <v>20220430</v>
      </c>
      <c r="B44" s="6">
        <v>20220430</v>
      </c>
      <c r="C44" s="44" t="s">
        <v>9</v>
      </c>
      <c r="D44" s="6" t="s">
        <v>79</v>
      </c>
      <c r="E44" s="45">
        <v>886.81399999999996</v>
      </c>
      <c r="F44" s="6">
        <v>1</v>
      </c>
    </row>
    <row r="45" spans="1:6" x14ac:dyDescent="0.25">
      <c r="A45" s="6">
        <v>20220531</v>
      </c>
      <c r="B45" s="6">
        <v>20220531</v>
      </c>
      <c r="C45" s="44" t="s">
        <v>9</v>
      </c>
      <c r="D45" s="6" t="s">
        <v>84</v>
      </c>
      <c r="E45" s="45">
        <v>-1.2343999999999999</v>
      </c>
      <c r="F45" s="6">
        <v>1</v>
      </c>
    </row>
    <row r="46" spans="1:6" x14ac:dyDescent="0.25">
      <c r="A46" s="6">
        <v>20220531</v>
      </c>
      <c r="B46" s="6">
        <v>20220531</v>
      </c>
      <c r="C46" s="44" t="s">
        <v>9</v>
      </c>
      <c r="D46" s="6" t="s">
        <v>85</v>
      </c>
      <c r="E46" s="45">
        <v>-404</v>
      </c>
      <c r="F46" s="6">
        <v>1</v>
      </c>
    </row>
    <row r="47" spans="1:6" x14ac:dyDescent="0.25">
      <c r="A47" s="6">
        <v>20220531</v>
      </c>
      <c r="B47" s="6">
        <v>20220222</v>
      </c>
      <c r="C47" s="44" t="s">
        <v>9</v>
      </c>
      <c r="D47" s="6" t="s">
        <v>83</v>
      </c>
      <c r="E47" s="45">
        <v>400</v>
      </c>
      <c r="F47" s="6">
        <v>1</v>
      </c>
    </row>
    <row r="48" spans="1:6" x14ac:dyDescent="0.25">
      <c r="A48" s="6">
        <v>20220531</v>
      </c>
      <c r="B48" s="6">
        <v>20220531</v>
      </c>
      <c r="C48" s="44" t="s">
        <v>9</v>
      </c>
      <c r="D48" s="6" t="s">
        <v>79</v>
      </c>
      <c r="E48" s="45">
        <v>907.70489999999995</v>
      </c>
      <c r="F48" s="6">
        <v>1</v>
      </c>
    </row>
    <row r="49" spans="1:1" x14ac:dyDescent="0.25">
      <c r="A49" s="6"/>
    </row>
  </sheetData>
  <mergeCells count="2">
    <mergeCell ref="A1:H1"/>
    <mergeCell ref="A29:H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>
    <tabColor rgb="FF00B0F0"/>
  </sheetPr>
  <dimension ref="A1:R36"/>
  <sheetViews>
    <sheetView topLeftCell="A3" zoomScaleNormal="100" workbookViewId="0">
      <selection activeCell="K3" sqref="K3:K36"/>
    </sheetView>
  </sheetViews>
  <sheetFormatPr defaultColWidth="8.7109375" defaultRowHeight="15" customHeight="1" x14ac:dyDescent="0.25"/>
  <cols>
    <col min="1" max="2" width="9.7109375" style="8" customWidth="1"/>
    <col min="3" max="3" width="11.42578125" style="8" customWidth="1"/>
    <col min="4" max="4" width="8" style="8" customWidth="1"/>
    <col min="5" max="5" width="27.42578125" style="8" customWidth="1"/>
    <col min="6" max="6" width="8.5703125" style="8" customWidth="1"/>
    <col min="7" max="7" width="8.7109375" style="8"/>
    <col min="8" max="8" width="26.85546875" style="8" customWidth="1"/>
    <col min="9" max="9" width="15.42578125" style="8" customWidth="1"/>
    <col min="10" max="10" width="8.7109375" style="8"/>
    <col min="11" max="11" width="12.85546875" style="8" bestFit="1" customWidth="1"/>
    <col min="12" max="12" width="9.85546875" style="8" bestFit="1" customWidth="1"/>
    <col min="13" max="13" width="19.42578125" style="8" customWidth="1"/>
    <col min="14" max="14" width="12" style="8" customWidth="1"/>
    <col min="15" max="16384" width="8.7109375" style="8"/>
  </cols>
  <sheetData>
    <row r="1" spans="1:18" ht="15.75" thickBot="1" x14ac:dyDescent="0.3">
      <c r="A1" s="134" t="s">
        <v>0</v>
      </c>
      <c r="B1" s="134"/>
      <c r="C1" s="134"/>
      <c r="D1" s="134"/>
      <c r="E1" s="134"/>
      <c r="F1" s="134"/>
      <c r="H1" s="135" t="s">
        <v>21</v>
      </c>
      <c r="I1" s="135"/>
      <c r="M1" s="6" t="s">
        <v>22</v>
      </c>
      <c r="N1" s="6">
        <f>10/1200</f>
        <v>8.3333333333333332E-3</v>
      </c>
      <c r="P1" s="8">
        <v>10</v>
      </c>
      <c r="Q1" s="8">
        <f>P1/100</f>
        <v>0.1</v>
      </c>
      <c r="R1" s="8">
        <f>Q1/360</f>
        <v>2.7777777777777778E-4</v>
      </c>
    </row>
    <row r="2" spans="1:18" x14ac:dyDescent="0.25">
      <c r="A2" s="34" t="s">
        <v>23</v>
      </c>
      <c r="B2" s="34" t="s">
        <v>24</v>
      </c>
      <c r="C2" s="34" t="s">
        <v>25</v>
      </c>
      <c r="D2" s="34" t="s">
        <v>26</v>
      </c>
      <c r="E2" s="34" t="s">
        <v>1</v>
      </c>
      <c r="F2" s="34" t="s">
        <v>27</v>
      </c>
      <c r="G2" s="34" t="s">
        <v>12</v>
      </c>
      <c r="H2" s="108" t="s">
        <v>28</v>
      </c>
      <c r="I2" s="108" t="s">
        <v>29</v>
      </c>
      <c r="K2" s="129" t="s">
        <v>75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  <c r="K3" s="128">
        <f>ROUND(E3,4)</f>
        <v>100000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114" t="s">
        <v>32</v>
      </c>
      <c r="G4" s="4"/>
      <c r="H4" s="116">
        <f>E3</f>
        <v>100000</v>
      </c>
      <c r="I4" s="76">
        <f>E4</f>
        <v>100</v>
      </c>
      <c r="K4" s="128">
        <f t="shared" ref="K4:K36" si="0">ROUND(E4,4)</f>
        <v>100</v>
      </c>
    </row>
    <row r="5" spans="1:18" x14ac:dyDescent="0.25">
      <c r="A5" s="1">
        <v>44620</v>
      </c>
      <c r="B5" s="1">
        <v>44620</v>
      </c>
      <c r="C5" s="6" t="s">
        <v>34</v>
      </c>
      <c r="D5" s="6" t="s">
        <v>33</v>
      </c>
      <c r="E5" s="37">
        <f>H5*$N$2*G5</f>
        <v>777.77777777777783</v>
      </c>
      <c r="F5" s="114" t="s">
        <v>32</v>
      </c>
      <c r="G5" s="121">
        <f>A5-A4</f>
        <v>28</v>
      </c>
      <c r="H5" s="116">
        <f>H4</f>
        <v>100000</v>
      </c>
      <c r="I5" s="76">
        <f>I4+E5</f>
        <v>877.77777777777783</v>
      </c>
      <c r="K5" s="128">
        <f t="shared" si="0"/>
        <v>777.77779999999996</v>
      </c>
    </row>
    <row r="6" spans="1:18" x14ac:dyDescent="0.25">
      <c r="A6" s="1">
        <v>44651</v>
      </c>
      <c r="B6" s="1">
        <v>44634</v>
      </c>
      <c r="C6" s="6" t="s">
        <v>34</v>
      </c>
      <c r="D6" s="6" t="s">
        <v>33</v>
      </c>
      <c r="E6" s="37">
        <f>H6*$N$2*G6</f>
        <v>388.88888888888891</v>
      </c>
      <c r="F6" s="114" t="s">
        <v>32</v>
      </c>
      <c r="G6" s="121">
        <f>B6-B5</f>
        <v>14</v>
      </c>
      <c r="H6" s="116">
        <f>H5</f>
        <v>100000</v>
      </c>
      <c r="I6" s="45">
        <f>I5+E6</f>
        <v>1266.6666666666667</v>
      </c>
      <c r="K6" s="128">
        <f t="shared" si="0"/>
        <v>388.88889999999998</v>
      </c>
    </row>
    <row r="7" spans="1:18" x14ac:dyDescent="0.25">
      <c r="A7" s="1">
        <v>44651</v>
      </c>
      <c r="B7" s="1">
        <v>44635</v>
      </c>
      <c r="C7" s="6" t="s">
        <v>35</v>
      </c>
      <c r="D7" s="6"/>
      <c r="E7" s="37">
        <v>1500</v>
      </c>
      <c r="F7" s="114" t="s">
        <v>32</v>
      </c>
      <c r="G7" s="121"/>
      <c r="H7" s="116">
        <f>H5</f>
        <v>100000</v>
      </c>
      <c r="I7" s="109">
        <f>I6</f>
        <v>1266.6666666666667</v>
      </c>
      <c r="K7" s="128">
        <f t="shared" si="0"/>
        <v>1500</v>
      </c>
      <c r="N7" s="35"/>
    </row>
    <row r="8" spans="1:18" x14ac:dyDescent="0.25">
      <c r="A8" s="1">
        <v>44651</v>
      </c>
      <c r="B8" s="1">
        <v>44635</v>
      </c>
      <c r="C8" s="6" t="s">
        <v>36</v>
      </c>
      <c r="D8" s="6" t="s">
        <v>28</v>
      </c>
      <c r="E8" s="37">
        <f>-(E9+E7)</f>
        <v>-233.33333333333326</v>
      </c>
      <c r="F8" s="114" t="s">
        <v>32</v>
      </c>
      <c r="G8" s="4"/>
      <c r="H8" s="116">
        <f>H7+E8</f>
        <v>99766.666666666672</v>
      </c>
      <c r="I8" s="76">
        <f>I7</f>
        <v>1266.6666666666667</v>
      </c>
      <c r="J8" s="36"/>
      <c r="K8" s="128">
        <f t="shared" si="0"/>
        <v>-233.33330000000001</v>
      </c>
    </row>
    <row r="9" spans="1:18" x14ac:dyDescent="0.25">
      <c r="A9" s="1">
        <v>44651</v>
      </c>
      <c r="B9" s="1">
        <v>44635</v>
      </c>
      <c r="C9" s="6" t="s">
        <v>36</v>
      </c>
      <c r="D9" s="6" t="s">
        <v>33</v>
      </c>
      <c r="E9" s="37">
        <f>-MIN(I7,E7)</f>
        <v>-1266.6666666666667</v>
      </c>
      <c r="F9" s="114" t="s">
        <v>32</v>
      </c>
      <c r="G9" s="121"/>
      <c r="H9" s="116">
        <f>H8</f>
        <v>99766.666666666672</v>
      </c>
      <c r="I9" s="76">
        <f>I8+E9</f>
        <v>0</v>
      </c>
      <c r="K9" s="128">
        <f t="shared" si="0"/>
        <v>-1266.6667</v>
      </c>
    </row>
    <row r="10" spans="1:18" x14ac:dyDescent="0.25">
      <c r="A10" s="1">
        <v>44651</v>
      </c>
      <c r="B10" s="1">
        <v>44644</v>
      </c>
      <c r="C10" s="6" t="s">
        <v>34</v>
      </c>
      <c r="D10" s="6" t="s">
        <v>33</v>
      </c>
      <c r="E10" s="37">
        <f>H10*$N$2*G10</f>
        <v>277.12962962962968</v>
      </c>
      <c r="F10" s="114" t="s">
        <v>32</v>
      </c>
      <c r="G10" s="121">
        <f>B11-B9</f>
        <v>10</v>
      </c>
      <c r="H10" s="116">
        <f>H9</f>
        <v>99766.666666666672</v>
      </c>
      <c r="I10" s="76">
        <f>E10+I9</f>
        <v>277.12962962962968</v>
      </c>
      <c r="K10" s="128">
        <f t="shared" si="0"/>
        <v>277.12959999999998</v>
      </c>
    </row>
    <row r="11" spans="1:18" x14ac:dyDescent="0.25">
      <c r="A11" s="1">
        <v>44651</v>
      </c>
      <c r="B11" s="1">
        <v>44645</v>
      </c>
      <c r="C11" s="6" t="s">
        <v>44</v>
      </c>
      <c r="D11" s="6" t="s">
        <v>28</v>
      </c>
      <c r="E11" s="37">
        <v>7000</v>
      </c>
      <c r="F11" s="114" t="s">
        <v>32</v>
      </c>
      <c r="G11" s="121"/>
      <c r="H11" s="116">
        <f>H10+E11</f>
        <v>106766.66666666667</v>
      </c>
      <c r="I11" s="76">
        <f>I10</f>
        <v>277.12962962962968</v>
      </c>
      <c r="K11" s="128">
        <f t="shared" si="0"/>
        <v>7000</v>
      </c>
      <c r="L11" s="35"/>
    </row>
    <row r="12" spans="1:18" x14ac:dyDescent="0.25">
      <c r="A12" s="1">
        <v>44651</v>
      </c>
      <c r="B12" s="1">
        <v>44651</v>
      </c>
      <c r="C12" s="6" t="s">
        <v>34</v>
      </c>
      <c r="D12" s="6" t="s">
        <v>33</v>
      </c>
      <c r="E12" s="37">
        <f>H12*N2*G12</f>
        <v>207.60185185185185</v>
      </c>
      <c r="F12" s="114" t="s">
        <v>32</v>
      </c>
      <c r="G12" s="121">
        <f>B12-B11+1</f>
        <v>7</v>
      </c>
      <c r="H12" s="116">
        <f>H11</f>
        <v>106766.66666666667</v>
      </c>
      <c r="I12" s="76">
        <f>E12+I11</f>
        <v>484.73148148148152</v>
      </c>
      <c r="K12" s="128">
        <f t="shared" si="0"/>
        <v>207.6019</v>
      </c>
    </row>
    <row r="13" spans="1:18" x14ac:dyDescent="0.25">
      <c r="A13" s="1">
        <v>44681</v>
      </c>
      <c r="B13" s="1">
        <v>44670</v>
      </c>
      <c r="C13" s="6" t="s">
        <v>34</v>
      </c>
      <c r="D13" s="6" t="s">
        <v>33</v>
      </c>
      <c r="E13" s="37">
        <f>H13*N2*G13</f>
        <v>563.49074074074076</v>
      </c>
      <c r="F13" s="114" t="s">
        <v>32</v>
      </c>
      <c r="G13" s="4">
        <f>B13-B12</f>
        <v>19</v>
      </c>
      <c r="H13" s="116">
        <f>H12</f>
        <v>106766.66666666667</v>
      </c>
      <c r="I13" s="76">
        <f>I12+E13</f>
        <v>1048.2222222222222</v>
      </c>
      <c r="J13" s="36"/>
      <c r="K13" s="128">
        <f t="shared" si="0"/>
        <v>563.49069999999995</v>
      </c>
    </row>
    <row r="14" spans="1:18" x14ac:dyDescent="0.25">
      <c r="A14" s="1">
        <v>44681</v>
      </c>
      <c r="B14" s="1">
        <v>44671</v>
      </c>
      <c r="C14" s="6" t="s">
        <v>35</v>
      </c>
      <c r="D14" s="6"/>
      <c r="E14" s="37">
        <v>2000</v>
      </c>
      <c r="F14" s="114" t="s">
        <v>32</v>
      </c>
      <c r="G14" s="4"/>
      <c r="H14" s="116">
        <f>H13</f>
        <v>106766.66666666667</v>
      </c>
      <c r="I14" s="76">
        <f>I13</f>
        <v>1048.2222222222222</v>
      </c>
      <c r="K14" s="128">
        <f t="shared" si="0"/>
        <v>2000</v>
      </c>
    </row>
    <row r="15" spans="1:18" x14ac:dyDescent="0.25">
      <c r="A15" s="1">
        <v>44681</v>
      </c>
      <c r="B15" s="1">
        <v>44671</v>
      </c>
      <c r="C15" s="6" t="s">
        <v>36</v>
      </c>
      <c r="D15" s="6" t="s">
        <v>28</v>
      </c>
      <c r="E15" s="37">
        <f>-(E16+E14)</f>
        <v>-951.77777777777783</v>
      </c>
      <c r="F15" s="114" t="s">
        <v>32</v>
      </c>
      <c r="G15" s="4"/>
      <c r="H15" s="116">
        <f>H14+E15</f>
        <v>105814.88888888889</v>
      </c>
      <c r="I15" s="76">
        <f>I14</f>
        <v>1048.2222222222222</v>
      </c>
      <c r="K15" s="128">
        <f t="shared" si="0"/>
        <v>-951.77779999999996</v>
      </c>
    </row>
    <row r="16" spans="1:18" x14ac:dyDescent="0.25">
      <c r="A16" s="1">
        <v>44681</v>
      </c>
      <c r="B16" s="1">
        <v>44671</v>
      </c>
      <c r="C16" s="6" t="s">
        <v>36</v>
      </c>
      <c r="D16" s="6" t="s">
        <v>33</v>
      </c>
      <c r="E16" s="37">
        <f>-I15</f>
        <v>-1048.2222222222222</v>
      </c>
      <c r="F16" s="114" t="s">
        <v>32</v>
      </c>
      <c r="G16" s="121"/>
      <c r="H16" s="116">
        <f>H15</f>
        <v>105814.88888888889</v>
      </c>
      <c r="I16" s="76">
        <f>I15+E16</f>
        <v>0</v>
      </c>
      <c r="K16" s="128">
        <f t="shared" si="0"/>
        <v>-1048.2221999999999</v>
      </c>
    </row>
    <row r="17" spans="1:12" x14ac:dyDescent="0.25">
      <c r="A17" s="1">
        <v>44681</v>
      </c>
      <c r="B17" s="1">
        <v>44681</v>
      </c>
      <c r="C17" s="6" t="s">
        <v>34</v>
      </c>
      <c r="D17" s="6" t="s">
        <v>33</v>
      </c>
      <c r="E17" s="37">
        <f>H17*N2*G17</f>
        <v>323.32327160493827</v>
      </c>
      <c r="F17" s="114" t="s">
        <v>32</v>
      </c>
      <c r="G17" s="4">
        <v>11</v>
      </c>
      <c r="H17" s="117">
        <f>H16</f>
        <v>105814.88888888889</v>
      </c>
      <c r="I17" s="110">
        <f>I16+E17</f>
        <v>323.32327160493827</v>
      </c>
      <c r="J17" s="36"/>
      <c r="K17" s="128">
        <f t="shared" si="0"/>
        <v>323.32330000000002</v>
      </c>
      <c r="L17" s="35"/>
    </row>
    <row r="18" spans="1:12" x14ac:dyDescent="0.25">
      <c r="A18" s="1">
        <v>44712</v>
      </c>
      <c r="B18" s="1">
        <v>44614</v>
      </c>
      <c r="C18" s="6" t="s">
        <v>35</v>
      </c>
      <c r="D18" s="6"/>
      <c r="E18" s="37">
        <v>400</v>
      </c>
      <c r="F18" s="114" t="s">
        <v>32</v>
      </c>
      <c r="G18" s="4">
        <v>21</v>
      </c>
      <c r="H18" s="116">
        <f>H5</f>
        <v>100000</v>
      </c>
      <c r="I18" s="76">
        <f>I4+(H18*N2*G18)</f>
        <v>683.33333333333337</v>
      </c>
      <c r="K18" s="128">
        <f t="shared" si="0"/>
        <v>400</v>
      </c>
    </row>
    <row r="19" spans="1:12" x14ac:dyDescent="0.25">
      <c r="A19" s="1">
        <v>44712</v>
      </c>
      <c r="B19" s="1">
        <v>44614</v>
      </c>
      <c r="C19" s="6" t="s">
        <v>36</v>
      </c>
      <c r="D19" s="6" t="s">
        <v>28</v>
      </c>
      <c r="E19" s="37">
        <v>0</v>
      </c>
      <c r="F19" s="114" t="s">
        <v>32</v>
      </c>
      <c r="G19" s="4"/>
      <c r="H19" s="116">
        <f>H18</f>
        <v>100000</v>
      </c>
      <c r="I19" s="76">
        <v>0</v>
      </c>
      <c r="K19" s="128">
        <f t="shared" si="0"/>
        <v>0</v>
      </c>
    </row>
    <row r="20" spans="1:12" x14ac:dyDescent="0.25">
      <c r="A20" s="1">
        <v>44712</v>
      </c>
      <c r="B20" s="1">
        <v>44614</v>
      </c>
      <c r="C20" s="6" t="s">
        <v>36</v>
      </c>
      <c r="D20" s="6" t="s">
        <v>33</v>
      </c>
      <c r="E20" s="37">
        <f>-MIN(E18,I18)</f>
        <v>-400</v>
      </c>
      <c r="F20" s="114" t="s">
        <v>32</v>
      </c>
      <c r="G20" s="121"/>
      <c r="H20" s="116">
        <f>H19</f>
        <v>100000</v>
      </c>
      <c r="I20" s="76">
        <f>I18+E20</f>
        <v>283.33333333333337</v>
      </c>
      <c r="K20" s="128">
        <f t="shared" si="0"/>
        <v>-400</v>
      </c>
    </row>
    <row r="21" spans="1:12" x14ac:dyDescent="0.25">
      <c r="A21" s="1">
        <v>44712</v>
      </c>
      <c r="B21" s="1">
        <v>44620</v>
      </c>
      <c r="C21" s="6" t="s">
        <v>34</v>
      </c>
      <c r="D21" s="6" t="s">
        <v>33</v>
      </c>
      <c r="E21" s="37">
        <f>H21*N2*G21</f>
        <v>194.44444444444446</v>
      </c>
      <c r="F21" s="114" t="s">
        <v>32</v>
      </c>
      <c r="G21" s="121">
        <v>7</v>
      </c>
      <c r="H21" s="118">
        <f>H20</f>
        <v>100000</v>
      </c>
      <c r="I21" s="76">
        <f>I20+E21</f>
        <v>477.77777777777783</v>
      </c>
      <c r="K21" s="128">
        <f t="shared" si="0"/>
        <v>194.4444</v>
      </c>
    </row>
    <row r="22" spans="1:12" x14ac:dyDescent="0.25">
      <c r="A22" s="55">
        <v>44712</v>
      </c>
      <c r="B22" s="55">
        <v>44634</v>
      </c>
      <c r="C22" s="56" t="s">
        <v>34</v>
      </c>
      <c r="D22" s="56" t="s">
        <v>33</v>
      </c>
      <c r="E22" s="56">
        <f>H22*$N$2*G22</f>
        <v>388.88888888888891</v>
      </c>
      <c r="F22" s="115"/>
      <c r="G22" s="122">
        <v>14</v>
      </c>
      <c r="H22" s="117">
        <f>H21</f>
        <v>100000</v>
      </c>
      <c r="I22" s="110">
        <f>I21+E22</f>
        <v>866.66666666666674</v>
      </c>
      <c r="K22" s="128">
        <f t="shared" si="0"/>
        <v>388.88889999999998</v>
      </c>
    </row>
    <row r="23" spans="1:12" x14ac:dyDescent="0.25">
      <c r="A23" s="1">
        <v>44712</v>
      </c>
      <c r="B23" s="1">
        <v>44635</v>
      </c>
      <c r="C23" s="6" t="s">
        <v>35</v>
      </c>
      <c r="D23" s="6"/>
      <c r="E23" s="37">
        <f>E7</f>
        <v>1500</v>
      </c>
      <c r="F23" s="114"/>
      <c r="G23" s="4"/>
      <c r="H23" s="116">
        <f>H22</f>
        <v>100000</v>
      </c>
      <c r="I23" s="76">
        <f>I22</f>
        <v>866.66666666666674</v>
      </c>
      <c r="K23" s="128">
        <f t="shared" si="0"/>
        <v>1500</v>
      </c>
    </row>
    <row r="24" spans="1:12" x14ac:dyDescent="0.25">
      <c r="A24" s="1">
        <v>44712</v>
      </c>
      <c r="B24" s="1">
        <v>44635</v>
      </c>
      <c r="C24" s="6" t="s">
        <v>36</v>
      </c>
      <c r="D24" s="6" t="s">
        <v>28</v>
      </c>
      <c r="E24" s="45">
        <f>-(E25+E23)</f>
        <v>-633.33333333333326</v>
      </c>
      <c r="F24" s="114"/>
      <c r="G24" s="4"/>
      <c r="H24" s="116">
        <f>H23+E24</f>
        <v>99366.666666666672</v>
      </c>
      <c r="I24" s="76">
        <f>I23</f>
        <v>866.66666666666674</v>
      </c>
      <c r="K24" s="128">
        <f t="shared" si="0"/>
        <v>-633.33330000000001</v>
      </c>
    </row>
    <row r="25" spans="1:12" x14ac:dyDescent="0.25">
      <c r="A25" s="1">
        <v>44712</v>
      </c>
      <c r="B25" s="1">
        <v>44635</v>
      </c>
      <c r="C25" s="6" t="s">
        <v>36</v>
      </c>
      <c r="D25" s="6" t="s">
        <v>33</v>
      </c>
      <c r="E25" s="45">
        <f>-I24</f>
        <v>-866.66666666666674</v>
      </c>
      <c r="F25" s="114"/>
      <c r="G25" s="4"/>
      <c r="H25" s="119">
        <f>H24</f>
        <v>99366.666666666672</v>
      </c>
      <c r="I25" s="76">
        <f>I24+E25</f>
        <v>0</v>
      </c>
      <c r="K25" s="128">
        <f t="shared" si="0"/>
        <v>-866.66669999999999</v>
      </c>
    </row>
    <row r="26" spans="1:12" x14ac:dyDescent="0.25">
      <c r="A26" s="1">
        <v>44712</v>
      </c>
      <c r="B26" s="1">
        <v>44644</v>
      </c>
      <c r="C26" s="6" t="s">
        <v>34</v>
      </c>
      <c r="D26" s="6" t="s">
        <v>33</v>
      </c>
      <c r="E26" s="6">
        <f>H26*$N$2*G26</f>
        <v>276.01851851851853</v>
      </c>
      <c r="F26" s="114"/>
      <c r="G26" s="4">
        <v>10</v>
      </c>
      <c r="H26" s="116">
        <f>H25</f>
        <v>99366.666666666672</v>
      </c>
      <c r="I26" s="76">
        <f>I25+E26</f>
        <v>276.01851851851853</v>
      </c>
      <c r="K26" s="128">
        <f t="shared" si="0"/>
        <v>276.01850000000002</v>
      </c>
    </row>
    <row r="27" spans="1:12" ht="15" customHeight="1" x14ac:dyDescent="0.25">
      <c r="A27" s="1">
        <v>44712</v>
      </c>
      <c r="B27" s="1">
        <v>44645</v>
      </c>
      <c r="C27" s="6" t="s">
        <v>44</v>
      </c>
      <c r="D27" s="6" t="s">
        <v>28</v>
      </c>
      <c r="E27" s="37">
        <f>E11</f>
        <v>7000</v>
      </c>
      <c r="F27" s="114"/>
      <c r="G27" s="4"/>
      <c r="H27" s="120">
        <f>H26+E27</f>
        <v>106366.66666666667</v>
      </c>
      <c r="I27" s="76">
        <f>I26</f>
        <v>276.01851851851853</v>
      </c>
      <c r="K27" s="128">
        <f t="shared" si="0"/>
        <v>7000</v>
      </c>
    </row>
    <row r="28" spans="1:12" x14ac:dyDescent="0.25">
      <c r="A28" s="1">
        <v>44712</v>
      </c>
      <c r="B28" s="1">
        <v>44651</v>
      </c>
      <c r="C28" s="6" t="s">
        <v>34</v>
      </c>
      <c r="D28" s="6" t="s">
        <v>33</v>
      </c>
      <c r="E28" s="6">
        <f>H28*$N$2*G28</f>
        <v>206.82407407407408</v>
      </c>
      <c r="F28" s="114"/>
      <c r="G28" s="4">
        <v>7</v>
      </c>
      <c r="H28" s="116">
        <f>H27</f>
        <v>106366.66666666667</v>
      </c>
      <c r="I28" s="76">
        <f>I27+E28</f>
        <v>482.84259259259261</v>
      </c>
      <c r="K28" s="128">
        <f t="shared" si="0"/>
        <v>206.82409999999999</v>
      </c>
    </row>
    <row r="29" spans="1:12" ht="15" customHeight="1" x14ac:dyDescent="0.25">
      <c r="A29" s="1">
        <v>44712</v>
      </c>
      <c r="B29" s="1">
        <v>44670</v>
      </c>
      <c r="C29" s="6" t="s">
        <v>34</v>
      </c>
      <c r="D29" s="6" t="s">
        <v>33</v>
      </c>
      <c r="E29" s="6">
        <f>H29*$N$2*G29</f>
        <v>561.37962962962968</v>
      </c>
      <c r="F29" s="114"/>
      <c r="G29" s="4">
        <v>19</v>
      </c>
      <c r="H29" s="116">
        <f>H28</f>
        <v>106366.66666666667</v>
      </c>
      <c r="I29" s="76">
        <f>I28+E29</f>
        <v>1044.2222222222222</v>
      </c>
      <c r="K29" s="128">
        <f t="shared" si="0"/>
        <v>561.37959999999998</v>
      </c>
    </row>
    <row r="30" spans="1:12" ht="15" customHeight="1" x14ac:dyDescent="0.25">
      <c r="A30" s="1">
        <v>44712</v>
      </c>
      <c r="B30" s="1">
        <v>44671</v>
      </c>
      <c r="C30" s="6" t="s">
        <v>35</v>
      </c>
      <c r="D30" s="6"/>
      <c r="E30" s="37">
        <f>E14</f>
        <v>2000</v>
      </c>
      <c r="F30" s="114"/>
      <c r="G30" s="4"/>
      <c r="H30" s="116">
        <f>H29</f>
        <v>106366.66666666667</v>
      </c>
      <c r="I30" s="76">
        <f>I29</f>
        <v>1044.2222222222222</v>
      </c>
      <c r="K30" s="128">
        <f t="shared" si="0"/>
        <v>2000</v>
      </c>
    </row>
    <row r="31" spans="1:12" ht="15" customHeight="1" x14ac:dyDescent="0.25">
      <c r="A31" s="1">
        <v>44712</v>
      </c>
      <c r="B31" s="1">
        <v>44671</v>
      </c>
      <c r="C31" s="6" t="s">
        <v>36</v>
      </c>
      <c r="D31" s="6" t="s">
        <v>28</v>
      </c>
      <c r="E31" s="76">
        <f>-(E32+E30)</f>
        <v>-955.77777777777783</v>
      </c>
      <c r="F31" s="114"/>
      <c r="G31" s="4"/>
      <c r="H31" s="116">
        <f>H30+E31</f>
        <v>105410.88888888889</v>
      </c>
      <c r="I31" s="76">
        <f>I30</f>
        <v>1044.2222222222222</v>
      </c>
      <c r="K31" s="128">
        <f t="shared" si="0"/>
        <v>-955.77779999999996</v>
      </c>
    </row>
    <row r="32" spans="1:12" ht="15" customHeight="1" x14ac:dyDescent="0.25">
      <c r="A32" s="1">
        <v>44712</v>
      </c>
      <c r="B32" s="1">
        <v>44671</v>
      </c>
      <c r="C32" s="6" t="s">
        <v>36</v>
      </c>
      <c r="D32" s="6" t="s">
        <v>33</v>
      </c>
      <c r="E32" s="76">
        <f>-I30</f>
        <v>-1044.2222222222222</v>
      </c>
      <c r="F32" s="114"/>
      <c r="G32" s="4"/>
      <c r="H32" s="116">
        <f>H31</f>
        <v>105410.88888888889</v>
      </c>
      <c r="I32" s="76">
        <f>I31+E32</f>
        <v>0</v>
      </c>
      <c r="K32" s="128">
        <f t="shared" si="0"/>
        <v>-1044.2221999999999</v>
      </c>
    </row>
    <row r="33" spans="1:13" ht="15" customHeight="1" x14ac:dyDescent="0.25">
      <c r="A33" s="1">
        <v>44712</v>
      </c>
      <c r="B33" s="1">
        <v>44681</v>
      </c>
      <c r="C33" s="6" t="s">
        <v>34</v>
      </c>
      <c r="D33" s="6" t="s">
        <v>33</v>
      </c>
      <c r="E33" s="6">
        <f>H33*$N$2*G33</f>
        <v>322.08882716049385</v>
      </c>
      <c r="F33" s="114"/>
      <c r="G33" s="4">
        <v>11</v>
      </c>
      <c r="H33" s="117">
        <f>H32</f>
        <v>105410.88888888889</v>
      </c>
      <c r="I33" s="110">
        <f>I32+E33</f>
        <v>322.08882716049385</v>
      </c>
      <c r="K33" s="128">
        <f t="shared" si="0"/>
        <v>322.08879999999999</v>
      </c>
      <c r="L33" s="35"/>
      <c r="M33" s="35"/>
    </row>
    <row r="34" spans="1:13" ht="15" customHeight="1" x14ac:dyDescent="0.25">
      <c r="A34" s="1">
        <v>44712</v>
      </c>
      <c r="B34" s="1">
        <v>44712</v>
      </c>
      <c r="C34" s="6" t="s">
        <v>34</v>
      </c>
      <c r="D34" s="6" t="s">
        <v>33</v>
      </c>
      <c r="E34" s="6">
        <f>H34*$N$2*G34</f>
        <v>907.70487654320993</v>
      </c>
      <c r="F34" s="114"/>
      <c r="G34" s="4">
        <f>B34-B33</f>
        <v>31</v>
      </c>
      <c r="H34" s="116">
        <f>H33</f>
        <v>105410.88888888889</v>
      </c>
      <c r="I34" s="76">
        <f>I33+E34</f>
        <v>1229.7937037037038</v>
      </c>
      <c r="K34" s="128">
        <f t="shared" si="0"/>
        <v>907.70489999999995</v>
      </c>
    </row>
    <row r="35" spans="1:13" ht="15" customHeight="1" x14ac:dyDescent="0.25">
      <c r="A35" s="1">
        <v>44712</v>
      </c>
      <c r="B35" s="1">
        <v>44712</v>
      </c>
      <c r="C35" s="6" t="s">
        <v>47</v>
      </c>
      <c r="D35" s="6" t="s">
        <v>28</v>
      </c>
      <c r="E35" s="76">
        <f>H34-H17</f>
        <v>-404</v>
      </c>
      <c r="F35" s="114"/>
      <c r="G35" s="4"/>
      <c r="K35" s="128">
        <f t="shared" si="0"/>
        <v>-404</v>
      </c>
    </row>
    <row r="36" spans="1:13" ht="15" customHeight="1" x14ac:dyDescent="0.25">
      <c r="A36" s="1">
        <v>44712</v>
      </c>
      <c r="B36" s="1">
        <v>44712</v>
      </c>
      <c r="C36" s="6" t="s">
        <v>47</v>
      </c>
      <c r="D36" s="6" t="s">
        <v>2</v>
      </c>
      <c r="E36" s="76">
        <f>I33-I17</f>
        <v>-1.2344444444444207</v>
      </c>
      <c r="F36" s="114"/>
      <c r="G36" s="4"/>
      <c r="K36" s="128">
        <f t="shared" si="0"/>
        <v>-1.2343999999999999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F23D-8A0B-4954-A599-9A692FE349D9}">
  <sheetPr>
    <tabColor rgb="FFFFC000"/>
  </sheetPr>
  <dimension ref="A1:XFD58"/>
  <sheetViews>
    <sheetView workbookViewId="0">
      <selection activeCell="B18" sqref="B18"/>
    </sheetView>
  </sheetViews>
  <sheetFormatPr defaultRowHeight="15" x14ac:dyDescent="0.25"/>
  <cols>
    <col min="1" max="1" width="39.7109375" style="52" customWidth="1"/>
    <col min="2" max="2" width="36.140625" style="52" customWidth="1"/>
    <col min="3" max="3" width="12.85546875" style="52" bestFit="1" customWidth="1"/>
    <col min="4" max="4" width="24.85546875" style="52" customWidth="1"/>
    <col min="5" max="5" width="57.140625" style="52" customWidth="1"/>
    <col min="6" max="6" width="23.42578125" style="52" customWidth="1"/>
    <col min="7" max="7" width="14.85546875" style="52" customWidth="1"/>
    <col min="8" max="8" width="17.28515625" style="52" customWidth="1"/>
    <col min="9" max="9" width="21.42578125" style="52" customWidth="1"/>
    <col min="10" max="10" width="27.42578125" style="52" customWidth="1"/>
    <col min="11" max="11" width="13" style="52" customWidth="1"/>
    <col min="12" max="12" width="24.28515625" style="52" customWidth="1"/>
    <col min="13" max="13" width="20.140625" style="52" customWidth="1"/>
    <col min="14" max="14" width="21.7109375" style="52" customWidth="1"/>
    <col min="15" max="15" width="25.42578125" style="52" customWidth="1"/>
    <col min="16" max="16" width="18.28515625" style="52" customWidth="1"/>
    <col min="17" max="17" width="9.7109375" style="52" bestFit="1" customWidth="1"/>
    <col min="18" max="18" width="6.140625" style="52" bestFit="1" customWidth="1"/>
    <col min="19" max="19" width="18.5703125" style="53" customWidth="1"/>
    <col min="20" max="20" width="9.7109375" style="52" bestFit="1" customWidth="1"/>
    <col min="21" max="21" width="9.140625" style="52"/>
    <col min="22" max="22" width="15.42578125" style="52" customWidth="1"/>
    <col min="23" max="16384" width="9.140625" style="52"/>
  </cols>
  <sheetData>
    <row r="1" spans="1:1024 1026:2048 2050:3072 3074:4096 4098:5120 5122:6144 6146:7168 7170:8192 8194:9216 9218:10240 10242:11264 11266:12288 12290:13312 13314:14336 14338:15360 15362:16384" ht="15.75" thickBot="1" x14ac:dyDescent="0.3">
      <c r="A1" s="137" t="s">
        <v>58</v>
      </c>
      <c r="B1" s="138"/>
      <c r="C1" s="138"/>
      <c r="D1" s="138"/>
      <c r="E1" s="138"/>
      <c r="F1" s="138"/>
      <c r="G1" s="138"/>
      <c r="H1" s="138"/>
      <c r="I1" s="138"/>
      <c r="J1" s="138"/>
      <c r="K1" s="139"/>
    </row>
    <row r="2" spans="1:1024 1026:2048 2050:3072 3074:4096 4098:5120 5122:6144 6146:7168 7170:8192 8194:9216 9218:10240 10242:11264 11266:12288 12290:13312 13314:14336 14338:15360 15362:16384" x14ac:dyDescent="0.25">
      <c r="A2" s="22" t="s">
        <v>10</v>
      </c>
      <c r="B2" s="23">
        <f>EOD!E2/100</f>
        <v>0</v>
      </c>
    </row>
    <row r="3" spans="1:1024 1026:2048 2050:3072 3074:4096 4098:5120 5122:6144 6146:7168 7170:8192 8194:9216 9218:10240 10242:11264 11266:12288 12290:13312 13314:14336 14338:15360 15362:16384" x14ac:dyDescent="0.25">
      <c r="A3" s="9" t="s">
        <v>5</v>
      </c>
      <c r="B3" s="24">
        <f>EOD!C2</f>
        <v>0</v>
      </c>
    </row>
    <row r="4" spans="1:1024 1026:2048 2050:3072 3074:4096 4098:5120 5122:6144 6146:7168 7170:8192 8194:9216 9218:10240 10242:11264 11266:12288 12290:13312 13314:14336 14338:15360 15362:16384" s="53" customFormat="1" x14ac:dyDescent="0.25">
      <c r="A4" s="9" t="s">
        <v>53</v>
      </c>
      <c r="B4" s="24"/>
    </row>
    <row r="5" spans="1:1024 1026:2048 2050:3072 3074:4096 4098:5120 5122:6144 6146:7168 7170:8192 8194:9216 9218:10240 10242:11264 11266:12288 12290:13312 13314:14336 14338:15360 15362:16384" x14ac:dyDescent="0.25">
      <c r="A5" s="9" t="s">
        <v>3</v>
      </c>
      <c r="B5" s="25" t="str">
        <f>IF(EOD!A2="","",EOD!A2)</f>
        <v/>
      </c>
      <c r="D5" s="38"/>
      <c r="E5" s="39"/>
      <c r="L5" s="53"/>
      <c r="M5" s="53"/>
      <c r="N5" s="53"/>
      <c r="O5" s="53"/>
      <c r="P5" s="53"/>
    </row>
    <row r="6" spans="1:1024 1026:2048 2050:3072 3074:4096 4098:5120 5122:6144 6146:7168 7170:8192 8194:9216 9218:10240 10242:11264 11266:12288 12290:13312 13314:14336 14338:15360 15362:16384" x14ac:dyDescent="0.25">
      <c r="A6" s="9" t="s">
        <v>74</v>
      </c>
      <c r="B6" s="25" t="str">
        <f>IF(MIN(REPLAY!B2:B42)=0,"",MIN(REPLAY!B2:B42))</f>
        <v/>
      </c>
      <c r="D6" s="38"/>
      <c r="L6" s="53"/>
      <c r="M6" s="53"/>
      <c r="N6" s="53"/>
      <c r="O6" s="53"/>
      <c r="P6" s="53"/>
    </row>
    <row r="7" spans="1:1024 1026:2048 2050:3072 3074:4096 4098:5120 5122:6144 6146:7168 7170:8192 8194:9216 9218:10240 10242:11264 11266:12288 12290:13312 13314:14336 14338:15360 15362:16384" x14ac:dyDescent="0.25">
      <c r="A7" s="9" t="s">
        <v>57</v>
      </c>
      <c r="B7" s="40">
        <f>IF(B6&lt;&gt;"",COUNT(REPLAY!A2:A29)+1,IF(TRANX!A2&lt;&gt;"",COUNT(TRANX!B2:B29),0))</f>
        <v>0</v>
      </c>
      <c r="C7" s="38"/>
      <c r="D7" s="38"/>
      <c r="L7" s="53"/>
      <c r="M7" s="53"/>
      <c r="N7" s="53"/>
      <c r="O7" s="53"/>
      <c r="P7" s="53"/>
    </row>
    <row r="8" spans="1:1024 1026:2048 2050:3072 3074:4096 4098:5120 5122:6144 6146:7168 7170:8192 8194:9216 9218:10240 10242:11264 11266:12288 12290:13312 13314:14336 14338:15360 15362:16384" s="53" customFormat="1" x14ac:dyDescent="0.25">
      <c r="A8" s="9" t="s">
        <v>67</v>
      </c>
      <c r="B8" s="40">
        <f>EOD!D2</f>
        <v>0</v>
      </c>
      <c r="C8" s="38"/>
      <c r="D8" s="38"/>
    </row>
    <row r="9" spans="1:1024 1026:2048 2050:3072 3074:4096 4098:5120 5122:6144 6146:7168 7170:8192 8194:9216 9218:10240 10242:11264 11266:12288 12290:13312 13314:14336 14338:15360 15362:16384" s="53" customFormat="1" ht="15.75" thickBot="1" x14ac:dyDescent="0.3">
      <c r="A9" s="62"/>
      <c r="B9" s="63"/>
      <c r="C9" s="38"/>
      <c r="D9" s="38"/>
    </row>
    <row r="10" spans="1:1024 1026:2048 2050:3072 3074:4096 4098:5120 5122:6144 6146:7168 7170:8192 8194:9216 9218:10240 10242:11264 11266:12288 12290:13312 13314:14336 14338:15360 15362:16384" ht="15.75" thickBot="1" x14ac:dyDescent="0.3">
      <c r="A10" s="137" t="s">
        <v>59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9"/>
    </row>
    <row r="11" spans="1:1024 1026:2048 2050:3072 3074:4096 4098:5120 5122:6144 6146:7168 7170:8192 8194:9216 9218:10240 10242:11264 11266:12288 12290:13312 13314:14336 14338:15360 15362:16384" ht="30" x14ac:dyDescent="0.25">
      <c r="A11" s="64" t="s">
        <v>19</v>
      </c>
      <c r="B11" s="64" t="s">
        <v>20</v>
      </c>
      <c r="C11" s="64" t="s">
        <v>51</v>
      </c>
      <c r="D11" s="64" t="s">
        <v>52</v>
      </c>
      <c r="E11" s="64" t="s">
        <v>54</v>
      </c>
      <c r="F11" s="64" t="s">
        <v>13</v>
      </c>
      <c r="G11" s="64" t="s">
        <v>55</v>
      </c>
      <c r="H11" s="64" t="s">
        <v>14</v>
      </c>
      <c r="I11" s="64" t="s">
        <v>44</v>
      </c>
      <c r="J11" s="64" t="s">
        <v>11</v>
      </c>
      <c r="K11" s="64" t="s">
        <v>15</v>
      </c>
      <c r="L11" s="64" t="s">
        <v>16</v>
      </c>
      <c r="M11" s="64" t="s">
        <v>18</v>
      </c>
      <c r="N11" s="64" t="s">
        <v>2</v>
      </c>
      <c r="O11" s="64" t="s">
        <v>17</v>
      </c>
      <c r="P11" s="64" t="s">
        <v>41</v>
      </c>
    </row>
    <row r="12" spans="1:1024 1026:2048 2050:3072 3074:4096 4098:5120 5122:6144 6146:7168 7170:8192 8194:9216 9218:10240 10242:11264 11266:12288 12290:13312 13314:14336 14338:15360 15362:16384" s="6" customFormat="1" x14ac:dyDescent="0.25">
      <c r="A12" s="6">
        <v>0</v>
      </c>
      <c r="B12" s="27">
        <f>IFERROR(IF(A12=0,EOMONTH($B$6,-1)+1,0),0)</f>
        <v>0</v>
      </c>
      <c r="C12" s="1" t="str">
        <f t="shared" ref="C12:C17" si="0">B13</f>
        <v/>
      </c>
      <c r="D12" s="28">
        <f t="shared" ref="D12:D16" si="1">IF(B12="","",IF(B13="",1,(B13-B12)))</f>
        <v>1</v>
      </c>
      <c r="E12" s="6">
        <f t="shared" ref="E12:E24" si="2">IFERROR(DAY(B12),"")</f>
        <v>0</v>
      </c>
      <c r="F12" s="28" t="str">
        <f>IFERROR(IF(B12="","",VLOOKUP($B$6,REPLAY!$B$2:$H$3,6,FALSE)),"")</f>
        <v/>
      </c>
      <c r="G12" s="31">
        <f>IFERROR(IF(OR($B$13="",A12&lt;&gt;1),0,((F12*$B$2)/360)*D11),0)</f>
        <v>0</v>
      </c>
      <c r="H12" s="28" t="str">
        <f>IFERROR(IF(B12="","",IF(B5="","",VLOOKUP($B$6,REPLAY!$B$2:$H$3,7,FALSE)+G12)),"")</f>
        <v/>
      </c>
      <c r="I12" s="6">
        <f ca="1">IF(B12="","",SUMIF(REPLAY!$B$2:$F12,B12,REPLAY!$F$2:$F$13))</f>
        <v>0</v>
      </c>
      <c r="J12" s="28">
        <f ca="1">IF(B12="","",SUMIF(REPLAY!$B$2:$E$13,B12,REPLAY!$E$2:$E$13))</f>
        <v>0</v>
      </c>
      <c r="K12" s="28">
        <f t="shared" ref="K12:K24" ca="1" si="3">IF(B12="","",MIN(J12,H12))</f>
        <v>0</v>
      </c>
      <c r="L12" s="29">
        <f t="shared" ref="L12:L24" ca="1" si="4">IF(B12="","",MAX(J12-K12,0))</f>
        <v>0</v>
      </c>
      <c r="M12" s="30">
        <f t="shared" ref="M12:M24" ca="1" si="5">IFERROR(IF(B12="","",F12-L12+I12),0)</f>
        <v>0</v>
      </c>
      <c r="N12" s="31" t="str">
        <f>IFERROR(IF($B$13="","",(M12*$B$2)/360),0)</f>
        <v/>
      </c>
      <c r="O12" s="29">
        <f t="shared" ref="O12:O24" ca="1" si="6">IFERROR(IF(B12="","",H12-K12+(N12*D12)),0)</f>
        <v>0</v>
      </c>
      <c r="P12" s="45">
        <f ca="1">IF(K12&lt;&gt;"",ROW(),0)</f>
        <v>12</v>
      </c>
      <c r="R12" s="27"/>
      <c r="S12" s="54" t="e">
        <f ca="1">O12+N12</f>
        <v>#VALUE!</v>
      </c>
      <c r="T12" s="28"/>
      <c r="V12" s="28"/>
      <c r="W12" s="31"/>
      <c r="X12" s="28"/>
      <c r="Z12" s="28"/>
      <c r="AA12" s="28"/>
      <c r="AB12" s="29"/>
      <c r="AC12" s="30"/>
      <c r="AD12" s="31"/>
      <c r="AE12" s="29"/>
      <c r="AF12" s="45"/>
      <c r="AH12" s="27"/>
      <c r="AI12" s="1"/>
      <c r="AJ12" s="28"/>
      <c r="AL12" s="28"/>
      <c r="AM12" s="31"/>
      <c r="AN12" s="28"/>
      <c r="AP12" s="28"/>
      <c r="AQ12" s="28"/>
      <c r="AR12" s="29"/>
      <c r="AS12" s="30"/>
      <c r="AT12" s="31"/>
      <c r="AU12" s="29"/>
      <c r="AV12" s="45"/>
      <c r="AX12" s="27"/>
      <c r="AY12" s="1"/>
      <c r="AZ12" s="28"/>
      <c r="BB12" s="28"/>
      <c r="BC12" s="31"/>
      <c r="BD12" s="28"/>
      <c r="BF12" s="28"/>
      <c r="BG12" s="28"/>
      <c r="BH12" s="29"/>
      <c r="BI12" s="30"/>
      <c r="BJ12" s="31"/>
      <c r="BK12" s="29"/>
      <c r="BL12" s="45"/>
      <c r="BN12" s="27"/>
      <c r="BO12" s="1"/>
      <c r="BP12" s="28"/>
      <c r="BR12" s="28"/>
      <c r="BS12" s="31"/>
      <c r="BT12" s="28"/>
      <c r="BV12" s="28"/>
      <c r="BW12" s="28"/>
      <c r="BX12" s="29"/>
      <c r="BY12" s="30"/>
      <c r="BZ12" s="31"/>
      <c r="CA12" s="29"/>
      <c r="CB12" s="45"/>
      <c r="CD12" s="27"/>
      <c r="CE12" s="1"/>
      <c r="CF12" s="28"/>
      <c r="CH12" s="28"/>
      <c r="CI12" s="31"/>
      <c r="CJ12" s="28"/>
      <c r="CL12" s="28"/>
      <c r="CM12" s="28"/>
      <c r="CN12" s="29"/>
      <c r="CO12" s="30"/>
      <c r="CP12" s="31"/>
      <c r="CQ12" s="29"/>
      <c r="CR12" s="45"/>
      <c r="CT12" s="27"/>
      <c r="CU12" s="1"/>
      <c r="CV12" s="28"/>
      <c r="CX12" s="28"/>
      <c r="CY12" s="31"/>
      <c r="CZ12" s="28"/>
      <c r="DB12" s="28"/>
      <c r="DC12" s="28"/>
      <c r="DD12" s="29"/>
      <c r="DE12" s="30"/>
      <c r="DF12" s="31"/>
      <c r="DG12" s="29"/>
      <c r="DH12" s="45"/>
      <c r="DJ12" s="27"/>
      <c r="DK12" s="1"/>
      <c r="DL12" s="28"/>
      <c r="DN12" s="28"/>
      <c r="DO12" s="31"/>
      <c r="DP12" s="28"/>
      <c r="DR12" s="28"/>
      <c r="DS12" s="28"/>
      <c r="DT12" s="29"/>
      <c r="DU12" s="30"/>
      <c r="DV12" s="31"/>
      <c r="DW12" s="29"/>
      <c r="DX12" s="45"/>
      <c r="DZ12" s="27"/>
      <c r="EA12" s="1"/>
      <c r="EB12" s="28"/>
      <c r="ED12" s="28"/>
      <c r="EE12" s="31"/>
      <c r="EF12" s="28"/>
      <c r="EH12" s="28"/>
      <c r="EI12" s="28"/>
      <c r="EJ12" s="29"/>
      <c r="EK12" s="30"/>
      <c r="EL12" s="31"/>
      <c r="EM12" s="29"/>
      <c r="EN12" s="45"/>
      <c r="EP12" s="27"/>
      <c r="EQ12" s="1"/>
      <c r="ER12" s="28"/>
      <c r="ET12" s="28"/>
      <c r="EU12" s="31"/>
      <c r="EV12" s="28"/>
      <c r="EX12" s="28"/>
      <c r="EY12" s="28"/>
      <c r="EZ12" s="29"/>
      <c r="FA12" s="30"/>
      <c r="FB12" s="31"/>
      <c r="FC12" s="29"/>
      <c r="FD12" s="45"/>
      <c r="FF12" s="27"/>
      <c r="FG12" s="1"/>
      <c r="FH12" s="28"/>
      <c r="FJ12" s="28"/>
      <c r="FK12" s="31"/>
      <c r="FL12" s="28"/>
      <c r="FN12" s="28"/>
      <c r="FO12" s="28"/>
      <c r="FP12" s="29"/>
      <c r="FQ12" s="30"/>
      <c r="FR12" s="31"/>
      <c r="FS12" s="29"/>
      <c r="FT12" s="45"/>
      <c r="FV12" s="27"/>
      <c r="FW12" s="1"/>
      <c r="FX12" s="28"/>
      <c r="FZ12" s="28"/>
      <c r="GA12" s="31"/>
      <c r="GB12" s="28"/>
      <c r="GD12" s="28"/>
      <c r="GE12" s="28"/>
      <c r="GF12" s="29"/>
      <c r="GG12" s="30"/>
      <c r="GH12" s="31"/>
      <c r="GI12" s="29"/>
      <c r="GJ12" s="45"/>
      <c r="GL12" s="27"/>
      <c r="GM12" s="1"/>
      <c r="GN12" s="28"/>
      <c r="GP12" s="28"/>
      <c r="GQ12" s="31"/>
      <c r="GR12" s="28"/>
      <c r="GT12" s="28"/>
      <c r="GU12" s="28"/>
      <c r="GV12" s="29"/>
      <c r="GW12" s="30"/>
      <c r="GX12" s="31"/>
      <c r="GY12" s="29"/>
      <c r="GZ12" s="45"/>
      <c r="HB12" s="27"/>
      <c r="HC12" s="1"/>
      <c r="HD12" s="28"/>
      <c r="HF12" s="28"/>
      <c r="HG12" s="31"/>
      <c r="HH12" s="28"/>
      <c r="HJ12" s="28"/>
      <c r="HK12" s="28"/>
      <c r="HL12" s="29"/>
      <c r="HM12" s="30"/>
      <c r="HN12" s="31"/>
      <c r="HO12" s="29"/>
      <c r="HP12" s="45"/>
      <c r="HR12" s="27"/>
      <c r="HS12" s="1"/>
      <c r="HT12" s="28"/>
      <c r="HV12" s="28"/>
      <c r="HW12" s="31"/>
      <c r="HX12" s="28"/>
      <c r="HZ12" s="28"/>
      <c r="IA12" s="28"/>
      <c r="IB12" s="29"/>
      <c r="IC12" s="30"/>
      <c r="ID12" s="31"/>
      <c r="IE12" s="29"/>
      <c r="IF12" s="45"/>
      <c r="IH12" s="27"/>
      <c r="II12" s="1"/>
      <c r="IJ12" s="28"/>
      <c r="IL12" s="28"/>
      <c r="IM12" s="31"/>
      <c r="IN12" s="28"/>
      <c r="IP12" s="28"/>
      <c r="IQ12" s="28"/>
      <c r="IR12" s="29"/>
      <c r="IS12" s="30"/>
      <c r="IT12" s="31"/>
      <c r="IU12" s="29"/>
      <c r="IV12" s="45"/>
      <c r="IX12" s="27"/>
      <c r="IY12" s="1"/>
      <c r="IZ12" s="28"/>
      <c r="JB12" s="28"/>
      <c r="JC12" s="31"/>
      <c r="JD12" s="28"/>
      <c r="JF12" s="28"/>
      <c r="JG12" s="28"/>
      <c r="JH12" s="29"/>
      <c r="JI12" s="30"/>
      <c r="JJ12" s="31"/>
      <c r="JK12" s="29"/>
      <c r="JL12" s="45"/>
      <c r="JN12" s="27"/>
      <c r="JO12" s="1"/>
      <c r="JP12" s="28"/>
      <c r="JR12" s="28"/>
      <c r="JS12" s="31"/>
      <c r="JT12" s="28"/>
      <c r="JV12" s="28"/>
      <c r="JW12" s="28"/>
      <c r="JX12" s="29"/>
      <c r="JY12" s="30"/>
      <c r="JZ12" s="31"/>
      <c r="KA12" s="29"/>
      <c r="KB12" s="45"/>
      <c r="KD12" s="27"/>
      <c r="KE12" s="1"/>
      <c r="KF12" s="28"/>
      <c r="KH12" s="28"/>
      <c r="KI12" s="31"/>
      <c r="KJ12" s="28"/>
      <c r="KL12" s="28"/>
      <c r="KM12" s="28"/>
      <c r="KN12" s="29"/>
      <c r="KO12" s="30"/>
      <c r="KP12" s="31"/>
      <c r="KQ12" s="29"/>
      <c r="KR12" s="45"/>
      <c r="KT12" s="27"/>
      <c r="KU12" s="1"/>
      <c r="KV12" s="28"/>
      <c r="KX12" s="28"/>
      <c r="KY12" s="31"/>
      <c r="KZ12" s="28"/>
      <c r="LB12" s="28"/>
      <c r="LC12" s="28"/>
      <c r="LD12" s="29"/>
      <c r="LE12" s="30"/>
      <c r="LF12" s="31"/>
      <c r="LG12" s="29"/>
      <c r="LH12" s="45"/>
      <c r="LJ12" s="27"/>
      <c r="LK12" s="1"/>
      <c r="LL12" s="28"/>
      <c r="LN12" s="28"/>
      <c r="LO12" s="31"/>
      <c r="LP12" s="28"/>
      <c r="LR12" s="28"/>
      <c r="LS12" s="28"/>
      <c r="LT12" s="29"/>
      <c r="LU12" s="30"/>
      <c r="LV12" s="31"/>
      <c r="LW12" s="29"/>
      <c r="LX12" s="45"/>
      <c r="LZ12" s="27"/>
      <c r="MA12" s="1"/>
      <c r="MB12" s="28"/>
      <c r="MD12" s="28"/>
      <c r="ME12" s="31"/>
      <c r="MF12" s="28"/>
      <c r="MH12" s="28"/>
      <c r="MI12" s="28"/>
      <c r="MJ12" s="29"/>
      <c r="MK12" s="30"/>
      <c r="ML12" s="31"/>
      <c r="MM12" s="29"/>
      <c r="MN12" s="45"/>
      <c r="MP12" s="27"/>
      <c r="MQ12" s="1"/>
      <c r="MR12" s="28"/>
      <c r="MT12" s="28"/>
      <c r="MU12" s="31"/>
      <c r="MV12" s="28"/>
      <c r="MX12" s="28"/>
      <c r="MY12" s="28"/>
      <c r="MZ12" s="29"/>
      <c r="NA12" s="30"/>
      <c r="NB12" s="31"/>
      <c r="NC12" s="29"/>
      <c r="ND12" s="45"/>
      <c r="NF12" s="27"/>
      <c r="NG12" s="1"/>
      <c r="NH12" s="28"/>
      <c r="NJ12" s="28"/>
      <c r="NK12" s="31"/>
      <c r="NL12" s="28"/>
      <c r="NN12" s="28"/>
      <c r="NO12" s="28"/>
      <c r="NP12" s="29"/>
      <c r="NQ12" s="30"/>
      <c r="NR12" s="31"/>
      <c r="NS12" s="29"/>
      <c r="NT12" s="45"/>
      <c r="NV12" s="27"/>
      <c r="NW12" s="1"/>
      <c r="NX12" s="28"/>
      <c r="NZ12" s="28"/>
      <c r="OA12" s="31"/>
      <c r="OB12" s="28"/>
      <c r="OD12" s="28"/>
      <c r="OE12" s="28"/>
      <c r="OF12" s="29"/>
      <c r="OG12" s="30"/>
      <c r="OH12" s="31"/>
      <c r="OI12" s="29"/>
      <c r="OJ12" s="45"/>
      <c r="OL12" s="27"/>
      <c r="OM12" s="1"/>
      <c r="ON12" s="28"/>
      <c r="OP12" s="28"/>
      <c r="OQ12" s="31"/>
      <c r="OR12" s="28"/>
      <c r="OT12" s="28"/>
      <c r="OU12" s="28"/>
      <c r="OV12" s="29"/>
      <c r="OW12" s="30"/>
      <c r="OX12" s="31"/>
      <c r="OY12" s="29"/>
      <c r="OZ12" s="45"/>
      <c r="PB12" s="27"/>
      <c r="PC12" s="1"/>
      <c r="PD12" s="28"/>
      <c r="PF12" s="28"/>
      <c r="PG12" s="31"/>
      <c r="PH12" s="28"/>
      <c r="PJ12" s="28"/>
      <c r="PK12" s="28"/>
      <c r="PL12" s="29"/>
      <c r="PM12" s="30"/>
      <c r="PN12" s="31"/>
      <c r="PO12" s="29"/>
      <c r="PP12" s="45"/>
      <c r="PR12" s="27"/>
      <c r="PS12" s="1"/>
      <c r="PT12" s="28"/>
      <c r="PV12" s="28"/>
      <c r="PW12" s="31"/>
      <c r="PX12" s="28"/>
      <c r="PZ12" s="28"/>
      <c r="QA12" s="28"/>
      <c r="QB12" s="29"/>
      <c r="QC12" s="30"/>
      <c r="QD12" s="31"/>
      <c r="QE12" s="29"/>
      <c r="QF12" s="45"/>
      <c r="QH12" s="27"/>
      <c r="QI12" s="1"/>
      <c r="QJ12" s="28"/>
      <c r="QL12" s="28"/>
      <c r="QM12" s="31"/>
      <c r="QN12" s="28"/>
      <c r="QP12" s="28"/>
      <c r="QQ12" s="28"/>
      <c r="QR12" s="29"/>
      <c r="QS12" s="30"/>
      <c r="QT12" s="31"/>
      <c r="QU12" s="29"/>
      <c r="QV12" s="45"/>
      <c r="QX12" s="27"/>
      <c r="QY12" s="1"/>
      <c r="QZ12" s="28"/>
      <c r="RB12" s="28"/>
      <c r="RC12" s="31"/>
      <c r="RD12" s="28"/>
      <c r="RF12" s="28"/>
      <c r="RG12" s="28"/>
      <c r="RH12" s="29"/>
      <c r="RI12" s="30"/>
      <c r="RJ12" s="31"/>
      <c r="RK12" s="29"/>
      <c r="RL12" s="45"/>
      <c r="RN12" s="27"/>
      <c r="RO12" s="1"/>
      <c r="RP12" s="28"/>
      <c r="RR12" s="28"/>
      <c r="RS12" s="31"/>
      <c r="RT12" s="28"/>
      <c r="RV12" s="28"/>
      <c r="RW12" s="28"/>
      <c r="RX12" s="29"/>
      <c r="RY12" s="30"/>
      <c r="RZ12" s="31"/>
      <c r="SA12" s="29"/>
      <c r="SB12" s="45"/>
      <c r="SD12" s="27"/>
      <c r="SE12" s="1"/>
      <c r="SF12" s="28"/>
      <c r="SH12" s="28"/>
      <c r="SI12" s="31"/>
      <c r="SJ12" s="28"/>
      <c r="SL12" s="28"/>
      <c r="SM12" s="28"/>
      <c r="SN12" s="29"/>
      <c r="SO12" s="30"/>
      <c r="SP12" s="31"/>
      <c r="SQ12" s="29"/>
      <c r="SR12" s="45"/>
      <c r="ST12" s="27"/>
      <c r="SU12" s="1"/>
      <c r="SV12" s="28"/>
      <c r="SX12" s="28"/>
      <c r="SY12" s="31"/>
      <c r="SZ12" s="28"/>
      <c r="TB12" s="28"/>
      <c r="TC12" s="28"/>
      <c r="TD12" s="29"/>
      <c r="TE12" s="30"/>
      <c r="TF12" s="31"/>
      <c r="TG12" s="29"/>
      <c r="TH12" s="45"/>
      <c r="TJ12" s="27"/>
      <c r="TK12" s="1"/>
      <c r="TL12" s="28"/>
      <c r="TN12" s="28"/>
      <c r="TO12" s="31"/>
      <c r="TP12" s="28"/>
      <c r="TR12" s="28"/>
      <c r="TS12" s="28"/>
      <c r="TT12" s="29"/>
      <c r="TU12" s="30"/>
      <c r="TV12" s="31"/>
      <c r="TW12" s="29"/>
      <c r="TX12" s="45"/>
      <c r="TZ12" s="27"/>
      <c r="UA12" s="1"/>
      <c r="UB12" s="28"/>
      <c r="UD12" s="28"/>
      <c r="UE12" s="31"/>
      <c r="UF12" s="28"/>
      <c r="UH12" s="28"/>
      <c r="UI12" s="28"/>
      <c r="UJ12" s="29"/>
      <c r="UK12" s="30"/>
      <c r="UL12" s="31"/>
      <c r="UM12" s="29"/>
      <c r="UN12" s="45"/>
      <c r="UP12" s="27"/>
      <c r="UQ12" s="1"/>
      <c r="UR12" s="28"/>
      <c r="UT12" s="28"/>
      <c r="UU12" s="31"/>
      <c r="UV12" s="28"/>
      <c r="UX12" s="28"/>
      <c r="UY12" s="28"/>
      <c r="UZ12" s="29"/>
      <c r="VA12" s="30"/>
      <c r="VB12" s="31"/>
      <c r="VC12" s="29"/>
      <c r="VD12" s="45"/>
      <c r="VF12" s="27"/>
      <c r="VG12" s="1"/>
      <c r="VH12" s="28"/>
      <c r="VJ12" s="28"/>
      <c r="VK12" s="31"/>
      <c r="VL12" s="28"/>
      <c r="VN12" s="28"/>
      <c r="VO12" s="28"/>
      <c r="VP12" s="29"/>
      <c r="VQ12" s="30"/>
      <c r="VR12" s="31"/>
      <c r="VS12" s="29"/>
      <c r="VT12" s="45"/>
      <c r="VV12" s="27"/>
      <c r="VW12" s="1"/>
      <c r="VX12" s="28"/>
      <c r="VZ12" s="28"/>
      <c r="WA12" s="31"/>
      <c r="WB12" s="28"/>
      <c r="WD12" s="28"/>
      <c r="WE12" s="28"/>
      <c r="WF12" s="29"/>
      <c r="WG12" s="30"/>
      <c r="WH12" s="31"/>
      <c r="WI12" s="29"/>
      <c r="WJ12" s="45"/>
      <c r="WL12" s="27"/>
      <c r="WM12" s="1"/>
      <c r="WN12" s="28"/>
      <c r="WP12" s="28"/>
      <c r="WQ12" s="31"/>
      <c r="WR12" s="28"/>
      <c r="WT12" s="28"/>
      <c r="WU12" s="28"/>
      <c r="WV12" s="29"/>
      <c r="WW12" s="30"/>
      <c r="WX12" s="31"/>
      <c r="WY12" s="29"/>
      <c r="WZ12" s="45"/>
      <c r="XB12" s="27"/>
      <c r="XC12" s="1"/>
      <c r="XD12" s="28"/>
      <c r="XF12" s="28"/>
      <c r="XG12" s="31"/>
      <c r="XH12" s="28"/>
      <c r="XJ12" s="28"/>
      <c r="XK12" s="28"/>
      <c r="XL12" s="29"/>
      <c r="XM12" s="30"/>
      <c r="XN12" s="31"/>
      <c r="XO12" s="29"/>
      <c r="XP12" s="45"/>
      <c r="XR12" s="27"/>
      <c r="XS12" s="1"/>
      <c r="XT12" s="28"/>
      <c r="XV12" s="28"/>
      <c r="XW12" s="31"/>
      <c r="XX12" s="28"/>
      <c r="XZ12" s="28"/>
      <c r="YA12" s="28"/>
      <c r="YB12" s="29"/>
      <c r="YC12" s="30"/>
      <c r="YD12" s="31"/>
      <c r="YE12" s="29"/>
      <c r="YF12" s="45"/>
      <c r="YH12" s="27"/>
      <c r="YI12" s="1"/>
      <c r="YJ12" s="28"/>
      <c r="YL12" s="28"/>
      <c r="YM12" s="31"/>
      <c r="YN12" s="28"/>
      <c r="YP12" s="28"/>
      <c r="YQ12" s="28"/>
      <c r="YR12" s="29"/>
      <c r="YS12" s="30"/>
      <c r="YT12" s="31"/>
      <c r="YU12" s="29"/>
      <c r="YV12" s="45"/>
      <c r="YX12" s="27"/>
      <c r="YY12" s="1"/>
      <c r="YZ12" s="28"/>
      <c r="ZB12" s="28"/>
      <c r="ZC12" s="31"/>
      <c r="ZD12" s="28"/>
      <c r="ZF12" s="28"/>
      <c r="ZG12" s="28"/>
      <c r="ZH12" s="29"/>
      <c r="ZI12" s="30"/>
      <c r="ZJ12" s="31"/>
      <c r="ZK12" s="29"/>
      <c r="ZL12" s="45"/>
      <c r="ZN12" s="27"/>
      <c r="ZO12" s="1"/>
      <c r="ZP12" s="28"/>
      <c r="ZR12" s="28"/>
      <c r="ZS12" s="31"/>
      <c r="ZT12" s="28"/>
      <c r="ZV12" s="28"/>
      <c r="ZW12" s="28"/>
      <c r="ZX12" s="29"/>
      <c r="ZY12" s="30"/>
      <c r="ZZ12" s="31"/>
      <c r="AAA12" s="29"/>
      <c r="AAB12" s="45"/>
      <c r="AAD12" s="27"/>
      <c r="AAE12" s="1"/>
      <c r="AAF12" s="28"/>
      <c r="AAH12" s="28"/>
      <c r="AAI12" s="31"/>
      <c r="AAJ12" s="28"/>
      <c r="AAL12" s="28"/>
      <c r="AAM12" s="28"/>
      <c r="AAN12" s="29"/>
      <c r="AAO12" s="30"/>
      <c r="AAP12" s="31"/>
      <c r="AAQ12" s="29"/>
      <c r="AAR12" s="45"/>
      <c r="AAT12" s="27"/>
      <c r="AAU12" s="1"/>
      <c r="AAV12" s="28"/>
      <c r="AAX12" s="28"/>
      <c r="AAY12" s="31"/>
      <c r="AAZ12" s="28"/>
      <c r="ABB12" s="28"/>
      <c r="ABC12" s="28"/>
      <c r="ABD12" s="29"/>
      <c r="ABE12" s="30"/>
      <c r="ABF12" s="31"/>
      <c r="ABG12" s="29"/>
      <c r="ABH12" s="45"/>
      <c r="ABJ12" s="27"/>
      <c r="ABK12" s="1"/>
      <c r="ABL12" s="28"/>
      <c r="ABN12" s="28"/>
      <c r="ABO12" s="31"/>
      <c r="ABP12" s="28"/>
      <c r="ABR12" s="28"/>
      <c r="ABS12" s="28"/>
      <c r="ABT12" s="29"/>
      <c r="ABU12" s="30"/>
      <c r="ABV12" s="31"/>
      <c r="ABW12" s="29"/>
      <c r="ABX12" s="45"/>
      <c r="ABZ12" s="27"/>
      <c r="ACA12" s="1"/>
      <c r="ACB12" s="28"/>
      <c r="ACD12" s="28"/>
      <c r="ACE12" s="31"/>
      <c r="ACF12" s="28"/>
      <c r="ACH12" s="28"/>
      <c r="ACI12" s="28"/>
      <c r="ACJ12" s="29"/>
      <c r="ACK12" s="30"/>
      <c r="ACL12" s="31"/>
      <c r="ACM12" s="29"/>
      <c r="ACN12" s="45"/>
      <c r="ACP12" s="27"/>
      <c r="ACQ12" s="1"/>
      <c r="ACR12" s="28"/>
      <c r="ACT12" s="28"/>
      <c r="ACU12" s="31"/>
      <c r="ACV12" s="28"/>
      <c r="ACX12" s="28"/>
      <c r="ACY12" s="28"/>
      <c r="ACZ12" s="29"/>
      <c r="ADA12" s="30"/>
      <c r="ADB12" s="31"/>
      <c r="ADC12" s="29"/>
      <c r="ADD12" s="45"/>
      <c r="ADF12" s="27"/>
      <c r="ADG12" s="1"/>
      <c r="ADH12" s="28"/>
      <c r="ADJ12" s="28"/>
      <c r="ADK12" s="31"/>
      <c r="ADL12" s="28"/>
      <c r="ADN12" s="28"/>
      <c r="ADO12" s="28"/>
      <c r="ADP12" s="29"/>
      <c r="ADQ12" s="30"/>
      <c r="ADR12" s="31"/>
      <c r="ADS12" s="29"/>
      <c r="ADT12" s="45"/>
      <c r="ADV12" s="27"/>
      <c r="ADW12" s="1"/>
      <c r="ADX12" s="28"/>
      <c r="ADZ12" s="28"/>
      <c r="AEA12" s="31"/>
      <c r="AEB12" s="28"/>
      <c r="AED12" s="28"/>
      <c r="AEE12" s="28"/>
      <c r="AEF12" s="29"/>
      <c r="AEG12" s="30"/>
      <c r="AEH12" s="31"/>
      <c r="AEI12" s="29"/>
      <c r="AEJ12" s="45"/>
      <c r="AEL12" s="27"/>
      <c r="AEM12" s="1"/>
      <c r="AEN12" s="28"/>
      <c r="AEP12" s="28"/>
      <c r="AEQ12" s="31"/>
      <c r="AER12" s="28"/>
      <c r="AET12" s="28"/>
      <c r="AEU12" s="28"/>
      <c r="AEV12" s="29"/>
      <c r="AEW12" s="30"/>
      <c r="AEX12" s="31"/>
      <c r="AEY12" s="29"/>
      <c r="AEZ12" s="45"/>
      <c r="AFB12" s="27"/>
      <c r="AFC12" s="1"/>
      <c r="AFD12" s="28"/>
      <c r="AFF12" s="28"/>
      <c r="AFG12" s="31"/>
      <c r="AFH12" s="28"/>
      <c r="AFJ12" s="28"/>
      <c r="AFK12" s="28"/>
      <c r="AFL12" s="29"/>
      <c r="AFM12" s="30"/>
      <c r="AFN12" s="31"/>
      <c r="AFO12" s="29"/>
      <c r="AFP12" s="45"/>
      <c r="AFR12" s="27"/>
      <c r="AFS12" s="1"/>
      <c r="AFT12" s="28"/>
      <c r="AFV12" s="28"/>
      <c r="AFW12" s="31"/>
      <c r="AFX12" s="28"/>
      <c r="AFZ12" s="28"/>
      <c r="AGA12" s="28"/>
      <c r="AGB12" s="29"/>
      <c r="AGC12" s="30"/>
      <c r="AGD12" s="31"/>
      <c r="AGE12" s="29"/>
      <c r="AGF12" s="45"/>
      <c r="AGH12" s="27"/>
      <c r="AGI12" s="1"/>
      <c r="AGJ12" s="28"/>
      <c r="AGL12" s="28"/>
      <c r="AGM12" s="31"/>
      <c r="AGN12" s="28"/>
      <c r="AGP12" s="28"/>
      <c r="AGQ12" s="28"/>
      <c r="AGR12" s="29"/>
      <c r="AGS12" s="30"/>
      <c r="AGT12" s="31"/>
      <c r="AGU12" s="29"/>
      <c r="AGV12" s="45"/>
      <c r="AGX12" s="27"/>
      <c r="AGY12" s="1"/>
      <c r="AGZ12" s="28"/>
      <c r="AHB12" s="28"/>
      <c r="AHC12" s="31"/>
      <c r="AHD12" s="28"/>
      <c r="AHF12" s="28"/>
      <c r="AHG12" s="28"/>
      <c r="AHH12" s="29"/>
      <c r="AHI12" s="30"/>
      <c r="AHJ12" s="31"/>
      <c r="AHK12" s="29"/>
      <c r="AHL12" s="45"/>
      <c r="AHN12" s="27"/>
      <c r="AHO12" s="1"/>
      <c r="AHP12" s="28"/>
      <c r="AHR12" s="28"/>
      <c r="AHS12" s="31"/>
      <c r="AHT12" s="28"/>
      <c r="AHV12" s="28"/>
      <c r="AHW12" s="28"/>
      <c r="AHX12" s="29"/>
      <c r="AHY12" s="30"/>
      <c r="AHZ12" s="31"/>
      <c r="AIA12" s="29"/>
      <c r="AIB12" s="45"/>
      <c r="AID12" s="27"/>
      <c r="AIE12" s="1"/>
      <c r="AIF12" s="28"/>
      <c r="AIH12" s="28"/>
      <c r="AII12" s="31"/>
      <c r="AIJ12" s="28"/>
      <c r="AIL12" s="28"/>
      <c r="AIM12" s="28"/>
      <c r="AIN12" s="29"/>
      <c r="AIO12" s="30"/>
      <c r="AIP12" s="31"/>
      <c r="AIQ12" s="29"/>
      <c r="AIR12" s="45"/>
      <c r="AIT12" s="27"/>
      <c r="AIU12" s="1"/>
      <c r="AIV12" s="28"/>
      <c r="AIX12" s="28"/>
      <c r="AIY12" s="31"/>
      <c r="AIZ12" s="28"/>
      <c r="AJB12" s="28"/>
      <c r="AJC12" s="28"/>
      <c r="AJD12" s="29"/>
      <c r="AJE12" s="30"/>
      <c r="AJF12" s="31"/>
      <c r="AJG12" s="29"/>
      <c r="AJH12" s="45"/>
      <c r="AJJ12" s="27"/>
      <c r="AJK12" s="1"/>
      <c r="AJL12" s="28"/>
      <c r="AJN12" s="28"/>
      <c r="AJO12" s="31"/>
      <c r="AJP12" s="28"/>
      <c r="AJR12" s="28"/>
      <c r="AJS12" s="28"/>
      <c r="AJT12" s="29"/>
      <c r="AJU12" s="30"/>
      <c r="AJV12" s="31"/>
      <c r="AJW12" s="29"/>
      <c r="AJX12" s="45"/>
      <c r="AJZ12" s="27"/>
      <c r="AKA12" s="1"/>
      <c r="AKB12" s="28"/>
      <c r="AKD12" s="28"/>
      <c r="AKE12" s="31"/>
      <c r="AKF12" s="28"/>
      <c r="AKH12" s="28"/>
      <c r="AKI12" s="28"/>
      <c r="AKJ12" s="29"/>
      <c r="AKK12" s="30"/>
      <c r="AKL12" s="31"/>
      <c r="AKM12" s="29"/>
      <c r="AKN12" s="45"/>
      <c r="AKP12" s="27"/>
      <c r="AKQ12" s="1"/>
      <c r="AKR12" s="28"/>
      <c r="AKT12" s="28"/>
      <c r="AKU12" s="31"/>
      <c r="AKV12" s="28"/>
      <c r="AKX12" s="28"/>
      <c r="AKY12" s="28"/>
      <c r="AKZ12" s="29"/>
      <c r="ALA12" s="30"/>
      <c r="ALB12" s="31"/>
      <c r="ALC12" s="29"/>
      <c r="ALD12" s="45"/>
      <c r="ALF12" s="27"/>
      <c r="ALG12" s="1"/>
      <c r="ALH12" s="28"/>
      <c r="ALJ12" s="28"/>
      <c r="ALK12" s="31"/>
      <c r="ALL12" s="28"/>
      <c r="ALN12" s="28"/>
      <c r="ALO12" s="28"/>
      <c r="ALP12" s="29"/>
      <c r="ALQ12" s="30"/>
      <c r="ALR12" s="31"/>
      <c r="ALS12" s="29"/>
      <c r="ALT12" s="45"/>
      <c r="ALV12" s="27"/>
      <c r="ALW12" s="1"/>
      <c r="ALX12" s="28"/>
      <c r="ALZ12" s="28"/>
      <c r="AMA12" s="31"/>
      <c r="AMB12" s="28"/>
      <c r="AMD12" s="28"/>
      <c r="AME12" s="28"/>
      <c r="AMF12" s="29"/>
      <c r="AMG12" s="30"/>
      <c r="AMH12" s="31"/>
      <c r="AMI12" s="29"/>
      <c r="AMJ12" s="45"/>
      <c r="AML12" s="27"/>
      <c r="AMM12" s="1"/>
      <c r="AMN12" s="28"/>
      <c r="AMP12" s="28"/>
      <c r="AMQ12" s="31"/>
      <c r="AMR12" s="28"/>
      <c r="AMT12" s="28"/>
      <c r="AMU12" s="28"/>
      <c r="AMV12" s="29"/>
      <c r="AMW12" s="30"/>
      <c r="AMX12" s="31"/>
      <c r="AMY12" s="29"/>
      <c r="AMZ12" s="45"/>
      <c r="ANB12" s="27"/>
      <c r="ANC12" s="1"/>
      <c r="AND12" s="28"/>
      <c r="ANF12" s="28"/>
      <c r="ANG12" s="31"/>
      <c r="ANH12" s="28"/>
      <c r="ANJ12" s="28"/>
      <c r="ANK12" s="28"/>
      <c r="ANL12" s="29"/>
      <c r="ANM12" s="30"/>
      <c r="ANN12" s="31"/>
      <c r="ANO12" s="29"/>
      <c r="ANP12" s="45"/>
      <c r="ANR12" s="27"/>
      <c r="ANS12" s="1"/>
      <c r="ANT12" s="28"/>
      <c r="ANV12" s="28"/>
      <c r="ANW12" s="31"/>
      <c r="ANX12" s="28"/>
      <c r="ANZ12" s="28"/>
      <c r="AOA12" s="28"/>
      <c r="AOB12" s="29"/>
      <c r="AOC12" s="30"/>
      <c r="AOD12" s="31"/>
      <c r="AOE12" s="29"/>
      <c r="AOF12" s="45"/>
      <c r="AOH12" s="27"/>
      <c r="AOI12" s="1"/>
      <c r="AOJ12" s="28"/>
      <c r="AOL12" s="28"/>
      <c r="AOM12" s="31"/>
      <c r="AON12" s="28"/>
      <c r="AOP12" s="28"/>
      <c r="AOQ12" s="28"/>
      <c r="AOR12" s="29"/>
      <c r="AOS12" s="30"/>
      <c r="AOT12" s="31"/>
      <c r="AOU12" s="29"/>
      <c r="AOV12" s="45"/>
      <c r="AOX12" s="27"/>
      <c r="AOY12" s="1"/>
      <c r="AOZ12" s="28"/>
      <c r="APB12" s="28"/>
      <c r="APC12" s="31"/>
      <c r="APD12" s="28"/>
      <c r="APF12" s="28"/>
      <c r="APG12" s="28"/>
      <c r="APH12" s="29"/>
      <c r="API12" s="30"/>
      <c r="APJ12" s="31"/>
      <c r="APK12" s="29"/>
      <c r="APL12" s="45"/>
      <c r="APN12" s="27"/>
      <c r="APO12" s="1"/>
      <c r="APP12" s="28"/>
      <c r="APR12" s="28"/>
      <c r="APS12" s="31"/>
      <c r="APT12" s="28"/>
      <c r="APV12" s="28"/>
      <c r="APW12" s="28"/>
      <c r="APX12" s="29"/>
      <c r="APY12" s="30"/>
      <c r="APZ12" s="31"/>
      <c r="AQA12" s="29"/>
      <c r="AQB12" s="45"/>
      <c r="AQD12" s="27"/>
      <c r="AQE12" s="1"/>
      <c r="AQF12" s="28"/>
      <c r="AQH12" s="28"/>
      <c r="AQI12" s="31"/>
      <c r="AQJ12" s="28"/>
      <c r="AQL12" s="28"/>
      <c r="AQM12" s="28"/>
      <c r="AQN12" s="29"/>
      <c r="AQO12" s="30"/>
      <c r="AQP12" s="31"/>
      <c r="AQQ12" s="29"/>
      <c r="AQR12" s="45"/>
      <c r="AQT12" s="27"/>
      <c r="AQU12" s="1"/>
      <c r="AQV12" s="28"/>
      <c r="AQX12" s="28"/>
      <c r="AQY12" s="31"/>
      <c r="AQZ12" s="28"/>
      <c r="ARB12" s="28"/>
      <c r="ARC12" s="28"/>
      <c r="ARD12" s="29"/>
      <c r="ARE12" s="30"/>
      <c r="ARF12" s="31"/>
      <c r="ARG12" s="29"/>
      <c r="ARH12" s="45"/>
      <c r="ARJ12" s="27"/>
      <c r="ARK12" s="1"/>
      <c r="ARL12" s="28"/>
      <c r="ARN12" s="28"/>
      <c r="ARO12" s="31"/>
      <c r="ARP12" s="28"/>
      <c r="ARR12" s="28"/>
      <c r="ARS12" s="28"/>
      <c r="ART12" s="29"/>
      <c r="ARU12" s="30"/>
      <c r="ARV12" s="31"/>
      <c r="ARW12" s="29"/>
      <c r="ARX12" s="45"/>
      <c r="ARZ12" s="27"/>
      <c r="ASA12" s="1"/>
      <c r="ASB12" s="28"/>
      <c r="ASD12" s="28"/>
      <c r="ASE12" s="31"/>
      <c r="ASF12" s="28"/>
      <c r="ASH12" s="28"/>
      <c r="ASI12" s="28"/>
      <c r="ASJ12" s="29"/>
      <c r="ASK12" s="30"/>
      <c r="ASL12" s="31"/>
      <c r="ASM12" s="29"/>
      <c r="ASN12" s="45"/>
      <c r="ASP12" s="27"/>
      <c r="ASQ12" s="1"/>
      <c r="ASR12" s="28"/>
      <c r="AST12" s="28"/>
      <c r="ASU12" s="31"/>
      <c r="ASV12" s="28"/>
      <c r="ASX12" s="28"/>
      <c r="ASY12" s="28"/>
      <c r="ASZ12" s="29"/>
      <c r="ATA12" s="30"/>
      <c r="ATB12" s="31"/>
      <c r="ATC12" s="29"/>
      <c r="ATD12" s="45"/>
      <c r="ATF12" s="27"/>
      <c r="ATG12" s="1"/>
      <c r="ATH12" s="28"/>
      <c r="ATJ12" s="28"/>
      <c r="ATK12" s="31"/>
      <c r="ATL12" s="28"/>
      <c r="ATN12" s="28"/>
      <c r="ATO12" s="28"/>
      <c r="ATP12" s="29"/>
      <c r="ATQ12" s="30"/>
      <c r="ATR12" s="31"/>
      <c r="ATS12" s="29"/>
      <c r="ATT12" s="45"/>
      <c r="ATV12" s="27"/>
      <c r="ATW12" s="1"/>
      <c r="ATX12" s="28"/>
      <c r="ATZ12" s="28"/>
      <c r="AUA12" s="31"/>
      <c r="AUB12" s="28"/>
      <c r="AUD12" s="28"/>
      <c r="AUE12" s="28"/>
      <c r="AUF12" s="29"/>
      <c r="AUG12" s="30"/>
      <c r="AUH12" s="31"/>
      <c r="AUI12" s="29"/>
      <c r="AUJ12" s="45"/>
      <c r="AUL12" s="27"/>
      <c r="AUM12" s="1"/>
      <c r="AUN12" s="28"/>
      <c r="AUP12" s="28"/>
      <c r="AUQ12" s="31"/>
      <c r="AUR12" s="28"/>
      <c r="AUT12" s="28"/>
      <c r="AUU12" s="28"/>
      <c r="AUV12" s="29"/>
      <c r="AUW12" s="30"/>
      <c r="AUX12" s="31"/>
      <c r="AUY12" s="29"/>
      <c r="AUZ12" s="45"/>
      <c r="AVB12" s="27"/>
      <c r="AVC12" s="1"/>
      <c r="AVD12" s="28"/>
      <c r="AVF12" s="28"/>
      <c r="AVG12" s="31"/>
      <c r="AVH12" s="28"/>
      <c r="AVJ12" s="28"/>
      <c r="AVK12" s="28"/>
      <c r="AVL12" s="29"/>
      <c r="AVM12" s="30"/>
      <c r="AVN12" s="31"/>
      <c r="AVO12" s="29"/>
      <c r="AVP12" s="45"/>
      <c r="AVR12" s="27"/>
      <c r="AVS12" s="1"/>
      <c r="AVT12" s="28"/>
      <c r="AVV12" s="28"/>
      <c r="AVW12" s="31"/>
      <c r="AVX12" s="28"/>
      <c r="AVZ12" s="28"/>
      <c r="AWA12" s="28"/>
      <c r="AWB12" s="29"/>
      <c r="AWC12" s="30"/>
      <c r="AWD12" s="31"/>
      <c r="AWE12" s="29"/>
      <c r="AWF12" s="45"/>
      <c r="AWH12" s="27"/>
      <c r="AWI12" s="1"/>
      <c r="AWJ12" s="28"/>
      <c r="AWL12" s="28"/>
      <c r="AWM12" s="31"/>
      <c r="AWN12" s="28"/>
      <c r="AWP12" s="28"/>
      <c r="AWQ12" s="28"/>
      <c r="AWR12" s="29"/>
      <c r="AWS12" s="30"/>
      <c r="AWT12" s="31"/>
      <c r="AWU12" s="29"/>
      <c r="AWV12" s="45"/>
      <c r="AWX12" s="27"/>
      <c r="AWY12" s="1"/>
      <c r="AWZ12" s="28"/>
      <c r="AXB12" s="28"/>
      <c r="AXC12" s="31"/>
      <c r="AXD12" s="28"/>
      <c r="AXF12" s="28"/>
      <c r="AXG12" s="28"/>
      <c r="AXH12" s="29"/>
      <c r="AXI12" s="30"/>
      <c r="AXJ12" s="31"/>
      <c r="AXK12" s="29"/>
      <c r="AXL12" s="45"/>
      <c r="AXN12" s="27"/>
      <c r="AXO12" s="1"/>
      <c r="AXP12" s="28"/>
      <c r="AXR12" s="28"/>
      <c r="AXS12" s="31"/>
      <c r="AXT12" s="28"/>
      <c r="AXV12" s="28"/>
      <c r="AXW12" s="28"/>
      <c r="AXX12" s="29"/>
      <c r="AXY12" s="30"/>
      <c r="AXZ12" s="31"/>
      <c r="AYA12" s="29"/>
      <c r="AYB12" s="45"/>
      <c r="AYD12" s="27"/>
      <c r="AYE12" s="1"/>
      <c r="AYF12" s="28"/>
      <c r="AYH12" s="28"/>
      <c r="AYI12" s="31"/>
      <c r="AYJ12" s="28"/>
      <c r="AYL12" s="28"/>
      <c r="AYM12" s="28"/>
      <c r="AYN12" s="29"/>
      <c r="AYO12" s="30"/>
      <c r="AYP12" s="31"/>
      <c r="AYQ12" s="29"/>
      <c r="AYR12" s="45"/>
      <c r="AYT12" s="27"/>
      <c r="AYU12" s="1"/>
      <c r="AYV12" s="28"/>
      <c r="AYX12" s="28"/>
      <c r="AYY12" s="31"/>
      <c r="AYZ12" s="28"/>
      <c r="AZB12" s="28"/>
      <c r="AZC12" s="28"/>
      <c r="AZD12" s="29"/>
      <c r="AZE12" s="30"/>
      <c r="AZF12" s="31"/>
      <c r="AZG12" s="29"/>
      <c r="AZH12" s="45"/>
      <c r="AZJ12" s="27"/>
      <c r="AZK12" s="1"/>
      <c r="AZL12" s="28"/>
      <c r="AZN12" s="28"/>
      <c r="AZO12" s="31"/>
      <c r="AZP12" s="28"/>
      <c r="AZR12" s="28"/>
      <c r="AZS12" s="28"/>
      <c r="AZT12" s="29"/>
      <c r="AZU12" s="30"/>
      <c r="AZV12" s="31"/>
      <c r="AZW12" s="29"/>
      <c r="AZX12" s="45"/>
      <c r="AZZ12" s="27"/>
      <c r="BAA12" s="1"/>
      <c r="BAB12" s="28"/>
      <c r="BAD12" s="28"/>
      <c r="BAE12" s="31"/>
      <c r="BAF12" s="28"/>
      <c r="BAH12" s="28"/>
      <c r="BAI12" s="28"/>
      <c r="BAJ12" s="29"/>
      <c r="BAK12" s="30"/>
      <c r="BAL12" s="31"/>
      <c r="BAM12" s="29"/>
      <c r="BAN12" s="45"/>
      <c r="BAP12" s="27"/>
      <c r="BAQ12" s="1"/>
      <c r="BAR12" s="28"/>
      <c r="BAT12" s="28"/>
      <c r="BAU12" s="31"/>
      <c r="BAV12" s="28"/>
      <c r="BAX12" s="28"/>
      <c r="BAY12" s="28"/>
      <c r="BAZ12" s="29"/>
      <c r="BBA12" s="30"/>
      <c r="BBB12" s="31"/>
      <c r="BBC12" s="29"/>
      <c r="BBD12" s="45"/>
      <c r="BBF12" s="27"/>
      <c r="BBG12" s="1"/>
      <c r="BBH12" s="28"/>
      <c r="BBJ12" s="28"/>
      <c r="BBK12" s="31"/>
      <c r="BBL12" s="28"/>
      <c r="BBN12" s="28"/>
      <c r="BBO12" s="28"/>
      <c r="BBP12" s="29"/>
      <c r="BBQ12" s="30"/>
      <c r="BBR12" s="31"/>
      <c r="BBS12" s="29"/>
      <c r="BBT12" s="45"/>
      <c r="BBV12" s="27"/>
      <c r="BBW12" s="1"/>
      <c r="BBX12" s="28"/>
      <c r="BBZ12" s="28"/>
      <c r="BCA12" s="31"/>
      <c r="BCB12" s="28"/>
      <c r="BCD12" s="28"/>
      <c r="BCE12" s="28"/>
      <c r="BCF12" s="29"/>
      <c r="BCG12" s="30"/>
      <c r="BCH12" s="31"/>
      <c r="BCI12" s="29"/>
      <c r="BCJ12" s="45"/>
      <c r="BCL12" s="27"/>
      <c r="BCM12" s="1"/>
      <c r="BCN12" s="28"/>
      <c r="BCP12" s="28"/>
      <c r="BCQ12" s="31"/>
      <c r="BCR12" s="28"/>
      <c r="BCT12" s="28"/>
      <c r="BCU12" s="28"/>
      <c r="BCV12" s="29"/>
      <c r="BCW12" s="30"/>
      <c r="BCX12" s="31"/>
      <c r="BCY12" s="29"/>
      <c r="BCZ12" s="45"/>
      <c r="BDB12" s="27"/>
      <c r="BDC12" s="1"/>
      <c r="BDD12" s="28"/>
      <c r="BDF12" s="28"/>
      <c r="BDG12" s="31"/>
      <c r="BDH12" s="28"/>
      <c r="BDJ12" s="28"/>
      <c r="BDK12" s="28"/>
      <c r="BDL12" s="29"/>
      <c r="BDM12" s="30"/>
      <c r="BDN12" s="31"/>
      <c r="BDO12" s="29"/>
      <c r="BDP12" s="45"/>
      <c r="BDR12" s="27"/>
      <c r="BDS12" s="1"/>
      <c r="BDT12" s="28"/>
      <c r="BDV12" s="28"/>
      <c r="BDW12" s="31"/>
      <c r="BDX12" s="28"/>
      <c r="BDZ12" s="28"/>
      <c r="BEA12" s="28"/>
      <c r="BEB12" s="29"/>
      <c r="BEC12" s="30"/>
      <c r="BED12" s="31"/>
      <c r="BEE12" s="29"/>
      <c r="BEF12" s="45"/>
      <c r="BEH12" s="27"/>
      <c r="BEI12" s="1"/>
      <c r="BEJ12" s="28"/>
      <c r="BEL12" s="28"/>
      <c r="BEM12" s="31"/>
      <c r="BEN12" s="28"/>
      <c r="BEP12" s="28"/>
      <c r="BEQ12" s="28"/>
      <c r="BER12" s="29"/>
      <c r="BES12" s="30"/>
      <c r="BET12" s="31"/>
      <c r="BEU12" s="29"/>
      <c r="BEV12" s="45"/>
      <c r="BEX12" s="27"/>
      <c r="BEY12" s="1"/>
      <c r="BEZ12" s="28"/>
      <c r="BFB12" s="28"/>
      <c r="BFC12" s="31"/>
      <c r="BFD12" s="28"/>
      <c r="BFF12" s="28"/>
      <c r="BFG12" s="28"/>
      <c r="BFH12" s="29"/>
      <c r="BFI12" s="30"/>
      <c r="BFJ12" s="31"/>
      <c r="BFK12" s="29"/>
      <c r="BFL12" s="45"/>
      <c r="BFN12" s="27"/>
      <c r="BFO12" s="1"/>
      <c r="BFP12" s="28"/>
      <c r="BFR12" s="28"/>
      <c r="BFS12" s="31"/>
      <c r="BFT12" s="28"/>
      <c r="BFV12" s="28"/>
      <c r="BFW12" s="28"/>
      <c r="BFX12" s="29"/>
      <c r="BFY12" s="30"/>
      <c r="BFZ12" s="31"/>
      <c r="BGA12" s="29"/>
      <c r="BGB12" s="45"/>
      <c r="BGD12" s="27"/>
      <c r="BGE12" s="1"/>
      <c r="BGF12" s="28"/>
      <c r="BGH12" s="28"/>
      <c r="BGI12" s="31"/>
      <c r="BGJ12" s="28"/>
      <c r="BGL12" s="28"/>
      <c r="BGM12" s="28"/>
      <c r="BGN12" s="29"/>
      <c r="BGO12" s="30"/>
      <c r="BGP12" s="31"/>
      <c r="BGQ12" s="29"/>
      <c r="BGR12" s="45"/>
      <c r="BGT12" s="27"/>
      <c r="BGU12" s="1"/>
      <c r="BGV12" s="28"/>
      <c r="BGX12" s="28"/>
      <c r="BGY12" s="31"/>
      <c r="BGZ12" s="28"/>
      <c r="BHB12" s="28"/>
      <c r="BHC12" s="28"/>
      <c r="BHD12" s="29"/>
      <c r="BHE12" s="30"/>
      <c r="BHF12" s="31"/>
      <c r="BHG12" s="29"/>
      <c r="BHH12" s="45"/>
      <c r="BHJ12" s="27"/>
      <c r="BHK12" s="1"/>
      <c r="BHL12" s="28"/>
      <c r="BHN12" s="28"/>
      <c r="BHO12" s="31"/>
      <c r="BHP12" s="28"/>
      <c r="BHR12" s="28"/>
      <c r="BHS12" s="28"/>
      <c r="BHT12" s="29"/>
      <c r="BHU12" s="30"/>
      <c r="BHV12" s="31"/>
      <c r="BHW12" s="29"/>
      <c r="BHX12" s="45"/>
      <c r="BHZ12" s="27"/>
      <c r="BIA12" s="1"/>
      <c r="BIB12" s="28"/>
      <c r="BID12" s="28"/>
      <c r="BIE12" s="31"/>
      <c r="BIF12" s="28"/>
      <c r="BIH12" s="28"/>
      <c r="BII12" s="28"/>
      <c r="BIJ12" s="29"/>
      <c r="BIK12" s="30"/>
      <c r="BIL12" s="31"/>
      <c r="BIM12" s="29"/>
      <c r="BIN12" s="45"/>
      <c r="BIP12" s="27"/>
      <c r="BIQ12" s="1"/>
      <c r="BIR12" s="28"/>
      <c r="BIT12" s="28"/>
      <c r="BIU12" s="31"/>
      <c r="BIV12" s="28"/>
      <c r="BIX12" s="28"/>
      <c r="BIY12" s="28"/>
      <c r="BIZ12" s="29"/>
      <c r="BJA12" s="30"/>
      <c r="BJB12" s="31"/>
      <c r="BJC12" s="29"/>
      <c r="BJD12" s="45"/>
      <c r="BJF12" s="27"/>
      <c r="BJG12" s="1"/>
      <c r="BJH12" s="28"/>
      <c r="BJJ12" s="28"/>
      <c r="BJK12" s="31"/>
      <c r="BJL12" s="28"/>
      <c r="BJN12" s="28"/>
      <c r="BJO12" s="28"/>
      <c r="BJP12" s="29"/>
      <c r="BJQ12" s="30"/>
      <c r="BJR12" s="31"/>
      <c r="BJS12" s="29"/>
      <c r="BJT12" s="45"/>
      <c r="BJV12" s="27"/>
      <c r="BJW12" s="1"/>
      <c r="BJX12" s="28"/>
      <c r="BJZ12" s="28"/>
      <c r="BKA12" s="31"/>
      <c r="BKB12" s="28"/>
      <c r="BKD12" s="28"/>
      <c r="BKE12" s="28"/>
      <c r="BKF12" s="29"/>
      <c r="BKG12" s="30"/>
      <c r="BKH12" s="31"/>
      <c r="BKI12" s="29"/>
      <c r="BKJ12" s="45"/>
      <c r="BKL12" s="27"/>
      <c r="BKM12" s="1"/>
      <c r="BKN12" s="28"/>
      <c r="BKP12" s="28"/>
      <c r="BKQ12" s="31"/>
      <c r="BKR12" s="28"/>
      <c r="BKT12" s="28"/>
      <c r="BKU12" s="28"/>
      <c r="BKV12" s="29"/>
      <c r="BKW12" s="30"/>
      <c r="BKX12" s="31"/>
      <c r="BKY12" s="29"/>
      <c r="BKZ12" s="45"/>
      <c r="BLB12" s="27"/>
      <c r="BLC12" s="1"/>
      <c r="BLD12" s="28"/>
      <c r="BLF12" s="28"/>
      <c r="BLG12" s="31"/>
      <c r="BLH12" s="28"/>
      <c r="BLJ12" s="28"/>
      <c r="BLK12" s="28"/>
      <c r="BLL12" s="29"/>
      <c r="BLM12" s="30"/>
      <c r="BLN12" s="31"/>
      <c r="BLO12" s="29"/>
      <c r="BLP12" s="45"/>
      <c r="BLR12" s="27"/>
      <c r="BLS12" s="1"/>
      <c r="BLT12" s="28"/>
      <c r="BLV12" s="28"/>
      <c r="BLW12" s="31"/>
      <c r="BLX12" s="28"/>
      <c r="BLZ12" s="28"/>
      <c r="BMA12" s="28"/>
      <c r="BMB12" s="29"/>
      <c r="BMC12" s="30"/>
      <c r="BMD12" s="31"/>
      <c r="BME12" s="29"/>
      <c r="BMF12" s="45"/>
      <c r="BMH12" s="27"/>
      <c r="BMI12" s="1"/>
      <c r="BMJ12" s="28"/>
      <c r="BML12" s="28"/>
      <c r="BMM12" s="31"/>
      <c r="BMN12" s="28"/>
      <c r="BMP12" s="28"/>
      <c r="BMQ12" s="28"/>
      <c r="BMR12" s="29"/>
      <c r="BMS12" s="30"/>
      <c r="BMT12" s="31"/>
      <c r="BMU12" s="29"/>
      <c r="BMV12" s="45"/>
      <c r="BMX12" s="27"/>
      <c r="BMY12" s="1"/>
      <c r="BMZ12" s="28"/>
      <c r="BNB12" s="28"/>
      <c r="BNC12" s="31"/>
      <c r="BND12" s="28"/>
      <c r="BNF12" s="28"/>
      <c r="BNG12" s="28"/>
      <c r="BNH12" s="29"/>
      <c r="BNI12" s="30"/>
      <c r="BNJ12" s="31"/>
      <c r="BNK12" s="29"/>
      <c r="BNL12" s="45"/>
      <c r="BNN12" s="27"/>
      <c r="BNO12" s="1"/>
      <c r="BNP12" s="28"/>
      <c r="BNR12" s="28"/>
      <c r="BNS12" s="31"/>
      <c r="BNT12" s="28"/>
      <c r="BNV12" s="28"/>
      <c r="BNW12" s="28"/>
      <c r="BNX12" s="29"/>
      <c r="BNY12" s="30"/>
      <c r="BNZ12" s="31"/>
      <c r="BOA12" s="29"/>
      <c r="BOB12" s="45"/>
      <c r="BOD12" s="27"/>
      <c r="BOE12" s="1"/>
      <c r="BOF12" s="28"/>
      <c r="BOH12" s="28"/>
      <c r="BOI12" s="31"/>
      <c r="BOJ12" s="28"/>
      <c r="BOL12" s="28"/>
      <c r="BOM12" s="28"/>
      <c r="BON12" s="29"/>
      <c r="BOO12" s="30"/>
      <c r="BOP12" s="31"/>
      <c r="BOQ12" s="29"/>
      <c r="BOR12" s="45"/>
      <c r="BOT12" s="27"/>
      <c r="BOU12" s="1"/>
      <c r="BOV12" s="28"/>
      <c r="BOX12" s="28"/>
      <c r="BOY12" s="31"/>
      <c r="BOZ12" s="28"/>
      <c r="BPB12" s="28"/>
      <c r="BPC12" s="28"/>
      <c r="BPD12" s="29"/>
      <c r="BPE12" s="30"/>
      <c r="BPF12" s="31"/>
      <c r="BPG12" s="29"/>
      <c r="BPH12" s="45"/>
      <c r="BPJ12" s="27"/>
      <c r="BPK12" s="1"/>
      <c r="BPL12" s="28"/>
      <c r="BPN12" s="28"/>
      <c r="BPO12" s="31"/>
      <c r="BPP12" s="28"/>
      <c r="BPR12" s="28"/>
      <c r="BPS12" s="28"/>
      <c r="BPT12" s="29"/>
      <c r="BPU12" s="30"/>
      <c r="BPV12" s="31"/>
      <c r="BPW12" s="29"/>
      <c r="BPX12" s="45"/>
      <c r="BPZ12" s="27"/>
      <c r="BQA12" s="1"/>
      <c r="BQB12" s="28"/>
      <c r="BQD12" s="28"/>
      <c r="BQE12" s="31"/>
      <c r="BQF12" s="28"/>
      <c r="BQH12" s="28"/>
      <c r="BQI12" s="28"/>
      <c r="BQJ12" s="29"/>
      <c r="BQK12" s="30"/>
      <c r="BQL12" s="31"/>
      <c r="BQM12" s="29"/>
      <c r="BQN12" s="45"/>
      <c r="BQP12" s="27"/>
      <c r="BQQ12" s="1"/>
      <c r="BQR12" s="28"/>
      <c r="BQT12" s="28"/>
      <c r="BQU12" s="31"/>
      <c r="BQV12" s="28"/>
      <c r="BQX12" s="28"/>
      <c r="BQY12" s="28"/>
      <c r="BQZ12" s="29"/>
      <c r="BRA12" s="30"/>
      <c r="BRB12" s="31"/>
      <c r="BRC12" s="29"/>
      <c r="BRD12" s="45"/>
      <c r="BRF12" s="27"/>
      <c r="BRG12" s="1"/>
      <c r="BRH12" s="28"/>
      <c r="BRJ12" s="28"/>
      <c r="BRK12" s="31"/>
      <c r="BRL12" s="28"/>
      <c r="BRN12" s="28"/>
      <c r="BRO12" s="28"/>
      <c r="BRP12" s="29"/>
      <c r="BRQ12" s="30"/>
      <c r="BRR12" s="31"/>
      <c r="BRS12" s="29"/>
      <c r="BRT12" s="45"/>
      <c r="BRV12" s="27"/>
      <c r="BRW12" s="1"/>
      <c r="BRX12" s="28"/>
      <c r="BRZ12" s="28"/>
      <c r="BSA12" s="31"/>
      <c r="BSB12" s="28"/>
      <c r="BSD12" s="28"/>
      <c r="BSE12" s="28"/>
      <c r="BSF12" s="29"/>
      <c r="BSG12" s="30"/>
      <c r="BSH12" s="31"/>
      <c r="BSI12" s="29"/>
      <c r="BSJ12" s="45"/>
      <c r="BSL12" s="27"/>
      <c r="BSM12" s="1"/>
      <c r="BSN12" s="28"/>
      <c r="BSP12" s="28"/>
      <c r="BSQ12" s="31"/>
      <c r="BSR12" s="28"/>
      <c r="BST12" s="28"/>
      <c r="BSU12" s="28"/>
      <c r="BSV12" s="29"/>
      <c r="BSW12" s="30"/>
      <c r="BSX12" s="31"/>
      <c r="BSY12" s="29"/>
      <c r="BSZ12" s="45"/>
      <c r="BTB12" s="27"/>
      <c r="BTC12" s="1"/>
      <c r="BTD12" s="28"/>
      <c r="BTF12" s="28"/>
      <c r="BTG12" s="31"/>
      <c r="BTH12" s="28"/>
      <c r="BTJ12" s="28"/>
      <c r="BTK12" s="28"/>
      <c r="BTL12" s="29"/>
      <c r="BTM12" s="30"/>
      <c r="BTN12" s="31"/>
      <c r="BTO12" s="29"/>
      <c r="BTP12" s="45"/>
      <c r="BTR12" s="27"/>
      <c r="BTS12" s="1"/>
      <c r="BTT12" s="28"/>
      <c r="BTV12" s="28"/>
      <c r="BTW12" s="31"/>
      <c r="BTX12" s="28"/>
      <c r="BTZ12" s="28"/>
      <c r="BUA12" s="28"/>
      <c r="BUB12" s="29"/>
      <c r="BUC12" s="30"/>
      <c r="BUD12" s="31"/>
      <c r="BUE12" s="29"/>
      <c r="BUF12" s="45"/>
      <c r="BUH12" s="27"/>
      <c r="BUI12" s="1"/>
      <c r="BUJ12" s="28"/>
      <c r="BUL12" s="28"/>
      <c r="BUM12" s="31"/>
      <c r="BUN12" s="28"/>
      <c r="BUP12" s="28"/>
      <c r="BUQ12" s="28"/>
      <c r="BUR12" s="29"/>
      <c r="BUS12" s="30"/>
      <c r="BUT12" s="31"/>
      <c r="BUU12" s="29"/>
      <c r="BUV12" s="45"/>
      <c r="BUX12" s="27"/>
      <c r="BUY12" s="1"/>
      <c r="BUZ12" s="28"/>
      <c r="BVB12" s="28"/>
      <c r="BVC12" s="31"/>
      <c r="BVD12" s="28"/>
      <c r="BVF12" s="28"/>
      <c r="BVG12" s="28"/>
      <c r="BVH12" s="29"/>
      <c r="BVI12" s="30"/>
      <c r="BVJ12" s="31"/>
      <c r="BVK12" s="29"/>
      <c r="BVL12" s="45"/>
      <c r="BVN12" s="27"/>
      <c r="BVO12" s="1"/>
      <c r="BVP12" s="28"/>
      <c r="BVR12" s="28"/>
      <c r="BVS12" s="31"/>
      <c r="BVT12" s="28"/>
      <c r="BVV12" s="28"/>
      <c r="BVW12" s="28"/>
      <c r="BVX12" s="29"/>
      <c r="BVY12" s="30"/>
      <c r="BVZ12" s="31"/>
      <c r="BWA12" s="29"/>
      <c r="BWB12" s="45"/>
      <c r="BWD12" s="27"/>
      <c r="BWE12" s="1"/>
      <c r="BWF12" s="28"/>
      <c r="BWH12" s="28"/>
      <c r="BWI12" s="31"/>
      <c r="BWJ12" s="28"/>
      <c r="BWL12" s="28"/>
      <c r="BWM12" s="28"/>
      <c r="BWN12" s="29"/>
      <c r="BWO12" s="30"/>
      <c r="BWP12" s="31"/>
      <c r="BWQ12" s="29"/>
      <c r="BWR12" s="45"/>
      <c r="BWT12" s="27"/>
      <c r="BWU12" s="1"/>
      <c r="BWV12" s="28"/>
      <c r="BWX12" s="28"/>
      <c r="BWY12" s="31"/>
      <c r="BWZ12" s="28"/>
      <c r="BXB12" s="28"/>
      <c r="BXC12" s="28"/>
      <c r="BXD12" s="29"/>
      <c r="BXE12" s="30"/>
      <c r="BXF12" s="31"/>
      <c r="BXG12" s="29"/>
      <c r="BXH12" s="45"/>
      <c r="BXJ12" s="27"/>
      <c r="BXK12" s="1"/>
      <c r="BXL12" s="28"/>
      <c r="BXN12" s="28"/>
      <c r="BXO12" s="31"/>
      <c r="BXP12" s="28"/>
      <c r="BXR12" s="28"/>
      <c r="BXS12" s="28"/>
      <c r="BXT12" s="29"/>
      <c r="BXU12" s="30"/>
      <c r="BXV12" s="31"/>
      <c r="BXW12" s="29"/>
      <c r="BXX12" s="45"/>
      <c r="BXZ12" s="27"/>
      <c r="BYA12" s="1"/>
      <c r="BYB12" s="28"/>
      <c r="BYD12" s="28"/>
      <c r="BYE12" s="31"/>
      <c r="BYF12" s="28"/>
      <c r="BYH12" s="28"/>
      <c r="BYI12" s="28"/>
      <c r="BYJ12" s="29"/>
      <c r="BYK12" s="30"/>
      <c r="BYL12" s="31"/>
      <c r="BYM12" s="29"/>
      <c r="BYN12" s="45"/>
      <c r="BYP12" s="27"/>
      <c r="BYQ12" s="1"/>
      <c r="BYR12" s="28"/>
      <c r="BYT12" s="28"/>
      <c r="BYU12" s="31"/>
      <c r="BYV12" s="28"/>
      <c r="BYX12" s="28"/>
      <c r="BYY12" s="28"/>
      <c r="BYZ12" s="29"/>
      <c r="BZA12" s="30"/>
      <c r="BZB12" s="31"/>
      <c r="BZC12" s="29"/>
      <c r="BZD12" s="45"/>
      <c r="BZF12" s="27"/>
      <c r="BZG12" s="1"/>
      <c r="BZH12" s="28"/>
      <c r="BZJ12" s="28"/>
      <c r="BZK12" s="31"/>
      <c r="BZL12" s="28"/>
      <c r="BZN12" s="28"/>
      <c r="BZO12" s="28"/>
      <c r="BZP12" s="29"/>
      <c r="BZQ12" s="30"/>
      <c r="BZR12" s="31"/>
      <c r="BZS12" s="29"/>
      <c r="BZT12" s="45"/>
      <c r="BZV12" s="27"/>
      <c r="BZW12" s="1"/>
      <c r="BZX12" s="28"/>
      <c r="BZZ12" s="28"/>
      <c r="CAA12" s="31"/>
      <c r="CAB12" s="28"/>
      <c r="CAD12" s="28"/>
      <c r="CAE12" s="28"/>
      <c r="CAF12" s="29"/>
      <c r="CAG12" s="30"/>
      <c r="CAH12" s="31"/>
      <c r="CAI12" s="29"/>
      <c r="CAJ12" s="45"/>
      <c r="CAL12" s="27"/>
      <c r="CAM12" s="1"/>
      <c r="CAN12" s="28"/>
      <c r="CAP12" s="28"/>
      <c r="CAQ12" s="31"/>
      <c r="CAR12" s="28"/>
      <c r="CAT12" s="28"/>
      <c r="CAU12" s="28"/>
      <c r="CAV12" s="29"/>
      <c r="CAW12" s="30"/>
      <c r="CAX12" s="31"/>
      <c r="CAY12" s="29"/>
      <c r="CAZ12" s="45"/>
      <c r="CBB12" s="27"/>
      <c r="CBC12" s="1"/>
      <c r="CBD12" s="28"/>
      <c r="CBF12" s="28"/>
      <c r="CBG12" s="31"/>
      <c r="CBH12" s="28"/>
      <c r="CBJ12" s="28"/>
      <c r="CBK12" s="28"/>
      <c r="CBL12" s="29"/>
      <c r="CBM12" s="30"/>
      <c r="CBN12" s="31"/>
      <c r="CBO12" s="29"/>
      <c r="CBP12" s="45"/>
      <c r="CBR12" s="27"/>
      <c r="CBS12" s="1"/>
      <c r="CBT12" s="28"/>
      <c r="CBV12" s="28"/>
      <c r="CBW12" s="31"/>
      <c r="CBX12" s="28"/>
      <c r="CBZ12" s="28"/>
      <c r="CCA12" s="28"/>
      <c r="CCB12" s="29"/>
      <c r="CCC12" s="30"/>
      <c r="CCD12" s="31"/>
      <c r="CCE12" s="29"/>
      <c r="CCF12" s="45"/>
      <c r="CCH12" s="27"/>
      <c r="CCI12" s="1"/>
      <c r="CCJ12" s="28"/>
      <c r="CCL12" s="28"/>
      <c r="CCM12" s="31"/>
      <c r="CCN12" s="28"/>
      <c r="CCP12" s="28"/>
      <c r="CCQ12" s="28"/>
      <c r="CCR12" s="29"/>
      <c r="CCS12" s="30"/>
      <c r="CCT12" s="31"/>
      <c r="CCU12" s="29"/>
      <c r="CCV12" s="45"/>
      <c r="CCX12" s="27"/>
      <c r="CCY12" s="1"/>
      <c r="CCZ12" s="28"/>
      <c r="CDB12" s="28"/>
      <c r="CDC12" s="31"/>
      <c r="CDD12" s="28"/>
      <c r="CDF12" s="28"/>
      <c r="CDG12" s="28"/>
      <c r="CDH12" s="29"/>
      <c r="CDI12" s="30"/>
      <c r="CDJ12" s="31"/>
      <c r="CDK12" s="29"/>
      <c r="CDL12" s="45"/>
      <c r="CDN12" s="27"/>
      <c r="CDO12" s="1"/>
      <c r="CDP12" s="28"/>
      <c r="CDR12" s="28"/>
      <c r="CDS12" s="31"/>
      <c r="CDT12" s="28"/>
      <c r="CDV12" s="28"/>
      <c r="CDW12" s="28"/>
      <c r="CDX12" s="29"/>
      <c r="CDY12" s="30"/>
      <c r="CDZ12" s="31"/>
      <c r="CEA12" s="29"/>
      <c r="CEB12" s="45"/>
      <c r="CED12" s="27"/>
      <c r="CEE12" s="1"/>
      <c r="CEF12" s="28"/>
      <c r="CEH12" s="28"/>
      <c r="CEI12" s="31"/>
      <c r="CEJ12" s="28"/>
      <c r="CEL12" s="28"/>
      <c r="CEM12" s="28"/>
      <c r="CEN12" s="29"/>
      <c r="CEO12" s="30"/>
      <c r="CEP12" s="31"/>
      <c r="CEQ12" s="29"/>
      <c r="CER12" s="45"/>
      <c r="CET12" s="27"/>
      <c r="CEU12" s="1"/>
      <c r="CEV12" s="28"/>
      <c r="CEX12" s="28"/>
      <c r="CEY12" s="31"/>
      <c r="CEZ12" s="28"/>
      <c r="CFB12" s="28"/>
      <c r="CFC12" s="28"/>
      <c r="CFD12" s="29"/>
      <c r="CFE12" s="30"/>
      <c r="CFF12" s="31"/>
      <c r="CFG12" s="29"/>
      <c r="CFH12" s="45"/>
      <c r="CFJ12" s="27"/>
      <c r="CFK12" s="1"/>
      <c r="CFL12" s="28"/>
      <c r="CFN12" s="28"/>
      <c r="CFO12" s="31"/>
      <c r="CFP12" s="28"/>
      <c r="CFR12" s="28"/>
      <c r="CFS12" s="28"/>
      <c r="CFT12" s="29"/>
      <c r="CFU12" s="30"/>
      <c r="CFV12" s="31"/>
      <c r="CFW12" s="29"/>
      <c r="CFX12" s="45"/>
      <c r="CFZ12" s="27"/>
      <c r="CGA12" s="1"/>
      <c r="CGB12" s="28"/>
      <c r="CGD12" s="28"/>
      <c r="CGE12" s="31"/>
      <c r="CGF12" s="28"/>
      <c r="CGH12" s="28"/>
      <c r="CGI12" s="28"/>
      <c r="CGJ12" s="29"/>
      <c r="CGK12" s="30"/>
      <c r="CGL12" s="31"/>
      <c r="CGM12" s="29"/>
      <c r="CGN12" s="45"/>
      <c r="CGP12" s="27"/>
      <c r="CGQ12" s="1"/>
      <c r="CGR12" s="28"/>
      <c r="CGT12" s="28"/>
      <c r="CGU12" s="31"/>
      <c r="CGV12" s="28"/>
      <c r="CGX12" s="28"/>
      <c r="CGY12" s="28"/>
      <c r="CGZ12" s="29"/>
      <c r="CHA12" s="30"/>
      <c r="CHB12" s="31"/>
      <c r="CHC12" s="29"/>
      <c r="CHD12" s="45"/>
      <c r="CHF12" s="27"/>
      <c r="CHG12" s="1"/>
      <c r="CHH12" s="28"/>
      <c r="CHJ12" s="28"/>
      <c r="CHK12" s="31"/>
      <c r="CHL12" s="28"/>
      <c r="CHN12" s="28"/>
      <c r="CHO12" s="28"/>
      <c r="CHP12" s="29"/>
      <c r="CHQ12" s="30"/>
      <c r="CHR12" s="31"/>
      <c r="CHS12" s="29"/>
      <c r="CHT12" s="45"/>
      <c r="CHV12" s="27"/>
      <c r="CHW12" s="1"/>
      <c r="CHX12" s="28"/>
      <c r="CHZ12" s="28"/>
      <c r="CIA12" s="31"/>
      <c r="CIB12" s="28"/>
      <c r="CID12" s="28"/>
      <c r="CIE12" s="28"/>
      <c r="CIF12" s="29"/>
      <c r="CIG12" s="30"/>
      <c r="CIH12" s="31"/>
      <c r="CII12" s="29"/>
      <c r="CIJ12" s="45"/>
      <c r="CIL12" s="27"/>
      <c r="CIM12" s="1"/>
      <c r="CIN12" s="28"/>
      <c r="CIP12" s="28"/>
      <c r="CIQ12" s="31"/>
      <c r="CIR12" s="28"/>
      <c r="CIT12" s="28"/>
      <c r="CIU12" s="28"/>
      <c r="CIV12" s="29"/>
      <c r="CIW12" s="30"/>
      <c r="CIX12" s="31"/>
      <c r="CIY12" s="29"/>
      <c r="CIZ12" s="45"/>
      <c r="CJB12" s="27"/>
      <c r="CJC12" s="1"/>
      <c r="CJD12" s="28"/>
      <c r="CJF12" s="28"/>
      <c r="CJG12" s="31"/>
      <c r="CJH12" s="28"/>
      <c r="CJJ12" s="28"/>
      <c r="CJK12" s="28"/>
      <c r="CJL12" s="29"/>
      <c r="CJM12" s="30"/>
      <c r="CJN12" s="31"/>
      <c r="CJO12" s="29"/>
      <c r="CJP12" s="45"/>
      <c r="CJR12" s="27"/>
      <c r="CJS12" s="1"/>
      <c r="CJT12" s="28"/>
      <c r="CJV12" s="28"/>
      <c r="CJW12" s="31"/>
      <c r="CJX12" s="28"/>
      <c r="CJZ12" s="28"/>
      <c r="CKA12" s="28"/>
      <c r="CKB12" s="29"/>
      <c r="CKC12" s="30"/>
      <c r="CKD12" s="31"/>
      <c r="CKE12" s="29"/>
      <c r="CKF12" s="45"/>
      <c r="CKH12" s="27"/>
      <c r="CKI12" s="1"/>
      <c r="CKJ12" s="28"/>
      <c r="CKL12" s="28"/>
      <c r="CKM12" s="31"/>
      <c r="CKN12" s="28"/>
      <c r="CKP12" s="28"/>
      <c r="CKQ12" s="28"/>
      <c r="CKR12" s="29"/>
      <c r="CKS12" s="30"/>
      <c r="CKT12" s="31"/>
      <c r="CKU12" s="29"/>
      <c r="CKV12" s="45"/>
      <c r="CKX12" s="27"/>
      <c r="CKY12" s="1"/>
      <c r="CKZ12" s="28"/>
      <c r="CLB12" s="28"/>
      <c r="CLC12" s="31"/>
      <c r="CLD12" s="28"/>
      <c r="CLF12" s="28"/>
      <c r="CLG12" s="28"/>
      <c r="CLH12" s="29"/>
      <c r="CLI12" s="30"/>
      <c r="CLJ12" s="31"/>
      <c r="CLK12" s="29"/>
      <c r="CLL12" s="45"/>
      <c r="CLN12" s="27"/>
      <c r="CLO12" s="1"/>
      <c r="CLP12" s="28"/>
      <c r="CLR12" s="28"/>
      <c r="CLS12" s="31"/>
      <c r="CLT12" s="28"/>
      <c r="CLV12" s="28"/>
      <c r="CLW12" s="28"/>
      <c r="CLX12" s="29"/>
      <c r="CLY12" s="30"/>
      <c r="CLZ12" s="31"/>
      <c r="CMA12" s="29"/>
      <c r="CMB12" s="45"/>
      <c r="CMD12" s="27"/>
      <c r="CME12" s="1"/>
      <c r="CMF12" s="28"/>
      <c r="CMH12" s="28"/>
      <c r="CMI12" s="31"/>
      <c r="CMJ12" s="28"/>
      <c r="CML12" s="28"/>
      <c r="CMM12" s="28"/>
      <c r="CMN12" s="29"/>
      <c r="CMO12" s="30"/>
      <c r="CMP12" s="31"/>
      <c r="CMQ12" s="29"/>
      <c r="CMR12" s="45"/>
      <c r="CMT12" s="27"/>
      <c r="CMU12" s="1"/>
      <c r="CMV12" s="28"/>
      <c r="CMX12" s="28"/>
      <c r="CMY12" s="31"/>
      <c r="CMZ12" s="28"/>
      <c r="CNB12" s="28"/>
      <c r="CNC12" s="28"/>
      <c r="CND12" s="29"/>
      <c r="CNE12" s="30"/>
      <c r="CNF12" s="31"/>
      <c r="CNG12" s="29"/>
      <c r="CNH12" s="45"/>
      <c r="CNJ12" s="27"/>
      <c r="CNK12" s="1"/>
      <c r="CNL12" s="28"/>
      <c r="CNN12" s="28"/>
      <c r="CNO12" s="31"/>
      <c r="CNP12" s="28"/>
      <c r="CNR12" s="28"/>
      <c r="CNS12" s="28"/>
      <c r="CNT12" s="29"/>
      <c r="CNU12" s="30"/>
      <c r="CNV12" s="31"/>
      <c r="CNW12" s="29"/>
      <c r="CNX12" s="45"/>
      <c r="CNZ12" s="27"/>
      <c r="COA12" s="1"/>
      <c r="COB12" s="28"/>
      <c r="COD12" s="28"/>
      <c r="COE12" s="31"/>
      <c r="COF12" s="28"/>
      <c r="COH12" s="28"/>
      <c r="COI12" s="28"/>
      <c r="COJ12" s="29"/>
      <c r="COK12" s="30"/>
      <c r="COL12" s="31"/>
      <c r="COM12" s="29"/>
      <c r="CON12" s="45"/>
      <c r="COP12" s="27"/>
      <c r="COQ12" s="1"/>
      <c r="COR12" s="28"/>
      <c r="COT12" s="28"/>
      <c r="COU12" s="31"/>
      <c r="COV12" s="28"/>
      <c r="COX12" s="28"/>
      <c r="COY12" s="28"/>
      <c r="COZ12" s="29"/>
      <c r="CPA12" s="30"/>
      <c r="CPB12" s="31"/>
      <c r="CPC12" s="29"/>
      <c r="CPD12" s="45"/>
      <c r="CPF12" s="27"/>
      <c r="CPG12" s="1"/>
      <c r="CPH12" s="28"/>
      <c r="CPJ12" s="28"/>
      <c r="CPK12" s="31"/>
      <c r="CPL12" s="28"/>
      <c r="CPN12" s="28"/>
      <c r="CPO12" s="28"/>
      <c r="CPP12" s="29"/>
      <c r="CPQ12" s="30"/>
      <c r="CPR12" s="31"/>
      <c r="CPS12" s="29"/>
      <c r="CPT12" s="45"/>
      <c r="CPV12" s="27"/>
      <c r="CPW12" s="1"/>
      <c r="CPX12" s="28"/>
      <c r="CPZ12" s="28"/>
      <c r="CQA12" s="31"/>
      <c r="CQB12" s="28"/>
      <c r="CQD12" s="28"/>
      <c r="CQE12" s="28"/>
      <c r="CQF12" s="29"/>
      <c r="CQG12" s="30"/>
      <c r="CQH12" s="31"/>
      <c r="CQI12" s="29"/>
      <c r="CQJ12" s="45"/>
      <c r="CQL12" s="27"/>
      <c r="CQM12" s="1"/>
      <c r="CQN12" s="28"/>
      <c r="CQP12" s="28"/>
      <c r="CQQ12" s="31"/>
      <c r="CQR12" s="28"/>
      <c r="CQT12" s="28"/>
      <c r="CQU12" s="28"/>
      <c r="CQV12" s="29"/>
      <c r="CQW12" s="30"/>
      <c r="CQX12" s="31"/>
      <c r="CQY12" s="29"/>
      <c r="CQZ12" s="45"/>
      <c r="CRB12" s="27"/>
      <c r="CRC12" s="1"/>
      <c r="CRD12" s="28"/>
      <c r="CRF12" s="28"/>
      <c r="CRG12" s="31"/>
      <c r="CRH12" s="28"/>
      <c r="CRJ12" s="28"/>
      <c r="CRK12" s="28"/>
      <c r="CRL12" s="29"/>
      <c r="CRM12" s="30"/>
      <c r="CRN12" s="31"/>
      <c r="CRO12" s="29"/>
      <c r="CRP12" s="45"/>
      <c r="CRR12" s="27"/>
      <c r="CRS12" s="1"/>
      <c r="CRT12" s="28"/>
      <c r="CRV12" s="28"/>
      <c r="CRW12" s="31"/>
      <c r="CRX12" s="28"/>
      <c r="CRZ12" s="28"/>
      <c r="CSA12" s="28"/>
      <c r="CSB12" s="29"/>
      <c r="CSC12" s="30"/>
      <c r="CSD12" s="31"/>
      <c r="CSE12" s="29"/>
      <c r="CSF12" s="45"/>
      <c r="CSH12" s="27"/>
      <c r="CSI12" s="1"/>
      <c r="CSJ12" s="28"/>
      <c r="CSL12" s="28"/>
      <c r="CSM12" s="31"/>
      <c r="CSN12" s="28"/>
      <c r="CSP12" s="28"/>
      <c r="CSQ12" s="28"/>
      <c r="CSR12" s="29"/>
      <c r="CSS12" s="30"/>
      <c r="CST12" s="31"/>
      <c r="CSU12" s="29"/>
      <c r="CSV12" s="45"/>
      <c r="CSX12" s="27"/>
      <c r="CSY12" s="1"/>
      <c r="CSZ12" s="28"/>
      <c r="CTB12" s="28"/>
      <c r="CTC12" s="31"/>
      <c r="CTD12" s="28"/>
      <c r="CTF12" s="28"/>
      <c r="CTG12" s="28"/>
      <c r="CTH12" s="29"/>
      <c r="CTI12" s="30"/>
      <c r="CTJ12" s="31"/>
      <c r="CTK12" s="29"/>
      <c r="CTL12" s="45"/>
      <c r="CTN12" s="27"/>
      <c r="CTO12" s="1"/>
      <c r="CTP12" s="28"/>
      <c r="CTR12" s="28"/>
      <c r="CTS12" s="31"/>
      <c r="CTT12" s="28"/>
      <c r="CTV12" s="28"/>
      <c r="CTW12" s="28"/>
      <c r="CTX12" s="29"/>
      <c r="CTY12" s="30"/>
      <c r="CTZ12" s="31"/>
      <c r="CUA12" s="29"/>
      <c r="CUB12" s="45"/>
      <c r="CUD12" s="27"/>
      <c r="CUE12" s="1"/>
      <c r="CUF12" s="28"/>
      <c r="CUH12" s="28"/>
      <c r="CUI12" s="31"/>
      <c r="CUJ12" s="28"/>
      <c r="CUL12" s="28"/>
      <c r="CUM12" s="28"/>
      <c r="CUN12" s="29"/>
      <c r="CUO12" s="30"/>
      <c r="CUP12" s="31"/>
      <c r="CUQ12" s="29"/>
      <c r="CUR12" s="45"/>
      <c r="CUT12" s="27"/>
      <c r="CUU12" s="1"/>
      <c r="CUV12" s="28"/>
      <c r="CUX12" s="28"/>
      <c r="CUY12" s="31"/>
      <c r="CUZ12" s="28"/>
      <c r="CVB12" s="28"/>
      <c r="CVC12" s="28"/>
      <c r="CVD12" s="29"/>
      <c r="CVE12" s="30"/>
      <c r="CVF12" s="31"/>
      <c r="CVG12" s="29"/>
      <c r="CVH12" s="45"/>
      <c r="CVJ12" s="27"/>
      <c r="CVK12" s="1"/>
      <c r="CVL12" s="28"/>
      <c r="CVN12" s="28"/>
      <c r="CVO12" s="31"/>
      <c r="CVP12" s="28"/>
      <c r="CVR12" s="28"/>
      <c r="CVS12" s="28"/>
      <c r="CVT12" s="29"/>
      <c r="CVU12" s="30"/>
      <c r="CVV12" s="31"/>
      <c r="CVW12" s="29"/>
      <c r="CVX12" s="45"/>
      <c r="CVZ12" s="27"/>
      <c r="CWA12" s="1"/>
      <c r="CWB12" s="28"/>
      <c r="CWD12" s="28"/>
      <c r="CWE12" s="31"/>
      <c r="CWF12" s="28"/>
      <c r="CWH12" s="28"/>
      <c r="CWI12" s="28"/>
      <c r="CWJ12" s="29"/>
      <c r="CWK12" s="30"/>
      <c r="CWL12" s="31"/>
      <c r="CWM12" s="29"/>
      <c r="CWN12" s="45"/>
      <c r="CWP12" s="27"/>
      <c r="CWQ12" s="1"/>
      <c r="CWR12" s="28"/>
      <c r="CWT12" s="28"/>
      <c r="CWU12" s="31"/>
      <c r="CWV12" s="28"/>
      <c r="CWX12" s="28"/>
      <c r="CWY12" s="28"/>
      <c r="CWZ12" s="29"/>
      <c r="CXA12" s="30"/>
      <c r="CXB12" s="31"/>
      <c r="CXC12" s="29"/>
      <c r="CXD12" s="45"/>
      <c r="CXF12" s="27"/>
      <c r="CXG12" s="1"/>
      <c r="CXH12" s="28"/>
      <c r="CXJ12" s="28"/>
      <c r="CXK12" s="31"/>
      <c r="CXL12" s="28"/>
      <c r="CXN12" s="28"/>
      <c r="CXO12" s="28"/>
      <c r="CXP12" s="29"/>
      <c r="CXQ12" s="30"/>
      <c r="CXR12" s="31"/>
      <c r="CXS12" s="29"/>
      <c r="CXT12" s="45"/>
      <c r="CXV12" s="27"/>
      <c r="CXW12" s="1"/>
      <c r="CXX12" s="28"/>
      <c r="CXZ12" s="28"/>
      <c r="CYA12" s="31"/>
      <c r="CYB12" s="28"/>
      <c r="CYD12" s="28"/>
      <c r="CYE12" s="28"/>
      <c r="CYF12" s="29"/>
      <c r="CYG12" s="30"/>
      <c r="CYH12" s="31"/>
      <c r="CYI12" s="29"/>
      <c r="CYJ12" s="45"/>
      <c r="CYL12" s="27"/>
      <c r="CYM12" s="1"/>
      <c r="CYN12" s="28"/>
      <c r="CYP12" s="28"/>
      <c r="CYQ12" s="31"/>
      <c r="CYR12" s="28"/>
      <c r="CYT12" s="28"/>
      <c r="CYU12" s="28"/>
      <c r="CYV12" s="29"/>
      <c r="CYW12" s="30"/>
      <c r="CYX12" s="31"/>
      <c r="CYY12" s="29"/>
      <c r="CYZ12" s="45"/>
      <c r="CZB12" s="27"/>
      <c r="CZC12" s="1"/>
      <c r="CZD12" s="28"/>
      <c r="CZF12" s="28"/>
      <c r="CZG12" s="31"/>
      <c r="CZH12" s="28"/>
      <c r="CZJ12" s="28"/>
      <c r="CZK12" s="28"/>
      <c r="CZL12" s="29"/>
      <c r="CZM12" s="30"/>
      <c r="CZN12" s="31"/>
      <c r="CZO12" s="29"/>
      <c r="CZP12" s="45"/>
      <c r="CZR12" s="27"/>
      <c r="CZS12" s="1"/>
      <c r="CZT12" s="28"/>
      <c r="CZV12" s="28"/>
      <c r="CZW12" s="31"/>
      <c r="CZX12" s="28"/>
      <c r="CZZ12" s="28"/>
      <c r="DAA12" s="28"/>
      <c r="DAB12" s="29"/>
      <c r="DAC12" s="30"/>
      <c r="DAD12" s="31"/>
      <c r="DAE12" s="29"/>
      <c r="DAF12" s="45"/>
      <c r="DAH12" s="27"/>
      <c r="DAI12" s="1"/>
      <c r="DAJ12" s="28"/>
      <c r="DAL12" s="28"/>
      <c r="DAM12" s="31"/>
      <c r="DAN12" s="28"/>
      <c r="DAP12" s="28"/>
      <c r="DAQ12" s="28"/>
      <c r="DAR12" s="29"/>
      <c r="DAS12" s="30"/>
      <c r="DAT12" s="31"/>
      <c r="DAU12" s="29"/>
      <c r="DAV12" s="45"/>
      <c r="DAX12" s="27"/>
      <c r="DAY12" s="1"/>
      <c r="DAZ12" s="28"/>
      <c r="DBB12" s="28"/>
      <c r="DBC12" s="31"/>
      <c r="DBD12" s="28"/>
      <c r="DBF12" s="28"/>
      <c r="DBG12" s="28"/>
      <c r="DBH12" s="29"/>
      <c r="DBI12" s="30"/>
      <c r="DBJ12" s="31"/>
      <c r="DBK12" s="29"/>
      <c r="DBL12" s="45"/>
      <c r="DBN12" s="27"/>
      <c r="DBO12" s="1"/>
      <c r="DBP12" s="28"/>
      <c r="DBR12" s="28"/>
      <c r="DBS12" s="31"/>
      <c r="DBT12" s="28"/>
      <c r="DBV12" s="28"/>
      <c r="DBW12" s="28"/>
      <c r="DBX12" s="29"/>
      <c r="DBY12" s="30"/>
      <c r="DBZ12" s="31"/>
      <c r="DCA12" s="29"/>
      <c r="DCB12" s="45"/>
      <c r="DCD12" s="27"/>
      <c r="DCE12" s="1"/>
      <c r="DCF12" s="28"/>
      <c r="DCH12" s="28"/>
      <c r="DCI12" s="31"/>
      <c r="DCJ12" s="28"/>
      <c r="DCL12" s="28"/>
      <c r="DCM12" s="28"/>
      <c r="DCN12" s="29"/>
      <c r="DCO12" s="30"/>
      <c r="DCP12" s="31"/>
      <c r="DCQ12" s="29"/>
      <c r="DCR12" s="45"/>
      <c r="DCT12" s="27"/>
      <c r="DCU12" s="1"/>
      <c r="DCV12" s="28"/>
      <c r="DCX12" s="28"/>
      <c r="DCY12" s="31"/>
      <c r="DCZ12" s="28"/>
      <c r="DDB12" s="28"/>
      <c r="DDC12" s="28"/>
      <c r="DDD12" s="29"/>
      <c r="DDE12" s="30"/>
      <c r="DDF12" s="31"/>
      <c r="DDG12" s="29"/>
      <c r="DDH12" s="45"/>
      <c r="DDJ12" s="27"/>
      <c r="DDK12" s="1"/>
      <c r="DDL12" s="28"/>
      <c r="DDN12" s="28"/>
      <c r="DDO12" s="31"/>
      <c r="DDP12" s="28"/>
      <c r="DDR12" s="28"/>
      <c r="DDS12" s="28"/>
      <c r="DDT12" s="29"/>
      <c r="DDU12" s="30"/>
      <c r="DDV12" s="31"/>
      <c r="DDW12" s="29"/>
      <c r="DDX12" s="45"/>
      <c r="DDZ12" s="27"/>
      <c r="DEA12" s="1"/>
      <c r="DEB12" s="28"/>
      <c r="DED12" s="28"/>
      <c r="DEE12" s="31"/>
      <c r="DEF12" s="28"/>
      <c r="DEH12" s="28"/>
      <c r="DEI12" s="28"/>
      <c r="DEJ12" s="29"/>
      <c r="DEK12" s="30"/>
      <c r="DEL12" s="31"/>
      <c r="DEM12" s="29"/>
      <c r="DEN12" s="45"/>
      <c r="DEP12" s="27"/>
      <c r="DEQ12" s="1"/>
      <c r="DER12" s="28"/>
      <c r="DET12" s="28"/>
      <c r="DEU12" s="31"/>
      <c r="DEV12" s="28"/>
      <c r="DEX12" s="28"/>
      <c r="DEY12" s="28"/>
      <c r="DEZ12" s="29"/>
      <c r="DFA12" s="30"/>
      <c r="DFB12" s="31"/>
      <c r="DFC12" s="29"/>
      <c r="DFD12" s="45"/>
      <c r="DFF12" s="27"/>
      <c r="DFG12" s="1"/>
      <c r="DFH12" s="28"/>
      <c r="DFJ12" s="28"/>
      <c r="DFK12" s="31"/>
      <c r="DFL12" s="28"/>
      <c r="DFN12" s="28"/>
      <c r="DFO12" s="28"/>
      <c r="DFP12" s="29"/>
      <c r="DFQ12" s="30"/>
      <c r="DFR12" s="31"/>
      <c r="DFS12" s="29"/>
      <c r="DFT12" s="45"/>
      <c r="DFV12" s="27"/>
      <c r="DFW12" s="1"/>
      <c r="DFX12" s="28"/>
      <c r="DFZ12" s="28"/>
      <c r="DGA12" s="31"/>
      <c r="DGB12" s="28"/>
      <c r="DGD12" s="28"/>
      <c r="DGE12" s="28"/>
      <c r="DGF12" s="29"/>
      <c r="DGG12" s="30"/>
      <c r="DGH12" s="31"/>
      <c r="DGI12" s="29"/>
      <c r="DGJ12" s="45"/>
      <c r="DGL12" s="27"/>
      <c r="DGM12" s="1"/>
      <c r="DGN12" s="28"/>
      <c r="DGP12" s="28"/>
      <c r="DGQ12" s="31"/>
      <c r="DGR12" s="28"/>
      <c r="DGT12" s="28"/>
      <c r="DGU12" s="28"/>
      <c r="DGV12" s="29"/>
      <c r="DGW12" s="30"/>
      <c r="DGX12" s="31"/>
      <c r="DGY12" s="29"/>
      <c r="DGZ12" s="45"/>
      <c r="DHB12" s="27"/>
      <c r="DHC12" s="1"/>
      <c r="DHD12" s="28"/>
      <c r="DHF12" s="28"/>
      <c r="DHG12" s="31"/>
      <c r="DHH12" s="28"/>
      <c r="DHJ12" s="28"/>
      <c r="DHK12" s="28"/>
      <c r="DHL12" s="29"/>
      <c r="DHM12" s="30"/>
      <c r="DHN12" s="31"/>
      <c r="DHO12" s="29"/>
      <c r="DHP12" s="45"/>
      <c r="DHR12" s="27"/>
      <c r="DHS12" s="1"/>
      <c r="DHT12" s="28"/>
      <c r="DHV12" s="28"/>
      <c r="DHW12" s="31"/>
      <c r="DHX12" s="28"/>
      <c r="DHZ12" s="28"/>
      <c r="DIA12" s="28"/>
      <c r="DIB12" s="29"/>
      <c r="DIC12" s="30"/>
      <c r="DID12" s="31"/>
      <c r="DIE12" s="29"/>
      <c r="DIF12" s="45"/>
      <c r="DIH12" s="27"/>
      <c r="DII12" s="1"/>
      <c r="DIJ12" s="28"/>
      <c r="DIL12" s="28"/>
      <c r="DIM12" s="31"/>
      <c r="DIN12" s="28"/>
      <c r="DIP12" s="28"/>
      <c r="DIQ12" s="28"/>
      <c r="DIR12" s="29"/>
      <c r="DIS12" s="30"/>
      <c r="DIT12" s="31"/>
      <c r="DIU12" s="29"/>
      <c r="DIV12" s="45"/>
      <c r="DIX12" s="27"/>
      <c r="DIY12" s="1"/>
      <c r="DIZ12" s="28"/>
      <c r="DJB12" s="28"/>
      <c r="DJC12" s="31"/>
      <c r="DJD12" s="28"/>
      <c r="DJF12" s="28"/>
      <c r="DJG12" s="28"/>
      <c r="DJH12" s="29"/>
      <c r="DJI12" s="30"/>
      <c r="DJJ12" s="31"/>
      <c r="DJK12" s="29"/>
      <c r="DJL12" s="45"/>
      <c r="DJN12" s="27"/>
      <c r="DJO12" s="1"/>
      <c r="DJP12" s="28"/>
      <c r="DJR12" s="28"/>
      <c r="DJS12" s="31"/>
      <c r="DJT12" s="28"/>
      <c r="DJV12" s="28"/>
      <c r="DJW12" s="28"/>
      <c r="DJX12" s="29"/>
      <c r="DJY12" s="30"/>
      <c r="DJZ12" s="31"/>
      <c r="DKA12" s="29"/>
      <c r="DKB12" s="45"/>
      <c r="DKD12" s="27"/>
      <c r="DKE12" s="1"/>
      <c r="DKF12" s="28"/>
      <c r="DKH12" s="28"/>
      <c r="DKI12" s="31"/>
      <c r="DKJ12" s="28"/>
      <c r="DKL12" s="28"/>
      <c r="DKM12" s="28"/>
      <c r="DKN12" s="29"/>
      <c r="DKO12" s="30"/>
      <c r="DKP12" s="31"/>
      <c r="DKQ12" s="29"/>
      <c r="DKR12" s="45"/>
      <c r="DKT12" s="27"/>
      <c r="DKU12" s="1"/>
      <c r="DKV12" s="28"/>
      <c r="DKX12" s="28"/>
      <c r="DKY12" s="31"/>
      <c r="DKZ12" s="28"/>
      <c r="DLB12" s="28"/>
      <c r="DLC12" s="28"/>
      <c r="DLD12" s="29"/>
      <c r="DLE12" s="30"/>
      <c r="DLF12" s="31"/>
      <c r="DLG12" s="29"/>
      <c r="DLH12" s="45"/>
      <c r="DLJ12" s="27"/>
      <c r="DLK12" s="1"/>
      <c r="DLL12" s="28"/>
      <c r="DLN12" s="28"/>
      <c r="DLO12" s="31"/>
      <c r="DLP12" s="28"/>
      <c r="DLR12" s="28"/>
      <c r="DLS12" s="28"/>
      <c r="DLT12" s="29"/>
      <c r="DLU12" s="30"/>
      <c r="DLV12" s="31"/>
      <c r="DLW12" s="29"/>
      <c r="DLX12" s="45"/>
      <c r="DLZ12" s="27"/>
      <c r="DMA12" s="1"/>
      <c r="DMB12" s="28"/>
      <c r="DMD12" s="28"/>
      <c r="DME12" s="31"/>
      <c r="DMF12" s="28"/>
      <c r="DMH12" s="28"/>
      <c r="DMI12" s="28"/>
      <c r="DMJ12" s="29"/>
      <c r="DMK12" s="30"/>
      <c r="DML12" s="31"/>
      <c r="DMM12" s="29"/>
      <c r="DMN12" s="45"/>
      <c r="DMP12" s="27"/>
      <c r="DMQ12" s="1"/>
      <c r="DMR12" s="28"/>
      <c r="DMT12" s="28"/>
      <c r="DMU12" s="31"/>
      <c r="DMV12" s="28"/>
      <c r="DMX12" s="28"/>
      <c r="DMY12" s="28"/>
      <c r="DMZ12" s="29"/>
      <c r="DNA12" s="30"/>
      <c r="DNB12" s="31"/>
      <c r="DNC12" s="29"/>
      <c r="DND12" s="45"/>
      <c r="DNF12" s="27"/>
      <c r="DNG12" s="1"/>
      <c r="DNH12" s="28"/>
      <c r="DNJ12" s="28"/>
      <c r="DNK12" s="31"/>
      <c r="DNL12" s="28"/>
      <c r="DNN12" s="28"/>
      <c r="DNO12" s="28"/>
      <c r="DNP12" s="29"/>
      <c r="DNQ12" s="30"/>
      <c r="DNR12" s="31"/>
      <c r="DNS12" s="29"/>
      <c r="DNT12" s="45"/>
      <c r="DNV12" s="27"/>
      <c r="DNW12" s="1"/>
      <c r="DNX12" s="28"/>
      <c r="DNZ12" s="28"/>
      <c r="DOA12" s="31"/>
      <c r="DOB12" s="28"/>
      <c r="DOD12" s="28"/>
      <c r="DOE12" s="28"/>
      <c r="DOF12" s="29"/>
      <c r="DOG12" s="30"/>
      <c r="DOH12" s="31"/>
      <c r="DOI12" s="29"/>
      <c r="DOJ12" s="45"/>
      <c r="DOL12" s="27"/>
      <c r="DOM12" s="1"/>
      <c r="DON12" s="28"/>
      <c r="DOP12" s="28"/>
      <c r="DOQ12" s="31"/>
      <c r="DOR12" s="28"/>
      <c r="DOT12" s="28"/>
      <c r="DOU12" s="28"/>
      <c r="DOV12" s="29"/>
      <c r="DOW12" s="30"/>
      <c r="DOX12" s="31"/>
      <c r="DOY12" s="29"/>
      <c r="DOZ12" s="45"/>
      <c r="DPB12" s="27"/>
      <c r="DPC12" s="1"/>
      <c r="DPD12" s="28"/>
      <c r="DPF12" s="28"/>
      <c r="DPG12" s="31"/>
      <c r="DPH12" s="28"/>
      <c r="DPJ12" s="28"/>
      <c r="DPK12" s="28"/>
      <c r="DPL12" s="29"/>
      <c r="DPM12" s="30"/>
      <c r="DPN12" s="31"/>
      <c r="DPO12" s="29"/>
      <c r="DPP12" s="45"/>
      <c r="DPR12" s="27"/>
      <c r="DPS12" s="1"/>
      <c r="DPT12" s="28"/>
      <c r="DPV12" s="28"/>
      <c r="DPW12" s="31"/>
      <c r="DPX12" s="28"/>
      <c r="DPZ12" s="28"/>
      <c r="DQA12" s="28"/>
      <c r="DQB12" s="29"/>
      <c r="DQC12" s="30"/>
      <c r="DQD12" s="31"/>
      <c r="DQE12" s="29"/>
      <c r="DQF12" s="45"/>
      <c r="DQH12" s="27"/>
      <c r="DQI12" s="1"/>
      <c r="DQJ12" s="28"/>
      <c r="DQL12" s="28"/>
      <c r="DQM12" s="31"/>
      <c r="DQN12" s="28"/>
      <c r="DQP12" s="28"/>
      <c r="DQQ12" s="28"/>
      <c r="DQR12" s="29"/>
      <c r="DQS12" s="30"/>
      <c r="DQT12" s="31"/>
      <c r="DQU12" s="29"/>
      <c r="DQV12" s="45"/>
      <c r="DQX12" s="27"/>
      <c r="DQY12" s="1"/>
      <c r="DQZ12" s="28"/>
      <c r="DRB12" s="28"/>
      <c r="DRC12" s="31"/>
      <c r="DRD12" s="28"/>
      <c r="DRF12" s="28"/>
      <c r="DRG12" s="28"/>
      <c r="DRH12" s="29"/>
      <c r="DRI12" s="30"/>
      <c r="DRJ12" s="31"/>
      <c r="DRK12" s="29"/>
      <c r="DRL12" s="45"/>
      <c r="DRN12" s="27"/>
      <c r="DRO12" s="1"/>
      <c r="DRP12" s="28"/>
      <c r="DRR12" s="28"/>
      <c r="DRS12" s="31"/>
      <c r="DRT12" s="28"/>
      <c r="DRV12" s="28"/>
      <c r="DRW12" s="28"/>
      <c r="DRX12" s="29"/>
      <c r="DRY12" s="30"/>
      <c r="DRZ12" s="31"/>
      <c r="DSA12" s="29"/>
      <c r="DSB12" s="45"/>
      <c r="DSD12" s="27"/>
      <c r="DSE12" s="1"/>
      <c r="DSF12" s="28"/>
      <c r="DSH12" s="28"/>
      <c r="DSI12" s="31"/>
      <c r="DSJ12" s="28"/>
      <c r="DSL12" s="28"/>
      <c r="DSM12" s="28"/>
      <c r="DSN12" s="29"/>
      <c r="DSO12" s="30"/>
      <c r="DSP12" s="31"/>
      <c r="DSQ12" s="29"/>
      <c r="DSR12" s="45"/>
      <c r="DST12" s="27"/>
      <c r="DSU12" s="1"/>
      <c r="DSV12" s="28"/>
      <c r="DSX12" s="28"/>
      <c r="DSY12" s="31"/>
      <c r="DSZ12" s="28"/>
      <c r="DTB12" s="28"/>
      <c r="DTC12" s="28"/>
      <c r="DTD12" s="29"/>
      <c r="DTE12" s="30"/>
      <c r="DTF12" s="31"/>
      <c r="DTG12" s="29"/>
      <c r="DTH12" s="45"/>
      <c r="DTJ12" s="27"/>
      <c r="DTK12" s="1"/>
      <c r="DTL12" s="28"/>
      <c r="DTN12" s="28"/>
      <c r="DTO12" s="31"/>
      <c r="DTP12" s="28"/>
      <c r="DTR12" s="28"/>
      <c r="DTS12" s="28"/>
      <c r="DTT12" s="29"/>
      <c r="DTU12" s="30"/>
      <c r="DTV12" s="31"/>
      <c r="DTW12" s="29"/>
      <c r="DTX12" s="45"/>
      <c r="DTZ12" s="27"/>
      <c r="DUA12" s="1"/>
      <c r="DUB12" s="28"/>
      <c r="DUD12" s="28"/>
      <c r="DUE12" s="31"/>
      <c r="DUF12" s="28"/>
      <c r="DUH12" s="28"/>
      <c r="DUI12" s="28"/>
      <c r="DUJ12" s="29"/>
      <c r="DUK12" s="30"/>
      <c r="DUL12" s="31"/>
      <c r="DUM12" s="29"/>
      <c r="DUN12" s="45"/>
      <c r="DUP12" s="27"/>
      <c r="DUQ12" s="1"/>
      <c r="DUR12" s="28"/>
      <c r="DUT12" s="28"/>
      <c r="DUU12" s="31"/>
      <c r="DUV12" s="28"/>
      <c r="DUX12" s="28"/>
      <c r="DUY12" s="28"/>
      <c r="DUZ12" s="29"/>
      <c r="DVA12" s="30"/>
      <c r="DVB12" s="31"/>
      <c r="DVC12" s="29"/>
      <c r="DVD12" s="45"/>
      <c r="DVF12" s="27"/>
      <c r="DVG12" s="1"/>
      <c r="DVH12" s="28"/>
      <c r="DVJ12" s="28"/>
      <c r="DVK12" s="31"/>
      <c r="DVL12" s="28"/>
      <c r="DVN12" s="28"/>
      <c r="DVO12" s="28"/>
      <c r="DVP12" s="29"/>
      <c r="DVQ12" s="30"/>
      <c r="DVR12" s="31"/>
      <c r="DVS12" s="29"/>
      <c r="DVT12" s="45"/>
      <c r="DVV12" s="27"/>
      <c r="DVW12" s="1"/>
      <c r="DVX12" s="28"/>
      <c r="DVZ12" s="28"/>
      <c r="DWA12" s="31"/>
      <c r="DWB12" s="28"/>
      <c r="DWD12" s="28"/>
      <c r="DWE12" s="28"/>
      <c r="DWF12" s="29"/>
      <c r="DWG12" s="30"/>
      <c r="DWH12" s="31"/>
      <c r="DWI12" s="29"/>
      <c r="DWJ12" s="45"/>
      <c r="DWL12" s="27"/>
      <c r="DWM12" s="1"/>
      <c r="DWN12" s="28"/>
      <c r="DWP12" s="28"/>
      <c r="DWQ12" s="31"/>
      <c r="DWR12" s="28"/>
      <c r="DWT12" s="28"/>
      <c r="DWU12" s="28"/>
      <c r="DWV12" s="29"/>
      <c r="DWW12" s="30"/>
      <c r="DWX12" s="31"/>
      <c r="DWY12" s="29"/>
      <c r="DWZ12" s="45"/>
      <c r="DXB12" s="27"/>
      <c r="DXC12" s="1"/>
      <c r="DXD12" s="28"/>
      <c r="DXF12" s="28"/>
      <c r="DXG12" s="31"/>
      <c r="DXH12" s="28"/>
      <c r="DXJ12" s="28"/>
      <c r="DXK12" s="28"/>
      <c r="DXL12" s="29"/>
      <c r="DXM12" s="30"/>
      <c r="DXN12" s="31"/>
      <c r="DXO12" s="29"/>
      <c r="DXP12" s="45"/>
      <c r="DXR12" s="27"/>
      <c r="DXS12" s="1"/>
      <c r="DXT12" s="28"/>
      <c r="DXV12" s="28"/>
      <c r="DXW12" s="31"/>
      <c r="DXX12" s="28"/>
      <c r="DXZ12" s="28"/>
      <c r="DYA12" s="28"/>
      <c r="DYB12" s="29"/>
      <c r="DYC12" s="30"/>
      <c r="DYD12" s="31"/>
      <c r="DYE12" s="29"/>
      <c r="DYF12" s="45"/>
      <c r="DYH12" s="27"/>
      <c r="DYI12" s="1"/>
      <c r="DYJ12" s="28"/>
      <c r="DYL12" s="28"/>
      <c r="DYM12" s="31"/>
      <c r="DYN12" s="28"/>
      <c r="DYP12" s="28"/>
      <c r="DYQ12" s="28"/>
      <c r="DYR12" s="29"/>
      <c r="DYS12" s="30"/>
      <c r="DYT12" s="31"/>
      <c r="DYU12" s="29"/>
      <c r="DYV12" s="45"/>
      <c r="DYX12" s="27"/>
      <c r="DYY12" s="1"/>
      <c r="DYZ12" s="28"/>
      <c r="DZB12" s="28"/>
      <c r="DZC12" s="31"/>
      <c r="DZD12" s="28"/>
      <c r="DZF12" s="28"/>
      <c r="DZG12" s="28"/>
      <c r="DZH12" s="29"/>
      <c r="DZI12" s="30"/>
      <c r="DZJ12" s="31"/>
      <c r="DZK12" s="29"/>
      <c r="DZL12" s="45"/>
      <c r="DZN12" s="27"/>
      <c r="DZO12" s="1"/>
      <c r="DZP12" s="28"/>
      <c r="DZR12" s="28"/>
      <c r="DZS12" s="31"/>
      <c r="DZT12" s="28"/>
      <c r="DZV12" s="28"/>
      <c r="DZW12" s="28"/>
      <c r="DZX12" s="29"/>
      <c r="DZY12" s="30"/>
      <c r="DZZ12" s="31"/>
      <c r="EAA12" s="29"/>
      <c r="EAB12" s="45"/>
      <c r="EAD12" s="27"/>
      <c r="EAE12" s="1"/>
      <c r="EAF12" s="28"/>
      <c r="EAH12" s="28"/>
      <c r="EAI12" s="31"/>
      <c r="EAJ12" s="28"/>
      <c r="EAL12" s="28"/>
      <c r="EAM12" s="28"/>
      <c r="EAN12" s="29"/>
      <c r="EAO12" s="30"/>
      <c r="EAP12" s="31"/>
      <c r="EAQ12" s="29"/>
      <c r="EAR12" s="45"/>
      <c r="EAT12" s="27"/>
      <c r="EAU12" s="1"/>
      <c r="EAV12" s="28"/>
      <c r="EAX12" s="28"/>
      <c r="EAY12" s="31"/>
      <c r="EAZ12" s="28"/>
      <c r="EBB12" s="28"/>
      <c r="EBC12" s="28"/>
      <c r="EBD12" s="29"/>
      <c r="EBE12" s="30"/>
      <c r="EBF12" s="31"/>
      <c r="EBG12" s="29"/>
      <c r="EBH12" s="45"/>
      <c r="EBJ12" s="27"/>
      <c r="EBK12" s="1"/>
      <c r="EBL12" s="28"/>
      <c r="EBN12" s="28"/>
      <c r="EBO12" s="31"/>
      <c r="EBP12" s="28"/>
      <c r="EBR12" s="28"/>
      <c r="EBS12" s="28"/>
      <c r="EBT12" s="29"/>
      <c r="EBU12" s="30"/>
      <c r="EBV12" s="31"/>
      <c r="EBW12" s="29"/>
      <c r="EBX12" s="45"/>
      <c r="EBZ12" s="27"/>
      <c r="ECA12" s="1"/>
      <c r="ECB12" s="28"/>
      <c r="ECD12" s="28"/>
      <c r="ECE12" s="31"/>
      <c r="ECF12" s="28"/>
      <c r="ECH12" s="28"/>
      <c r="ECI12" s="28"/>
      <c r="ECJ12" s="29"/>
      <c r="ECK12" s="30"/>
      <c r="ECL12" s="31"/>
      <c r="ECM12" s="29"/>
      <c r="ECN12" s="45"/>
      <c r="ECP12" s="27"/>
      <c r="ECQ12" s="1"/>
      <c r="ECR12" s="28"/>
      <c r="ECT12" s="28"/>
      <c r="ECU12" s="31"/>
      <c r="ECV12" s="28"/>
      <c r="ECX12" s="28"/>
      <c r="ECY12" s="28"/>
      <c r="ECZ12" s="29"/>
      <c r="EDA12" s="30"/>
      <c r="EDB12" s="31"/>
      <c r="EDC12" s="29"/>
      <c r="EDD12" s="45"/>
      <c r="EDF12" s="27"/>
      <c r="EDG12" s="1"/>
      <c r="EDH12" s="28"/>
      <c r="EDJ12" s="28"/>
      <c r="EDK12" s="31"/>
      <c r="EDL12" s="28"/>
      <c r="EDN12" s="28"/>
      <c r="EDO12" s="28"/>
      <c r="EDP12" s="29"/>
      <c r="EDQ12" s="30"/>
      <c r="EDR12" s="31"/>
      <c r="EDS12" s="29"/>
      <c r="EDT12" s="45"/>
      <c r="EDV12" s="27"/>
      <c r="EDW12" s="1"/>
      <c r="EDX12" s="28"/>
      <c r="EDZ12" s="28"/>
      <c r="EEA12" s="31"/>
      <c r="EEB12" s="28"/>
      <c r="EED12" s="28"/>
      <c r="EEE12" s="28"/>
      <c r="EEF12" s="29"/>
      <c r="EEG12" s="30"/>
      <c r="EEH12" s="31"/>
      <c r="EEI12" s="29"/>
      <c r="EEJ12" s="45"/>
      <c r="EEL12" s="27"/>
      <c r="EEM12" s="1"/>
      <c r="EEN12" s="28"/>
      <c r="EEP12" s="28"/>
      <c r="EEQ12" s="31"/>
      <c r="EER12" s="28"/>
      <c r="EET12" s="28"/>
      <c r="EEU12" s="28"/>
      <c r="EEV12" s="29"/>
      <c r="EEW12" s="30"/>
      <c r="EEX12" s="31"/>
      <c r="EEY12" s="29"/>
      <c r="EEZ12" s="45"/>
      <c r="EFB12" s="27"/>
      <c r="EFC12" s="1"/>
      <c r="EFD12" s="28"/>
      <c r="EFF12" s="28"/>
      <c r="EFG12" s="31"/>
      <c r="EFH12" s="28"/>
      <c r="EFJ12" s="28"/>
      <c r="EFK12" s="28"/>
      <c r="EFL12" s="29"/>
      <c r="EFM12" s="30"/>
      <c r="EFN12" s="31"/>
      <c r="EFO12" s="29"/>
      <c r="EFP12" s="45"/>
      <c r="EFR12" s="27"/>
      <c r="EFS12" s="1"/>
      <c r="EFT12" s="28"/>
      <c r="EFV12" s="28"/>
      <c r="EFW12" s="31"/>
      <c r="EFX12" s="28"/>
      <c r="EFZ12" s="28"/>
      <c r="EGA12" s="28"/>
      <c r="EGB12" s="29"/>
      <c r="EGC12" s="30"/>
      <c r="EGD12" s="31"/>
      <c r="EGE12" s="29"/>
      <c r="EGF12" s="45"/>
      <c r="EGH12" s="27"/>
      <c r="EGI12" s="1"/>
      <c r="EGJ12" s="28"/>
      <c r="EGL12" s="28"/>
      <c r="EGM12" s="31"/>
      <c r="EGN12" s="28"/>
      <c r="EGP12" s="28"/>
      <c r="EGQ12" s="28"/>
      <c r="EGR12" s="29"/>
      <c r="EGS12" s="30"/>
      <c r="EGT12" s="31"/>
      <c r="EGU12" s="29"/>
      <c r="EGV12" s="45"/>
      <c r="EGX12" s="27"/>
      <c r="EGY12" s="1"/>
      <c r="EGZ12" s="28"/>
      <c r="EHB12" s="28"/>
      <c r="EHC12" s="31"/>
      <c r="EHD12" s="28"/>
      <c r="EHF12" s="28"/>
      <c r="EHG12" s="28"/>
      <c r="EHH12" s="29"/>
      <c r="EHI12" s="30"/>
      <c r="EHJ12" s="31"/>
      <c r="EHK12" s="29"/>
      <c r="EHL12" s="45"/>
      <c r="EHN12" s="27"/>
      <c r="EHO12" s="1"/>
      <c r="EHP12" s="28"/>
      <c r="EHR12" s="28"/>
      <c r="EHS12" s="31"/>
      <c r="EHT12" s="28"/>
      <c r="EHV12" s="28"/>
      <c r="EHW12" s="28"/>
      <c r="EHX12" s="29"/>
      <c r="EHY12" s="30"/>
      <c r="EHZ12" s="31"/>
      <c r="EIA12" s="29"/>
      <c r="EIB12" s="45"/>
      <c r="EID12" s="27"/>
      <c r="EIE12" s="1"/>
      <c r="EIF12" s="28"/>
      <c r="EIH12" s="28"/>
      <c r="EII12" s="31"/>
      <c r="EIJ12" s="28"/>
      <c r="EIL12" s="28"/>
      <c r="EIM12" s="28"/>
      <c r="EIN12" s="29"/>
      <c r="EIO12" s="30"/>
      <c r="EIP12" s="31"/>
      <c r="EIQ12" s="29"/>
      <c r="EIR12" s="45"/>
      <c r="EIT12" s="27"/>
      <c r="EIU12" s="1"/>
      <c r="EIV12" s="28"/>
      <c r="EIX12" s="28"/>
      <c r="EIY12" s="31"/>
      <c r="EIZ12" s="28"/>
      <c r="EJB12" s="28"/>
      <c r="EJC12" s="28"/>
      <c r="EJD12" s="29"/>
      <c r="EJE12" s="30"/>
      <c r="EJF12" s="31"/>
      <c r="EJG12" s="29"/>
      <c r="EJH12" s="45"/>
      <c r="EJJ12" s="27"/>
      <c r="EJK12" s="1"/>
      <c r="EJL12" s="28"/>
      <c r="EJN12" s="28"/>
      <c r="EJO12" s="31"/>
      <c r="EJP12" s="28"/>
      <c r="EJR12" s="28"/>
      <c r="EJS12" s="28"/>
      <c r="EJT12" s="29"/>
      <c r="EJU12" s="30"/>
      <c r="EJV12" s="31"/>
      <c r="EJW12" s="29"/>
      <c r="EJX12" s="45"/>
      <c r="EJZ12" s="27"/>
      <c r="EKA12" s="1"/>
      <c r="EKB12" s="28"/>
      <c r="EKD12" s="28"/>
      <c r="EKE12" s="31"/>
      <c r="EKF12" s="28"/>
      <c r="EKH12" s="28"/>
      <c r="EKI12" s="28"/>
      <c r="EKJ12" s="29"/>
      <c r="EKK12" s="30"/>
      <c r="EKL12" s="31"/>
      <c r="EKM12" s="29"/>
      <c r="EKN12" s="45"/>
      <c r="EKP12" s="27"/>
      <c r="EKQ12" s="1"/>
      <c r="EKR12" s="28"/>
      <c r="EKT12" s="28"/>
      <c r="EKU12" s="31"/>
      <c r="EKV12" s="28"/>
      <c r="EKX12" s="28"/>
      <c r="EKY12" s="28"/>
      <c r="EKZ12" s="29"/>
      <c r="ELA12" s="30"/>
      <c r="ELB12" s="31"/>
      <c r="ELC12" s="29"/>
      <c r="ELD12" s="45"/>
      <c r="ELF12" s="27"/>
      <c r="ELG12" s="1"/>
      <c r="ELH12" s="28"/>
      <c r="ELJ12" s="28"/>
      <c r="ELK12" s="31"/>
      <c r="ELL12" s="28"/>
      <c r="ELN12" s="28"/>
      <c r="ELO12" s="28"/>
      <c r="ELP12" s="29"/>
      <c r="ELQ12" s="30"/>
      <c r="ELR12" s="31"/>
      <c r="ELS12" s="29"/>
      <c r="ELT12" s="45"/>
      <c r="ELV12" s="27"/>
      <c r="ELW12" s="1"/>
      <c r="ELX12" s="28"/>
      <c r="ELZ12" s="28"/>
      <c r="EMA12" s="31"/>
      <c r="EMB12" s="28"/>
      <c r="EMD12" s="28"/>
      <c r="EME12" s="28"/>
      <c r="EMF12" s="29"/>
      <c r="EMG12" s="30"/>
      <c r="EMH12" s="31"/>
      <c r="EMI12" s="29"/>
      <c r="EMJ12" s="45"/>
      <c r="EML12" s="27"/>
      <c r="EMM12" s="1"/>
      <c r="EMN12" s="28"/>
      <c r="EMP12" s="28"/>
      <c r="EMQ12" s="31"/>
      <c r="EMR12" s="28"/>
      <c r="EMT12" s="28"/>
      <c r="EMU12" s="28"/>
      <c r="EMV12" s="29"/>
      <c r="EMW12" s="30"/>
      <c r="EMX12" s="31"/>
      <c r="EMY12" s="29"/>
      <c r="EMZ12" s="45"/>
      <c r="ENB12" s="27"/>
      <c r="ENC12" s="1"/>
      <c r="END12" s="28"/>
      <c r="ENF12" s="28"/>
      <c r="ENG12" s="31"/>
      <c r="ENH12" s="28"/>
      <c r="ENJ12" s="28"/>
      <c r="ENK12" s="28"/>
      <c r="ENL12" s="29"/>
      <c r="ENM12" s="30"/>
      <c r="ENN12" s="31"/>
      <c r="ENO12" s="29"/>
      <c r="ENP12" s="45"/>
      <c r="ENR12" s="27"/>
      <c r="ENS12" s="1"/>
      <c r="ENT12" s="28"/>
      <c r="ENV12" s="28"/>
      <c r="ENW12" s="31"/>
      <c r="ENX12" s="28"/>
      <c r="ENZ12" s="28"/>
      <c r="EOA12" s="28"/>
      <c r="EOB12" s="29"/>
      <c r="EOC12" s="30"/>
      <c r="EOD12" s="31"/>
      <c r="EOE12" s="29"/>
      <c r="EOF12" s="45"/>
      <c r="EOH12" s="27"/>
      <c r="EOI12" s="1"/>
      <c r="EOJ12" s="28"/>
      <c r="EOL12" s="28"/>
      <c r="EOM12" s="31"/>
      <c r="EON12" s="28"/>
      <c r="EOP12" s="28"/>
      <c r="EOQ12" s="28"/>
      <c r="EOR12" s="29"/>
      <c r="EOS12" s="30"/>
      <c r="EOT12" s="31"/>
      <c r="EOU12" s="29"/>
      <c r="EOV12" s="45"/>
      <c r="EOX12" s="27"/>
      <c r="EOY12" s="1"/>
      <c r="EOZ12" s="28"/>
      <c r="EPB12" s="28"/>
      <c r="EPC12" s="31"/>
      <c r="EPD12" s="28"/>
      <c r="EPF12" s="28"/>
      <c r="EPG12" s="28"/>
      <c r="EPH12" s="29"/>
      <c r="EPI12" s="30"/>
      <c r="EPJ12" s="31"/>
      <c r="EPK12" s="29"/>
      <c r="EPL12" s="45"/>
      <c r="EPN12" s="27"/>
      <c r="EPO12" s="1"/>
      <c r="EPP12" s="28"/>
      <c r="EPR12" s="28"/>
      <c r="EPS12" s="31"/>
      <c r="EPT12" s="28"/>
      <c r="EPV12" s="28"/>
      <c r="EPW12" s="28"/>
      <c r="EPX12" s="29"/>
      <c r="EPY12" s="30"/>
      <c r="EPZ12" s="31"/>
      <c r="EQA12" s="29"/>
      <c r="EQB12" s="45"/>
      <c r="EQD12" s="27"/>
      <c r="EQE12" s="1"/>
      <c r="EQF12" s="28"/>
      <c r="EQH12" s="28"/>
      <c r="EQI12" s="31"/>
      <c r="EQJ12" s="28"/>
      <c r="EQL12" s="28"/>
      <c r="EQM12" s="28"/>
      <c r="EQN12" s="29"/>
      <c r="EQO12" s="30"/>
      <c r="EQP12" s="31"/>
      <c r="EQQ12" s="29"/>
      <c r="EQR12" s="45"/>
      <c r="EQT12" s="27"/>
      <c r="EQU12" s="1"/>
      <c r="EQV12" s="28"/>
      <c r="EQX12" s="28"/>
      <c r="EQY12" s="31"/>
      <c r="EQZ12" s="28"/>
      <c r="ERB12" s="28"/>
      <c r="ERC12" s="28"/>
      <c r="ERD12" s="29"/>
      <c r="ERE12" s="30"/>
      <c r="ERF12" s="31"/>
      <c r="ERG12" s="29"/>
      <c r="ERH12" s="45"/>
      <c r="ERJ12" s="27"/>
      <c r="ERK12" s="1"/>
      <c r="ERL12" s="28"/>
      <c r="ERN12" s="28"/>
      <c r="ERO12" s="31"/>
      <c r="ERP12" s="28"/>
      <c r="ERR12" s="28"/>
      <c r="ERS12" s="28"/>
      <c r="ERT12" s="29"/>
      <c r="ERU12" s="30"/>
      <c r="ERV12" s="31"/>
      <c r="ERW12" s="29"/>
      <c r="ERX12" s="45"/>
      <c r="ERZ12" s="27"/>
      <c r="ESA12" s="1"/>
      <c r="ESB12" s="28"/>
      <c r="ESD12" s="28"/>
      <c r="ESE12" s="31"/>
      <c r="ESF12" s="28"/>
      <c r="ESH12" s="28"/>
      <c r="ESI12" s="28"/>
      <c r="ESJ12" s="29"/>
      <c r="ESK12" s="30"/>
      <c r="ESL12" s="31"/>
      <c r="ESM12" s="29"/>
      <c r="ESN12" s="45"/>
      <c r="ESP12" s="27"/>
      <c r="ESQ12" s="1"/>
      <c r="ESR12" s="28"/>
      <c r="EST12" s="28"/>
      <c r="ESU12" s="31"/>
      <c r="ESV12" s="28"/>
      <c r="ESX12" s="28"/>
      <c r="ESY12" s="28"/>
      <c r="ESZ12" s="29"/>
      <c r="ETA12" s="30"/>
      <c r="ETB12" s="31"/>
      <c r="ETC12" s="29"/>
      <c r="ETD12" s="45"/>
      <c r="ETF12" s="27"/>
      <c r="ETG12" s="1"/>
      <c r="ETH12" s="28"/>
      <c r="ETJ12" s="28"/>
      <c r="ETK12" s="31"/>
      <c r="ETL12" s="28"/>
      <c r="ETN12" s="28"/>
      <c r="ETO12" s="28"/>
      <c r="ETP12" s="29"/>
      <c r="ETQ12" s="30"/>
      <c r="ETR12" s="31"/>
      <c r="ETS12" s="29"/>
      <c r="ETT12" s="45"/>
      <c r="ETV12" s="27"/>
      <c r="ETW12" s="1"/>
      <c r="ETX12" s="28"/>
      <c r="ETZ12" s="28"/>
      <c r="EUA12" s="31"/>
      <c r="EUB12" s="28"/>
      <c r="EUD12" s="28"/>
      <c r="EUE12" s="28"/>
      <c r="EUF12" s="29"/>
      <c r="EUG12" s="30"/>
      <c r="EUH12" s="31"/>
      <c r="EUI12" s="29"/>
      <c r="EUJ12" s="45"/>
      <c r="EUL12" s="27"/>
      <c r="EUM12" s="1"/>
      <c r="EUN12" s="28"/>
      <c r="EUP12" s="28"/>
      <c r="EUQ12" s="31"/>
      <c r="EUR12" s="28"/>
      <c r="EUT12" s="28"/>
      <c r="EUU12" s="28"/>
      <c r="EUV12" s="29"/>
      <c r="EUW12" s="30"/>
      <c r="EUX12" s="31"/>
      <c r="EUY12" s="29"/>
      <c r="EUZ12" s="45"/>
      <c r="EVB12" s="27"/>
      <c r="EVC12" s="1"/>
      <c r="EVD12" s="28"/>
      <c r="EVF12" s="28"/>
      <c r="EVG12" s="31"/>
      <c r="EVH12" s="28"/>
      <c r="EVJ12" s="28"/>
      <c r="EVK12" s="28"/>
      <c r="EVL12" s="29"/>
      <c r="EVM12" s="30"/>
      <c r="EVN12" s="31"/>
      <c r="EVO12" s="29"/>
      <c r="EVP12" s="45"/>
      <c r="EVR12" s="27"/>
      <c r="EVS12" s="1"/>
      <c r="EVT12" s="28"/>
      <c r="EVV12" s="28"/>
      <c r="EVW12" s="31"/>
      <c r="EVX12" s="28"/>
      <c r="EVZ12" s="28"/>
      <c r="EWA12" s="28"/>
      <c r="EWB12" s="29"/>
      <c r="EWC12" s="30"/>
      <c r="EWD12" s="31"/>
      <c r="EWE12" s="29"/>
      <c r="EWF12" s="45"/>
      <c r="EWH12" s="27"/>
      <c r="EWI12" s="1"/>
      <c r="EWJ12" s="28"/>
      <c r="EWL12" s="28"/>
      <c r="EWM12" s="31"/>
      <c r="EWN12" s="28"/>
      <c r="EWP12" s="28"/>
      <c r="EWQ12" s="28"/>
      <c r="EWR12" s="29"/>
      <c r="EWS12" s="30"/>
      <c r="EWT12" s="31"/>
      <c r="EWU12" s="29"/>
      <c r="EWV12" s="45"/>
      <c r="EWX12" s="27"/>
      <c r="EWY12" s="1"/>
      <c r="EWZ12" s="28"/>
      <c r="EXB12" s="28"/>
      <c r="EXC12" s="31"/>
      <c r="EXD12" s="28"/>
      <c r="EXF12" s="28"/>
      <c r="EXG12" s="28"/>
      <c r="EXH12" s="29"/>
      <c r="EXI12" s="30"/>
      <c r="EXJ12" s="31"/>
      <c r="EXK12" s="29"/>
      <c r="EXL12" s="45"/>
      <c r="EXN12" s="27"/>
      <c r="EXO12" s="1"/>
      <c r="EXP12" s="28"/>
      <c r="EXR12" s="28"/>
      <c r="EXS12" s="31"/>
      <c r="EXT12" s="28"/>
      <c r="EXV12" s="28"/>
      <c r="EXW12" s="28"/>
      <c r="EXX12" s="29"/>
      <c r="EXY12" s="30"/>
      <c r="EXZ12" s="31"/>
      <c r="EYA12" s="29"/>
      <c r="EYB12" s="45"/>
      <c r="EYD12" s="27"/>
      <c r="EYE12" s="1"/>
      <c r="EYF12" s="28"/>
      <c r="EYH12" s="28"/>
      <c r="EYI12" s="31"/>
      <c r="EYJ12" s="28"/>
      <c r="EYL12" s="28"/>
      <c r="EYM12" s="28"/>
      <c r="EYN12" s="29"/>
      <c r="EYO12" s="30"/>
      <c r="EYP12" s="31"/>
      <c r="EYQ12" s="29"/>
      <c r="EYR12" s="45"/>
      <c r="EYT12" s="27"/>
      <c r="EYU12" s="1"/>
      <c r="EYV12" s="28"/>
      <c r="EYX12" s="28"/>
      <c r="EYY12" s="31"/>
      <c r="EYZ12" s="28"/>
      <c r="EZB12" s="28"/>
      <c r="EZC12" s="28"/>
      <c r="EZD12" s="29"/>
      <c r="EZE12" s="30"/>
      <c r="EZF12" s="31"/>
      <c r="EZG12" s="29"/>
      <c r="EZH12" s="45"/>
      <c r="EZJ12" s="27"/>
      <c r="EZK12" s="1"/>
      <c r="EZL12" s="28"/>
      <c r="EZN12" s="28"/>
      <c r="EZO12" s="31"/>
      <c r="EZP12" s="28"/>
      <c r="EZR12" s="28"/>
      <c r="EZS12" s="28"/>
      <c r="EZT12" s="29"/>
      <c r="EZU12" s="30"/>
      <c r="EZV12" s="31"/>
      <c r="EZW12" s="29"/>
      <c r="EZX12" s="45"/>
      <c r="EZZ12" s="27"/>
      <c r="FAA12" s="1"/>
      <c r="FAB12" s="28"/>
      <c r="FAD12" s="28"/>
      <c r="FAE12" s="31"/>
      <c r="FAF12" s="28"/>
      <c r="FAH12" s="28"/>
      <c r="FAI12" s="28"/>
      <c r="FAJ12" s="29"/>
      <c r="FAK12" s="30"/>
      <c r="FAL12" s="31"/>
      <c r="FAM12" s="29"/>
      <c r="FAN12" s="45"/>
      <c r="FAP12" s="27"/>
      <c r="FAQ12" s="1"/>
      <c r="FAR12" s="28"/>
      <c r="FAT12" s="28"/>
      <c r="FAU12" s="31"/>
      <c r="FAV12" s="28"/>
      <c r="FAX12" s="28"/>
      <c r="FAY12" s="28"/>
      <c r="FAZ12" s="29"/>
      <c r="FBA12" s="30"/>
      <c r="FBB12" s="31"/>
      <c r="FBC12" s="29"/>
      <c r="FBD12" s="45"/>
      <c r="FBF12" s="27"/>
      <c r="FBG12" s="1"/>
      <c r="FBH12" s="28"/>
      <c r="FBJ12" s="28"/>
      <c r="FBK12" s="31"/>
      <c r="FBL12" s="28"/>
      <c r="FBN12" s="28"/>
      <c r="FBO12" s="28"/>
      <c r="FBP12" s="29"/>
      <c r="FBQ12" s="30"/>
      <c r="FBR12" s="31"/>
      <c r="FBS12" s="29"/>
      <c r="FBT12" s="45"/>
      <c r="FBV12" s="27"/>
      <c r="FBW12" s="1"/>
      <c r="FBX12" s="28"/>
      <c r="FBZ12" s="28"/>
      <c r="FCA12" s="31"/>
      <c r="FCB12" s="28"/>
      <c r="FCD12" s="28"/>
      <c r="FCE12" s="28"/>
      <c r="FCF12" s="29"/>
      <c r="FCG12" s="30"/>
      <c r="FCH12" s="31"/>
      <c r="FCI12" s="29"/>
      <c r="FCJ12" s="45"/>
      <c r="FCL12" s="27"/>
      <c r="FCM12" s="1"/>
      <c r="FCN12" s="28"/>
      <c r="FCP12" s="28"/>
      <c r="FCQ12" s="31"/>
      <c r="FCR12" s="28"/>
      <c r="FCT12" s="28"/>
      <c r="FCU12" s="28"/>
      <c r="FCV12" s="29"/>
      <c r="FCW12" s="30"/>
      <c r="FCX12" s="31"/>
      <c r="FCY12" s="29"/>
      <c r="FCZ12" s="45"/>
      <c r="FDB12" s="27"/>
      <c r="FDC12" s="1"/>
      <c r="FDD12" s="28"/>
      <c r="FDF12" s="28"/>
      <c r="FDG12" s="31"/>
      <c r="FDH12" s="28"/>
      <c r="FDJ12" s="28"/>
      <c r="FDK12" s="28"/>
      <c r="FDL12" s="29"/>
      <c r="FDM12" s="30"/>
      <c r="FDN12" s="31"/>
      <c r="FDO12" s="29"/>
      <c r="FDP12" s="45"/>
      <c r="FDR12" s="27"/>
      <c r="FDS12" s="1"/>
      <c r="FDT12" s="28"/>
      <c r="FDV12" s="28"/>
      <c r="FDW12" s="31"/>
      <c r="FDX12" s="28"/>
      <c r="FDZ12" s="28"/>
      <c r="FEA12" s="28"/>
      <c r="FEB12" s="29"/>
      <c r="FEC12" s="30"/>
      <c r="FED12" s="31"/>
      <c r="FEE12" s="29"/>
      <c r="FEF12" s="45"/>
      <c r="FEH12" s="27"/>
      <c r="FEI12" s="1"/>
      <c r="FEJ12" s="28"/>
      <c r="FEL12" s="28"/>
      <c r="FEM12" s="31"/>
      <c r="FEN12" s="28"/>
      <c r="FEP12" s="28"/>
      <c r="FEQ12" s="28"/>
      <c r="FER12" s="29"/>
      <c r="FES12" s="30"/>
      <c r="FET12" s="31"/>
      <c r="FEU12" s="29"/>
      <c r="FEV12" s="45"/>
      <c r="FEX12" s="27"/>
      <c r="FEY12" s="1"/>
      <c r="FEZ12" s="28"/>
      <c r="FFB12" s="28"/>
      <c r="FFC12" s="31"/>
      <c r="FFD12" s="28"/>
      <c r="FFF12" s="28"/>
      <c r="FFG12" s="28"/>
      <c r="FFH12" s="29"/>
      <c r="FFI12" s="30"/>
      <c r="FFJ12" s="31"/>
      <c r="FFK12" s="29"/>
      <c r="FFL12" s="45"/>
      <c r="FFN12" s="27"/>
      <c r="FFO12" s="1"/>
      <c r="FFP12" s="28"/>
      <c r="FFR12" s="28"/>
      <c r="FFS12" s="31"/>
      <c r="FFT12" s="28"/>
      <c r="FFV12" s="28"/>
      <c r="FFW12" s="28"/>
      <c r="FFX12" s="29"/>
      <c r="FFY12" s="30"/>
      <c r="FFZ12" s="31"/>
      <c r="FGA12" s="29"/>
      <c r="FGB12" s="45"/>
      <c r="FGD12" s="27"/>
      <c r="FGE12" s="1"/>
      <c r="FGF12" s="28"/>
      <c r="FGH12" s="28"/>
      <c r="FGI12" s="31"/>
      <c r="FGJ12" s="28"/>
      <c r="FGL12" s="28"/>
      <c r="FGM12" s="28"/>
      <c r="FGN12" s="29"/>
      <c r="FGO12" s="30"/>
      <c r="FGP12" s="31"/>
      <c r="FGQ12" s="29"/>
      <c r="FGR12" s="45"/>
      <c r="FGT12" s="27"/>
      <c r="FGU12" s="1"/>
      <c r="FGV12" s="28"/>
      <c r="FGX12" s="28"/>
      <c r="FGY12" s="31"/>
      <c r="FGZ12" s="28"/>
      <c r="FHB12" s="28"/>
      <c r="FHC12" s="28"/>
      <c r="FHD12" s="29"/>
      <c r="FHE12" s="30"/>
      <c r="FHF12" s="31"/>
      <c r="FHG12" s="29"/>
      <c r="FHH12" s="45"/>
      <c r="FHJ12" s="27"/>
      <c r="FHK12" s="1"/>
      <c r="FHL12" s="28"/>
      <c r="FHN12" s="28"/>
      <c r="FHO12" s="31"/>
      <c r="FHP12" s="28"/>
      <c r="FHR12" s="28"/>
      <c r="FHS12" s="28"/>
      <c r="FHT12" s="29"/>
      <c r="FHU12" s="30"/>
      <c r="FHV12" s="31"/>
      <c r="FHW12" s="29"/>
      <c r="FHX12" s="45"/>
      <c r="FHZ12" s="27"/>
      <c r="FIA12" s="1"/>
      <c r="FIB12" s="28"/>
      <c r="FID12" s="28"/>
      <c r="FIE12" s="31"/>
      <c r="FIF12" s="28"/>
      <c r="FIH12" s="28"/>
      <c r="FII12" s="28"/>
      <c r="FIJ12" s="29"/>
      <c r="FIK12" s="30"/>
      <c r="FIL12" s="31"/>
      <c r="FIM12" s="29"/>
      <c r="FIN12" s="45"/>
      <c r="FIP12" s="27"/>
      <c r="FIQ12" s="1"/>
      <c r="FIR12" s="28"/>
      <c r="FIT12" s="28"/>
      <c r="FIU12" s="31"/>
      <c r="FIV12" s="28"/>
      <c r="FIX12" s="28"/>
      <c r="FIY12" s="28"/>
      <c r="FIZ12" s="29"/>
      <c r="FJA12" s="30"/>
      <c r="FJB12" s="31"/>
      <c r="FJC12" s="29"/>
      <c r="FJD12" s="45"/>
      <c r="FJF12" s="27"/>
      <c r="FJG12" s="1"/>
      <c r="FJH12" s="28"/>
      <c r="FJJ12" s="28"/>
      <c r="FJK12" s="31"/>
      <c r="FJL12" s="28"/>
      <c r="FJN12" s="28"/>
      <c r="FJO12" s="28"/>
      <c r="FJP12" s="29"/>
      <c r="FJQ12" s="30"/>
      <c r="FJR12" s="31"/>
      <c r="FJS12" s="29"/>
      <c r="FJT12" s="45"/>
      <c r="FJV12" s="27"/>
      <c r="FJW12" s="1"/>
      <c r="FJX12" s="28"/>
      <c r="FJZ12" s="28"/>
      <c r="FKA12" s="31"/>
      <c r="FKB12" s="28"/>
      <c r="FKD12" s="28"/>
      <c r="FKE12" s="28"/>
      <c r="FKF12" s="29"/>
      <c r="FKG12" s="30"/>
      <c r="FKH12" s="31"/>
      <c r="FKI12" s="29"/>
      <c r="FKJ12" s="45"/>
      <c r="FKL12" s="27"/>
      <c r="FKM12" s="1"/>
      <c r="FKN12" s="28"/>
      <c r="FKP12" s="28"/>
      <c r="FKQ12" s="31"/>
      <c r="FKR12" s="28"/>
      <c r="FKT12" s="28"/>
      <c r="FKU12" s="28"/>
      <c r="FKV12" s="29"/>
      <c r="FKW12" s="30"/>
      <c r="FKX12" s="31"/>
      <c r="FKY12" s="29"/>
      <c r="FKZ12" s="45"/>
      <c r="FLB12" s="27"/>
      <c r="FLC12" s="1"/>
      <c r="FLD12" s="28"/>
      <c r="FLF12" s="28"/>
      <c r="FLG12" s="31"/>
      <c r="FLH12" s="28"/>
      <c r="FLJ12" s="28"/>
      <c r="FLK12" s="28"/>
      <c r="FLL12" s="29"/>
      <c r="FLM12" s="30"/>
      <c r="FLN12" s="31"/>
      <c r="FLO12" s="29"/>
      <c r="FLP12" s="45"/>
      <c r="FLR12" s="27"/>
      <c r="FLS12" s="1"/>
      <c r="FLT12" s="28"/>
      <c r="FLV12" s="28"/>
      <c r="FLW12" s="31"/>
      <c r="FLX12" s="28"/>
      <c r="FLZ12" s="28"/>
      <c r="FMA12" s="28"/>
      <c r="FMB12" s="29"/>
      <c r="FMC12" s="30"/>
      <c r="FMD12" s="31"/>
      <c r="FME12" s="29"/>
      <c r="FMF12" s="45"/>
      <c r="FMH12" s="27"/>
      <c r="FMI12" s="1"/>
      <c r="FMJ12" s="28"/>
      <c r="FML12" s="28"/>
      <c r="FMM12" s="31"/>
      <c r="FMN12" s="28"/>
      <c r="FMP12" s="28"/>
      <c r="FMQ12" s="28"/>
      <c r="FMR12" s="29"/>
      <c r="FMS12" s="30"/>
      <c r="FMT12" s="31"/>
      <c r="FMU12" s="29"/>
      <c r="FMV12" s="45"/>
      <c r="FMX12" s="27"/>
      <c r="FMY12" s="1"/>
      <c r="FMZ12" s="28"/>
      <c r="FNB12" s="28"/>
      <c r="FNC12" s="31"/>
      <c r="FND12" s="28"/>
      <c r="FNF12" s="28"/>
      <c r="FNG12" s="28"/>
      <c r="FNH12" s="29"/>
      <c r="FNI12" s="30"/>
      <c r="FNJ12" s="31"/>
      <c r="FNK12" s="29"/>
      <c r="FNL12" s="45"/>
      <c r="FNN12" s="27"/>
      <c r="FNO12" s="1"/>
      <c r="FNP12" s="28"/>
      <c r="FNR12" s="28"/>
      <c r="FNS12" s="31"/>
      <c r="FNT12" s="28"/>
      <c r="FNV12" s="28"/>
      <c r="FNW12" s="28"/>
      <c r="FNX12" s="29"/>
      <c r="FNY12" s="30"/>
      <c r="FNZ12" s="31"/>
      <c r="FOA12" s="29"/>
      <c r="FOB12" s="45"/>
      <c r="FOD12" s="27"/>
      <c r="FOE12" s="1"/>
      <c r="FOF12" s="28"/>
      <c r="FOH12" s="28"/>
      <c r="FOI12" s="31"/>
      <c r="FOJ12" s="28"/>
      <c r="FOL12" s="28"/>
      <c r="FOM12" s="28"/>
      <c r="FON12" s="29"/>
      <c r="FOO12" s="30"/>
      <c r="FOP12" s="31"/>
      <c r="FOQ12" s="29"/>
      <c r="FOR12" s="45"/>
      <c r="FOT12" s="27"/>
      <c r="FOU12" s="1"/>
      <c r="FOV12" s="28"/>
      <c r="FOX12" s="28"/>
      <c r="FOY12" s="31"/>
      <c r="FOZ12" s="28"/>
      <c r="FPB12" s="28"/>
      <c r="FPC12" s="28"/>
      <c r="FPD12" s="29"/>
      <c r="FPE12" s="30"/>
      <c r="FPF12" s="31"/>
      <c r="FPG12" s="29"/>
      <c r="FPH12" s="45"/>
      <c r="FPJ12" s="27"/>
      <c r="FPK12" s="1"/>
      <c r="FPL12" s="28"/>
      <c r="FPN12" s="28"/>
      <c r="FPO12" s="31"/>
      <c r="FPP12" s="28"/>
      <c r="FPR12" s="28"/>
      <c r="FPS12" s="28"/>
      <c r="FPT12" s="29"/>
      <c r="FPU12" s="30"/>
      <c r="FPV12" s="31"/>
      <c r="FPW12" s="29"/>
      <c r="FPX12" s="45"/>
      <c r="FPZ12" s="27"/>
      <c r="FQA12" s="1"/>
      <c r="FQB12" s="28"/>
      <c r="FQD12" s="28"/>
      <c r="FQE12" s="31"/>
      <c r="FQF12" s="28"/>
      <c r="FQH12" s="28"/>
      <c r="FQI12" s="28"/>
      <c r="FQJ12" s="29"/>
      <c r="FQK12" s="30"/>
      <c r="FQL12" s="31"/>
      <c r="FQM12" s="29"/>
      <c r="FQN12" s="45"/>
      <c r="FQP12" s="27"/>
      <c r="FQQ12" s="1"/>
      <c r="FQR12" s="28"/>
      <c r="FQT12" s="28"/>
      <c r="FQU12" s="31"/>
      <c r="FQV12" s="28"/>
      <c r="FQX12" s="28"/>
      <c r="FQY12" s="28"/>
      <c r="FQZ12" s="29"/>
      <c r="FRA12" s="30"/>
      <c r="FRB12" s="31"/>
      <c r="FRC12" s="29"/>
      <c r="FRD12" s="45"/>
      <c r="FRF12" s="27"/>
      <c r="FRG12" s="1"/>
      <c r="FRH12" s="28"/>
      <c r="FRJ12" s="28"/>
      <c r="FRK12" s="31"/>
      <c r="FRL12" s="28"/>
      <c r="FRN12" s="28"/>
      <c r="FRO12" s="28"/>
      <c r="FRP12" s="29"/>
      <c r="FRQ12" s="30"/>
      <c r="FRR12" s="31"/>
      <c r="FRS12" s="29"/>
      <c r="FRT12" s="45"/>
      <c r="FRV12" s="27"/>
      <c r="FRW12" s="1"/>
      <c r="FRX12" s="28"/>
      <c r="FRZ12" s="28"/>
      <c r="FSA12" s="31"/>
      <c r="FSB12" s="28"/>
      <c r="FSD12" s="28"/>
      <c r="FSE12" s="28"/>
      <c r="FSF12" s="29"/>
      <c r="FSG12" s="30"/>
      <c r="FSH12" s="31"/>
      <c r="FSI12" s="29"/>
      <c r="FSJ12" s="45"/>
      <c r="FSL12" s="27"/>
      <c r="FSM12" s="1"/>
      <c r="FSN12" s="28"/>
      <c r="FSP12" s="28"/>
      <c r="FSQ12" s="31"/>
      <c r="FSR12" s="28"/>
      <c r="FST12" s="28"/>
      <c r="FSU12" s="28"/>
      <c r="FSV12" s="29"/>
      <c r="FSW12" s="30"/>
      <c r="FSX12" s="31"/>
      <c r="FSY12" s="29"/>
      <c r="FSZ12" s="45"/>
      <c r="FTB12" s="27"/>
      <c r="FTC12" s="1"/>
      <c r="FTD12" s="28"/>
      <c r="FTF12" s="28"/>
      <c r="FTG12" s="31"/>
      <c r="FTH12" s="28"/>
      <c r="FTJ12" s="28"/>
      <c r="FTK12" s="28"/>
      <c r="FTL12" s="29"/>
      <c r="FTM12" s="30"/>
      <c r="FTN12" s="31"/>
      <c r="FTO12" s="29"/>
      <c r="FTP12" s="45"/>
      <c r="FTR12" s="27"/>
      <c r="FTS12" s="1"/>
      <c r="FTT12" s="28"/>
      <c r="FTV12" s="28"/>
      <c r="FTW12" s="31"/>
      <c r="FTX12" s="28"/>
      <c r="FTZ12" s="28"/>
      <c r="FUA12" s="28"/>
      <c r="FUB12" s="29"/>
      <c r="FUC12" s="30"/>
      <c r="FUD12" s="31"/>
      <c r="FUE12" s="29"/>
      <c r="FUF12" s="45"/>
      <c r="FUH12" s="27"/>
      <c r="FUI12" s="1"/>
      <c r="FUJ12" s="28"/>
      <c r="FUL12" s="28"/>
      <c r="FUM12" s="31"/>
      <c r="FUN12" s="28"/>
      <c r="FUP12" s="28"/>
      <c r="FUQ12" s="28"/>
      <c r="FUR12" s="29"/>
      <c r="FUS12" s="30"/>
      <c r="FUT12" s="31"/>
      <c r="FUU12" s="29"/>
      <c r="FUV12" s="45"/>
      <c r="FUX12" s="27"/>
      <c r="FUY12" s="1"/>
      <c r="FUZ12" s="28"/>
      <c r="FVB12" s="28"/>
      <c r="FVC12" s="31"/>
      <c r="FVD12" s="28"/>
      <c r="FVF12" s="28"/>
      <c r="FVG12" s="28"/>
      <c r="FVH12" s="29"/>
      <c r="FVI12" s="30"/>
      <c r="FVJ12" s="31"/>
      <c r="FVK12" s="29"/>
      <c r="FVL12" s="45"/>
      <c r="FVN12" s="27"/>
      <c r="FVO12" s="1"/>
      <c r="FVP12" s="28"/>
      <c r="FVR12" s="28"/>
      <c r="FVS12" s="31"/>
      <c r="FVT12" s="28"/>
      <c r="FVV12" s="28"/>
      <c r="FVW12" s="28"/>
      <c r="FVX12" s="29"/>
      <c r="FVY12" s="30"/>
      <c r="FVZ12" s="31"/>
      <c r="FWA12" s="29"/>
      <c r="FWB12" s="45"/>
      <c r="FWD12" s="27"/>
      <c r="FWE12" s="1"/>
      <c r="FWF12" s="28"/>
      <c r="FWH12" s="28"/>
      <c r="FWI12" s="31"/>
      <c r="FWJ12" s="28"/>
      <c r="FWL12" s="28"/>
      <c r="FWM12" s="28"/>
      <c r="FWN12" s="29"/>
      <c r="FWO12" s="30"/>
      <c r="FWP12" s="31"/>
      <c r="FWQ12" s="29"/>
      <c r="FWR12" s="45"/>
      <c r="FWT12" s="27"/>
      <c r="FWU12" s="1"/>
      <c r="FWV12" s="28"/>
      <c r="FWX12" s="28"/>
      <c r="FWY12" s="31"/>
      <c r="FWZ12" s="28"/>
      <c r="FXB12" s="28"/>
      <c r="FXC12" s="28"/>
      <c r="FXD12" s="29"/>
      <c r="FXE12" s="30"/>
      <c r="FXF12" s="31"/>
      <c r="FXG12" s="29"/>
      <c r="FXH12" s="45"/>
      <c r="FXJ12" s="27"/>
      <c r="FXK12" s="1"/>
      <c r="FXL12" s="28"/>
      <c r="FXN12" s="28"/>
      <c r="FXO12" s="31"/>
      <c r="FXP12" s="28"/>
      <c r="FXR12" s="28"/>
      <c r="FXS12" s="28"/>
      <c r="FXT12" s="29"/>
      <c r="FXU12" s="30"/>
      <c r="FXV12" s="31"/>
      <c r="FXW12" s="29"/>
      <c r="FXX12" s="45"/>
      <c r="FXZ12" s="27"/>
      <c r="FYA12" s="1"/>
      <c r="FYB12" s="28"/>
      <c r="FYD12" s="28"/>
      <c r="FYE12" s="31"/>
      <c r="FYF12" s="28"/>
      <c r="FYH12" s="28"/>
      <c r="FYI12" s="28"/>
      <c r="FYJ12" s="29"/>
      <c r="FYK12" s="30"/>
      <c r="FYL12" s="31"/>
      <c r="FYM12" s="29"/>
      <c r="FYN12" s="45"/>
      <c r="FYP12" s="27"/>
      <c r="FYQ12" s="1"/>
      <c r="FYR12" s="28"/>
      <c r="FYT12" s="28"/>
      <c r="FYU12" s="31"/>
      <c r="FYV12" s="28"/>
      <c r="FYX12" s="28"/>
      <c r="FYY12" s="28"/>
      <c r="FYZ12" s="29"/>
      <c r="FZA12" s="30"/>
      <c r="FZB12" s="31"/>
      <c r="FZC12" s="29"/>
      <c r="FZD12" s="45"/>
      <c r="FZF12" s="27"/>
      <c r="FZG12" s="1"/>
      <c r="FZH12" s="28"/>
      <c r="FZJ12" s="28"/>
      <c r="FZK12" s="31"/>
      <c r="FZL12" s="28"/>
      <c r="FZN12" s="28"/>
      <c r="FZO12" s="28"/>
      <c r="FZP12" s="29"/>
      <c r="FZQ12" s="30"/>
      <c r="FZR12" s="31"/>
      <c r="FZS12" s="29"/>
      <c r="FZT12" s="45"/>
      <c r="FZV12" s="27"/>
      <c r="FZW12" s="1"/>
      <c r="FZX12" s="28"/>
      <c r="FZZ12" s="28"/>
      <c r="GAA12" s="31"/>
      <c r="GAB12" s="28"/>
      <c r="GAD12" s="28"/>
      <c r="GAE12" s="28"/>
      <c r="GAF12" s="29"/>
      <c r="GAG12" s="30"/>
      <c r="GAH12" s="31"/>
      <c r="GAI12" s="29"/>
      <c r="GAJ12" s="45"/>
      <c r="GAL12" s="27"/>
      <c r="GAM12" s="1"/>
      <c r="GAN12" s="28"/>
      <c r="GAP12" s="28"/>
      <c r="GAQ12" s="31"/>
      <c r="GAR12" s="28"/>
      <c r="GAT12" s="28"/>
      <c r="GAU12" s="28"/>
      <c r="GAV12" s="29"/>
      <c r="GAW12" s="30"/>
      <c r="GAX12" s="31"/>
      <c r="GAY12" s="29"/>
      <c r="GAZ12" s="45"/>
      <c r="GBB12" s="27"/>
      <c r="GBC12" s="1"/>
      <c r="GBD12" s="28"/>
      <c r="GBF12" s="28"/>
      <c r="GBG12" s="31"/>
      <c r="GBH12" s="28"/>
      <c r="GBJ12" s="28"/>
      <c r="GBK12" s="28"/>
      <c r="GBL12" s="29"/>
      <c r="GBM12" s="30"/>
      <c r="GBN12" s="31"/>
      <c r="GBO12" s="29"/>
      <c r="GBP12" s="45"/>
      <c r="GBR12" s="27"/>
      <c r="GBS12" s="1"/>
      <c r="GBT12" s="28"/>
      <c r="GBV12" s="28"/>
      <c r="GBW12" s="31"/>
      <c r="GBX12" s="28"/>
      <c r="GBZ12" s="28"/>
      <c r="GCA12" s="28"/>
      <c r="GCB12" s="29"/>
      <c r="GCC12" s="30"/>
      <c r="GCD12" s="31"/>
      <c r="GCE12" s="29"/>
      <c r="GCF12" s="45"/>
      <c r="GCH12" s="27"/>
      <c r="GCI12" s="1"/>
      <c r="GCJ12" s="28"/>
      <c r="GCL12" s="28"/>
      <c r="GCM12" s="31"/>
      <c r="GCN12" s="28"/>
      <c r="GCP12" s="28"/>
      <c r="GCQ12" s="28"/>
      <c r="GCR12" s="29"/>
      <c r="GCS12" s="30"/>
      <c r="GCT12" s="31"/>
      <c r="GCU12" s="29"/>
      <c r="GCV12" s="45"/>
      <c r="GCX12" s="27"/>
      <c r="GCY12" s="1"/>
      <c r="GCZ12" s="28"/>
      <c r="GDB12" s="28"/>
      <c r="GDC12" s="31"/>
      <c r="GDD12" s="28"/>
      <c r="GDF12" s="28"/>
      <c r="GDG12" s="28"/>
      <c r="GDH12" s="29"/>
      <c r="GDI12" s="30"/>
      <c r="GDJ12" s="31"/>
      <c r="GDK12" s="29"/>
      <c r="GDL12" s="45"/>
      <c r="GDN12" s="27"/>
      <c r="GDO12" s="1"/>
      <c r="GDP12" s="28"/>
      <c r="GDR12" s="28"/>
      <c r="GDS12" s="31"/>
      <c r="GDT12" s="28"/>
      <c r="GDV12" s="28"/>
      <c r="GDW12" s="28"/>
      <c r="GDX12" s="29"/>
      <c r="GDY12" s="30"/>
      <c r="GDZ12" s="31"/>
      <c r="GEA12" s="29"/>
      <c r="GEB12" s="45"/>
      <c r="GED12" s="27"/>
      <c r="GEE12" s="1"/>
      <c r="GEF12" s="28"/>
      <c r="GEH12" s="28"/>
      <c r="GEI12" s="31"/>
      <c r="GEJ12" s="28"/>
      <c r="GEL12" s="28"/>
      <c r="GEM12" s="28"/>
      <c r="GEN12" s="29"/>
      <c r="GEO12" s="30"/>
      <c r="GEP12" s="31"/>
      <c r="GEQ12" s="29"/>
      <c r="GER12" s="45"/>
      <c r="GET12" s="27"/>
      <c r="GEU12" s="1"/>
      <c r="GEV12" s="28"/>
      <c r="GEX12" s="28"/>
      <c r="GEY12" s="31"/>
      <c r="GEZ12" s="28"/>
      <c r="GFB12" s="28"/>
      <c r="GFC12" s="28"/>
      <c r="GFD12" s="29"/>
      <c r="GFE12" s="30"/>
      <c r="GFF12" s="31"/>
      <c r="GFG12" s="29"/>
      <c r="GFH12" s="45"/>
      <c r="GFJ12" s="27"/>
      <c r="GFK12" s="1"/>
      <c r="GFL12" s="28"/>
      <c r="GFN12" s="28"/>
      <c r="GFO12" s="31"/>
      <c r="GFP12" s="28"/>
      <c r="GFR12" s="28"/>
      <c r="GFS12" s="28"/>
      <c r="GFT12" s="29"/>
      <c r="GFU12" s="30"/>
      <c r="GFV12" s="31"/>
      <c r="GFW12" s="29"/>
      <c r="GFX12" s="45"/>
      <c r="GFZ12" s="27"/>
      <c r="GGA12" s="1"/>
      <c r="GGB12" s="28"/>
      <c r="GGD12" s="28"/>
      <c r="GGE12" s="31"/>
      <c r="GGF12" s="28"/>
      <c r="GGH12" s="28"/>
      <c r="GGI12" s="28"/>
      <c r="GGJ12" s="29"/>
      <c r="GGK12" s="30"/>
      <c r="GGL12" s="31"/>
      <c r="GGM12" s="29"/>
      <c r="GGN12" s="45"/>
      <c r="GGP12" s="27"/>
      <c r="GGQ12" s="1"/>
      <c r="GGR12" s="28"/>
      <c r="GGT12" s="28"/>
      <c r="GGU12" s="31"/>
      <c r="GGV12" s="28"/>
      <c r="GGX12" s="28"/>
      <c r="GGY12" s="28"/>
      <c r="GGZ12" s="29"/>
      <c r="GHA12" s="30"/>
      <c r="GHB12" s="31"/>
      <c r="GHC12" s="29"/>
      <c r="GHD12" s="45"/>
      <c r="GHF12" s="27"/>
      <c r="GHG12" s="1"/>
      <c r="GHH12" s="28"/>
      <c r="GHJ12" s="28"/>
      <c r="GHK12" s="31"/>
      <c r="GHL12" s="28"/>
      <c r="GHN12" s="28"/>
      <c r="GHO12" s="28"/>
      <c r="GHP12" s="29"/>
      <c r="GHQ12" s="30"/>
      <c r="GHR12" s="31"/>
      <c r="GHS12" s="29"/>
      <c r="GHT12" s="45"/>
      <c r="GHV12" s="27"/>
      <c r="GHW12" s="1"/>
      <c r="GHX12" s="28"/>
      <c r="GHZ12" s="28"/>
      <c r="GIA12" s="31"/>
      <c r="GIB12" s="28"/>
      <c r="GID12" s="28"/>
      <c r="GIE12" s="28"/>
      <c r="GIF12" s="29"/>
      <c r="GIG12" s="30"/>
      <c r="GIH12" s="31"/>
      <c r="GII12" s="29"/>
      <c r="GIJ12" s="45"/>
      <c r="GIL12" s="27"/>
      <c r="GIM12" s="1"/>
      <c r="GIN12" s="28"/>
      <c r="GIP12" s="28"/>
      <c r="GIQ12" s="31"/>
      <c r="GIR12" s="28"/>
      <c r="GIT12" s="28"/>
      <c r="GIU12" s="28"/>
      <c r="GIV12" s="29"/>
      <c r="GIW12" s="30"/>
      <c r="GIX12" s="31"/>
      <c r="GIY12" s="29"/>
      <c r="GIZ12" s="45"/>
      <c r="GJB12" s="27"/>
      <c r="GJC12" s="1"/>
      <c r="GJD12" s="28"/>
      <c r="GJF12" s="28"/>
      <c r="GJG12" s="31"/>
      <c r="GJH12" s="28"/>
      <c r="GJJ12" s="28"/>
      <c r="GJK12" s="28"/>
      <c r="GJL12" s="29"/>
      <c r="GJM12" s="30"/>
      <c r="GJN12" s="31"/>
      <c r="GJO12" s="29"/>
      <c r="GJP12" s="45"/>
      <c r="GJR12" s="27"/>
      <c r="GJS12" s="1"/>
      <c r="GJT12" s="28"/>
      <c r="GJV12" s="28"/>
      <c r="GJW12" s="31"/>
      <c r="GJX12" s="28"/>
      <c r="GJZ12" s="28"/>
      <c r="GKA12" s="28"/>
      <c r="GKB12" s="29"/>
      <c r="GKC12" s="30"/>
      <c r="GKD12" s="31"/>
      <c r="GKE12" s="29"/>
      <c r="GKF12" s="45"/>
      <c r="GKH12" s="27"/>
      <c r="GKI12" s="1"/>
      <c r="GKJ12" s="28"/>
      <c r="GKL12" s="28"/>
      <c r="GKM12" s="31"/>
      <c r="GKN12" s="28"/>
      <c r="GKP12" s="28"/>
      <c r="GKQ12" s="28"/>
      <c r="GKR12" s="29"/>
      <c r="GKS12" s="30"/>
      <c r="GKT12" s="31"/>
      <c r="GKU12" s="29"/>
      <c r="GKV12" s="45"/>
      <c r="GKX12" s="27"/>
      <c r="GKY12" s="1"/>
      <c r="GKZ12" s="28"/>
      <c r="GLB12" s="28"/>
      <c r="GLC12" s="31"/>
      <c r="GLD12" s="28"/>
      <c r="GLF12" s="28"/>
      <c r="GLG12" s="28"/>
      <c r="GLH12" s="29"/>
      <c r="GLI12" s="30"/>
      <c r="GLJ12" s="31"/>
      <c r="GLK12" s="29"/>
      <c r="GLL12" s="45"/>
      <c r="GLN12" s="27"/>
      <c r="GLO12" s="1"/>
      <c r="GLP12" s="28"/>
      <c r="GLR12" s="28"/>
      <c r="GLS12" s="31"/>
      <c r="GLT12" s="28"/>
      <c r="GLV12" s="28"/>
      <c r="GLW12" s="28"/>
      <c r="GLX12" s="29"/>
      <c r="GLY12" s="30"/>
      <c r="GLZ12" s="31"/>
      <c r="GMA12" s="29"/>
      <c r="GMB12" s="45"/>
      <c r="GMD12" s="27"/>
      <c r="GME12" s="1"/>
      <c r="GMF12" s="28"/>
      <c r="GMH12" s="28"/>
      <c r="GMI12" s="31"/>
      <c r="GMJ12" s="28"/>
      <c r="GML12" s="28"/>
      <c r="GMM12" s="28"/>
      <c r="GMN12" s="29"/>
      <c r="GMO12" s="30"/>
      <c r="GMP12" s="31"/>
      <c r="GMQ12" s="29"/>
      <c r="GMR12" s="45"/>
      <c r="GMT12" s="27"/>
      <c r="GMU12" s="1"/>
      <c r="GMV12" s="28"/>
      <c r="GMX12" s="28"/>
      <c r="GMY12" s="31"/>
      <c r="GMZ12" s="28"/>
      <c r="GNB12" s="28"/>
      <c r="GNC12" s="28"/>
      <c r="GND12" s="29"/>
      <c r="GNE12" s="30"/>
      <c r="GNF12" s="31"/>
      <c r="GNG12" s="29"/>
      <c r="GNH12" s="45"/>
      <c r="GNJ12" s="27"/>
      <c r="GNK12" s="1"/>
      <c r="GNL12" s="28"/>
      <c r="GNN12" s="28"/>
      <c r="GNO12" s="31"/>
      <c r="GNP12" s="28"/>
      <c r="GNR12" s="28"/>
      <c r="GNS12" s="28"/>
      <c r="GNT12" s="29"/>
      <c r="GNU12" s="30"/>
      <c r="GNV12" s="31"/>
      <c r="GNW12" s="29"/>
      <c r="GNX12" s="45"/>
      <c r="GNZ12" s="27"/>
      <c r="GOA12" s="1"/>
      <c r="GOB12" s="28"/>
      <c r="GOD12" s="28"/>
      <c r="GOE12" s="31"/>
      <c r="GOF12" s="28"/>
      <c r="GOH12" s="28"/>
      <c r="GOI12" s="28"/>
      <c r="GOJ12" s="29"/>
      <c r="GOK12" s="30"/>
      <c r="GOL12" s="31"/>
      <c r="GOM12" s="29"/>
      <c r="GON12" s="45"/>
      <c r="GOP12" s="27"/>
      <c r="GOQ12" s="1"/>
      <c r="GOR12" s="28"/>
      <c r="GOT12" s="28"/>
      <c r="GOU12" s="31"/>
      <c r="GOV12" s="28"/>
      <c r="GOX12" s="28"/>
      <c r="GOY12" s="28"/>
      <c r="GOZ12" s="29"/>
      <c r="GPA12" s="30"/>
      <c r="GPB12" s="31"/>
      <c r="GPC12" s="29"/>
      <c r="GPD12" s="45"/>
      <c r="GPF12" s="27"/>
      <c r="GPG12" s="1"/>
      <c r="GPH12" s="28"/>
      <c r="GPJ12" s="28"/>
      <c r="GPK12" s="31"/>
      <c r="GPL12" s="28"/>
      <c r="GPN12" s="28"/>
      <c r="GPO12" s="28"/>
      <c r="GPP12" s="29"/>
      <c r="GPQ12" s="30"/>
      <c r="GPR12" s="31"/>
      <c r="GPS12" s="29"/>
      <c r="GPT12" s="45"/>
      <c r="GPV12" s="27"/>
      <c r="GPW12" s="1"/>
      <c r="GPX12" s="28"/>
      <c r="GPZ12" s="28"/>
      <c r="GQA12" s="31"/>
      <c r="GQB12" s="28"/>
      <c r="GQD12" s="28"/>
      <c r="GQE12" s="28"/>
      <c r="GQF12" s="29"/>
      <c r="GQG12" s="30"/>
      <c r="GQH12" s="31"/>
      <c r="GQI12" s="29"/>
      <c r="GQJ12" s="45"/>
      <c r="GQL12" s="27"/>
      <c r="GQM12" s="1"/>
      <c r="GQN12" s="28"/>
      <c r="GQP12" s="28"/>
      <c r="GQQ12" s="31"/>
      <c r="GQR12" s="28"/>
      <c r="GQT12" s="28"/>
      <c r="GQU12" s="28"/>
      <c r="GQV12" s="29"/>
      <c r="GQW12" s="30"/>
      <c r="GQX12" s="31"/>
      <c r="GQY12" s="29"/>
      <c r="GQZ12" s="45"/>
      <c r="GRB12" s="27"/>
      <c r="GRC12" s="1"/>
      <c r="GRD12" s="28"/>
      <c r="GRF12" s="28"/>
      <c r="GRG12" s="31"/>
      <c r="GRH12" s="28"/>
      <c r="GRJ12" s="28"/>
      <c r="GRK12" s="28"/>
      <c r="GRL12" s="29"/>
      <c r="GRM12" s="30"/>
      <c r="GRN12" s="31"/>
      <c r="GRO12" s="29"/>
      <c r="GRP12" s="45"/>
      <c r="GRR12" s="27"/>
      <c r="GRS12" s="1"/>
      <c r="GRT12" s="28"/>
      <c r="GRV12" s="28"/>
      <c r="GRW12" s="31"/>
      <c r="GRX12" s="28"/>
      <c r="GRZ12" s="28"/>
      <c r="GSA12" s="28"/>
      <c r="GSB12" s="29"/>
      <c r="GSC12" s="30"/>
      <c r="GSD12" s="31"/>
      <c r="GSE12" s="29"/>
      <c r="GSF12" s="45"/>
      <c r="GSH12" s="27"/>
      <c r="GSI12" s="1"/>
      <c r="GSJ12" s="28"/>
      <c r="GSL12" s="28"/>
      <c r="GSM12" s="31"/>
      <c r="GSN12" s="28"/>
      <c r="GSP12" s="28"/>
      <c r="GSQ12" s="28"/>
      <c r="GSR12" s="29"/>
      <c r="GSS12" s="30"/>
      <c r="GST12" s="31"/>
      <c r="GSU12" s="29"/>
      <c r="GSV12" s="45"/>
      <c r="GSX12" s="27"/>
      <c r="GSY12" s="1"/>
      <c r="GSZ12" s="28"/>
      <c r="GTB12" s="28"/>
      <c r="GTC12" s="31"/>
      <c r="GTD12" s="28"/>
      <c r="GTF12" s="28"/>
      <c r="GTG12" s="28"/>
      <c r="GTH12" s="29"/>
      <c r="GTI12" s="30"/>
      <c r="GTJ12" s="31"/>
      <c r="GTK12" s="29"/>
      <c r="GTL12" s="45"/>
      <c r="GTN12" s="27"/>
      <c r="GTO12" s="1"/>
      <c r="GTP12" s="28"/>
      <c r="GTR12" s="28"/>
      <c r="GTS12" s="31"/>
      <c r="GTT12" s="28"/>
      <c r="GTV12" s="28"/>
      <c r="GTW12" s="28"/>
      <c r="GTX12" s="29"/>
      <c r="GTY12" s="30"/>
      <c r="GTZ12" s="31"/>
      <c r="GUA12" s="29"/>
      <c r="GUB12" s="45"/>
      <c r="GUD12" s="27"/>
      <c r="GUE12" s="1"/>
      <c r="GUF12" s="28"/>
      <c r="GUH12" s="28"/>
      <c r="GUI12" s="31"/>
      <c r="GUJ12" s="28"/>
      <c r="GUL12" s="28"/>
      <c r="GUM12" s="28"/>
      <c r="GUN12" s="29"/>
      <c r="GUO12" s="30"/>
      <c r="GUP12" s="31"/>
      <c r="GUQ12" s="29"/>
      <c r="GUR12" s="45"/>
      <c r="GUT12" s="27"/>
      <c r="GUU12" s="1"/>
      <c r="GUV12" s="28"/>
      <c r="GUX12" s="28"/>
      <c r="GUY12" s="31"/>
      <c r="GUZ12" s="28"/>
      <c r="GVB12" s="28"/>
      <c r="GVC12" s="28"/>
      <c r="GVD12" s="29"/>
      <c r="GVE12" s="30"/>
      <c r="GVF12" s="31"/>
      <c r="GVG12" s="29"/>
      <c r="GVH12" s="45"/>
      <c r="GVJ12" s="27"/>
      <c r="GVK12" s="1"/>
      <c r="GVL12" s="28"/>
      <c r="GVN12" s="28"/>
      <c r="GVO12" s="31"/>
      <c r="GVP12" s="28"/>
      <c r="GVR12" s="28"/>
      <c r="GVS12" s="28"/>
      <c r="GVT12" s="29"/>
      <c r="GVU12" s="30"/>
      <c r="GVV12" s="31"/>
      <c r="GVW12" s="29"/>
      <c r="GVX12" s="45"/>
      <c r="GVZ12" s="27"/>
      <c r="GWA12" s="1"/>
      <c r="GWB12" s="28"/>
      <c r="GWD12" s="28"/>
      <c r="GWE12" s="31"/>
      <c r="GWF12" s="28"/>
      <c r="GWH12" s="28"/>
      <c r="GWI12" s="28"/>
      <c r="GWJ12" s="29"/>
      <c r="GWK12" s="30"/>
      <c r="GWL12" s="31"/>
      <c r="GWM12" s="29"/>
      <c r="GWN12" s="45"/>
      <c r="GWP12" s="27"/>
      <c r="GWQ12" s="1"/>
      <c r="GWR12" s="28"/>
      <c r="GWT12" s="28"/>
      <c r="GWU12" s="31"/>
      <c r="GWV12" s="28"/>
      <c r="GWX12" s="28"/>
      <c r="GWY12" s="28"/>
      <c r="GWZ12" s="29"/>
      <c r="GXA12" s="30"/>
      <c r="GXB12" s="31"/>
      <c r="GXC12" s="29"/>
      <c r="GXD12" s="45"/>
      <c r="GXF12" s="27"/>
      <c r="GXG12" s="1"/>
      <c r="GXH12" s="28"/>
      <c r="GXJ12" s="28"/>
      <c r="GXK12" s="31"/>
      <c r="GXL12" s="28"/>
      <c r="GXN12" s="28"/>
      <c r="GXO12" s="28"/>
      <c r="GXP12" s="29"/>
      <c r="GXQ12" s="30"/>
      <c r="GXR12" s="31"/>
      <c r="GXS12" s="29"/>
      <c r="GXT12" s="45"/>
      <c r="GXV12" s="27"/>
      <c r="GXW12" s="1"/>
      <c r="GXX12" s="28"/>
      <c r="GXZ12" s="28"/>
      <c r="GYA12" s="31"/>
      <c r="GYB12" s="28"/>
      <c r="GYD12" s="28"/>
      <c r="GYE12" s="28"/>
      <c r="GYF12" s="29"/>
      <c r="GYG12" s="30"/>
      <c r="GYH12" s="31"/>
      <c r="GYI12" s="29"/>
      <c r="GYJ12" s="45"/>
      <c r="GYL12" s="27"/>
      <c r="GYM12" s="1"/>
      <c r="GYN12" s="28"/>
      <c r="GYP12" s="28"/>
      <c r="GYQ12" s="31"/>
      <c r="GYR12" s="28"/>
      <c r="GYT12" s="28"/>
      <c r="GYU12" s="28"/>
      <c r="GYV12" s="29"/>
      <c r="GYW12" s="30"/>
      <c r="GYX12" s="31"/>
      <c r="GYY12" s="29"/>
      <c r="GYZ12" s="45"/>
      <c r="GZB12" s="27"/>
      <c r="GZC12" s="1"/>
      <c r="GZD12" s="28"/>
      <c r="GZF12" s="28"/>
      <c r="GZG12" s="31"/>
      <c r="GZH12" s="28"/>
      <c r="GZJ12" s="28"/>
      <c r="GZK12" s="28"/>
      <c r="GZL12" s="29"/>
      <c r="GZM12" s="30"/>
      <c r="GZN12" s="31"/>
      <c r="GZO12" s="29"/>
      <c r="GZP12" s="45"/>
      <c r="GZR12" s="27"/>
      <c r="GZS12" s="1"/>
      <c r="GZT12" s="28"/>
      <c r="GZV12" s="28"/>
      <c r="GZW12" s="31"/>
      <c r="GZX12" s="28"/>
      <c r="GZZ12" s="28"/>
      <c r="HAA12" s="28"/>
      <c r="HAB12" s="29"/>
      <c r="HAC12" s="30"/>
      <c r="HAD12" s="31"/>
      <c r="HAE12" s="29"/>
      <c r="HAF12" s="45"/>
      <c r="HAH12" s="27"/>
      <c r="HAI12" s="1"/>
      <c r="HAJ12" s="28"/>
      <c r="HAL12" s="28"/>
      <c r="HAM12" s="31"/>
      <c r="HAN12" s="28"/>
      <c r="HAP12" s="28"/>
      <c r="HAQ12" s="28"/>
      <c r="HAR12" s="29"/>
      <c r="HAS12" s="30"/>
      <c r="HAT12" s="31"/>
      <c r="HAU12" s="29"/>
      <c r="HAV12" s="45"/>
      <c r="HAX12" s="27"/>
      <c r="HAY12" s="1"/>
      <c r="HAZ12" s="28"/>
      <c r="HBB12" s="28"/>
      <c r="HBC12" s="31"/>
      <c r="HBD12" s="28"/>
      <c r="HBF12" s="28"/>
      <c r="HBG12" s="28"/>
      <c r="HBH12" s="29"/>
      <c r="HBI12" s="30"/>
      <c r="HBJ12" s="31"/>
      <c r="HBK12" s="29"/>
      <c r="HBL12" s="45"/>
      <c r="HBN12" s="27"/>
      <c r="HBO12" s="1"/>
      <c r="HBP12" s="28"/>
      <c r="HBR12" s="28"/>
      <c r="HBS12" s="31"/>
      <c r="HBT12" s="28"/>
      <c r="HBV12" s="28"/>
      <c r="HBW12" s="28"/>
      <c r="HBX12" s="29"/>
      <c r="HBY12" s="30"/>
      <c r="HBZ12" s="31"/>
      <c r="HCA12" s="29"/>
      <c r="HCB12" s="45"/>
      <c r="HCD12" s="27"/>
      <c r="HCE12" s="1"/>
      <c r="HCF12" s="28"/>
      <c r="HCH12" s="28"/>
      <c r="HCI12" s="31"/>
      <c r="HCJ12" s="28"/>
      <c r="HCL12" s="28"/>
      <c r="HCM12" s="28"/>
      <c r="HCN12" s="29"/>
      <c r="HCO12" s="30"/>
      <c r="HCP12" s="31"/>
      <c r="HCQ12" s="29"/>
      <c r="HCR12" s="45"/>
      <c r="HCT12" s="27"/>
      <c r="HCU12" s="1"/>
      <c r="HCV12" s="28"/>
      <c r="HCX12" s="28"/>
      <c r="HCY12" s="31"/>
      <c r="HCZ12" s="28"/>
      <c r="HDB12" s="28"/>
      <c r="HDC12" s="28"/>
      <c r="HDD12" s="29"/>
      <c r="HDE12" s="30"/>
      <c r="HDF12" s="31"/>
      <c r="HDG12" s="29"/>
      <c r="HDH12" s="45"/>
      <c r="HDJ12" s="27"/>
      <c r="HDK12" s="1"/>
      <c r="HDL12" s="28"/>
      <c r="HDN12" s="28"/>
      <c r="HDO12" s="31"/>
      <c r="HDP12" s="28"/>
      <c r="HDR12" s="28"/>
      <c r="HDS12" s="28"/>
      <c r="HDT12" s="29"/>
      <c r="HDU12" s="30"/>
      <c r="HDV12" s="31"/>
      <c r="HDW12" s="29"/>
      <c r="HDX12" s="45"/>
      <c r="HDZ12" s="27"/>
      <c r="HEA12" s="1"/>
      <c r="HEB12" s="28"/>
      <c r="HED12" s="28"/>
      <c r="HEE12" s="31"/>
      <c r="HEF12" s="28"/>
      <c r="HEH12" s="28"/>
      <c r="HEI12" s="28"/>
      <c r="HEJ12" s="29"/>
      <c r="HEK12" s="30"/>
      <c r="HEL12" s="31"/>
      <c r="HEM12" s="29"/>
      <c r="HEN12" s="45"/>
      <c r="HEP12" s="27"/>
      <c r="HEQ12" s="1"/>
      <c r="HER12" s="28"/>
      <c r="HET12" s="28"/>
      <c r="HEU12" s="31"/>
      <c r="HEV12" s="28"/>
      <c r="HEX12" s="28"/>
      <c r="HEY12" s="28"/>
      <c r="HEZ12" s="29"/>
      <c r="HFA12" s="30"/>
      <c r="HFB12" s="31"/>
      <c r="HFC12" s="29"/>
      <c r="HFD12" s="45"/>
      <c r="HFF12" s="27"/>
      <c r="HFG12" s="1"/>
      <c r="HFH12" s="28"/>
      <c r="HFJ12" s="28"/>
      <c r="HFK12" s="31"/>
      <c r="HFL12" s="28"/>
      <c r="HFN12" s="28"/>
      <c r="HFO12" s="28"/>
      <c r="HFP12" s="29"/>
      <c r="HFQ12" s="30"/>
      <c r="HFR12" s="31"/>
      <c r="HFS12" s="29"/>
      <c r="HFT12" s="45"/>
      <c r="HFV12" s="27"/>
      <c r="HFW12" s="1"/>
      <c r="HFX12" s="28"/>
      <c r="HFZ12" s="28"/>
      <c r="HGA12" s="31"/>
      <c r="HGB12" s="28"/>
      <c r="HGD12" s="28"/>
      <c r="HGE12" s="28"/>
      <c r="HGF12" s="29"/>
      <c r="HGG12" s="30"/>
      <c r="HGH12" s="31"/>
      <c r="HGI12" s="29"/>
      <c r="HGJ12" s="45"/>
      <c r="HGL12" s="27"/>
      <c r="HGM12" s="1"/>
      <c r="HGN12" s="28"/>
      <c r="HGP12" s="28"/>
      <c r="HGQ12" s="31"/>
      <c r="HGR12" s="28"/>
      <c r="HGT12" s="28"/>
      <c r="HGU12" s="28"/>
      <c r="HGV12" s="29"/>
      <c r="HGW12" s="30"/>
      <c r="HGX12" s="31"/>
      <c r="HGY12" s="29"/>
      <c r="HGZ12" s="45"/>
      <c r="HHB12" s="27"/>
      <c r="HHC12" s="1"/>
      <c r="HHD12" s="28"/>
      <c r="HHF12" s="28"/>
      <c r="HHG12" s="31"/>
      <c r="HHH12" s="28"/>
      <c r="HHJ12" s="28"/>
      <c r="HHK12" s="28"/>
      <c r="HHL12" s="29"/>
      <c r="HHM12" s="30"/>
      <c r="HHN12" s="31"/>
      <c r="HHO12" s="29"/>
      <c r="HHP12" s="45"/>
      <c r="HHR12" s="27"/>
      <c r="HHS12" s="1"/>
      <c r="HHT12" s="28"/>
      <c r="HHV12" s="28"/>
      <c r="HHW12" s="31"/>
      <c r="HHX12" s="28"/>
      <c r="HHZ12" s="28"/>
      <c r="HIA12" s="28"/>
      <c r="HIB12" s="29"/>
      <c r="HIC12" s="30"/>
      <c r="HID12" s="31"/>
      <c r="HIE12" s="29"/>
      <c r="HIF12" s="45"/>
      <c r="HIH12" s="27"/>
      <c r="HII12" s="1"/>
      <c r="HIJ12" s="28"/>
      <c r="HIL12" s="28"/>
      <c r="HIM12" s="31"/>
      <c r="HIN12" s="28"/>
      <c r="HIP12" s="28"/>
      <c r="HIQ12" s="28"/>
      <c r="HIR12" s="29"/>
      <c r="HIS12" s="30"/>
      <c r="HIT12" s="31"/>
      <c r="HIU12" s="29"/>
      <c r="HIV12" s="45"/>
      <c r="HIX12" s="27"/>
      <c r="HIY12" s="1"/>
      <c r="HIZ12" s="28"/>
      <c r="HJB12" s="28"/>
      <c r="HJC12" s="31"/>
      <c r="HJD12" s="28"/>
      <c r="HJF12" s="28"/>
      <c r="HJG12" s="28"/>
      <c r="HJH12" s="29"/>
      <c r="HJI12" s="30"/>
      <c r="HJJ12" s="31"/>
      <c r="HJK12" s="29"/>
      <c r="HJL12" s="45"/>
      <c r="HJN12" s="27"/>
      <c r="HJO12" s="1"/>
      <c r="HJP12" s="28"/>
      <c r="HJR12" s="28"/>
      <c r="HJS12" s="31"/>
      <c r="HJT12" s="28"/>
      <c r="HJV12" s="28"/>
      <c r="HJW12" s="28"/>
      <c r="HJX12" s="29"/>
      <c r="HJY12" s="30"/>
      <c r="HJZ12" s="31"/>
      <c r="HKA12" s="29"/>
      <c r="HKB12" s="45"/>
      <c r="HKD12" s="27"/>
      <c r="HKE12" s="1"/>
      <c r="HKF12" s="28"/>
      <c r="HKH12" s="28"/>
      <c r="HKI12" s="31"/>
      <c r="HKJ12" s="28"/>
      <c r="HKL12" s="28"/>
      <c r="HKM12" s="28"/>
      <c r="HKN12" s="29"/>
      <c r="HKO12" s="30"/>
      <c r="HKP12" s="31"/>
      <c r="HKQ12" s="29"/>
      <c r="HKR12" s="45"/>
      <c r="HKT12" s="27"/>
      <c r="HKU12" s="1"/>
      <c r="HKV12" s="28"/>
      <c r="HKX12" s="28"/>
      <c r="HKY12" s="31"/>
      <c r="HKZ12" s="28"/>
      <c r="HLB12" s="28"/>
      <c r="HLC12" s="28"/>
      <c r="HLD12" s="29"/>
      <c r="HLE12" s="30"/>
      <c r="HLF12" s="31"/>
      <c r="HLG12" s="29"/>
      <c r="HLH12" s="45"/>
      <c r="HLJ12" s="27"/>
      <c r="HLK12" s="1"/>
      <c r="HLL12" s="28"/>
      <c r="HLN12" s="28"/>
      <c r="HLO12" s="31"/>
      <c r="HLP12" s="28"/>
      <c r="HLR12" s="28"/>
      <c r="HLS12" s="28"/>
      <c r="HLT12" s="29"/>
      <c r="HLU12" s="30"/>
      <c r="HLV12" s="31"/>
      <c r="HLW12" s="29"/>
      <c r="HLX12" s="45"/>
      <c r="HLZ12" s="27"/>
      <c r="HMA12" s="1"/>
      <c r="HMB12" s="28"/>
      <c r="HMD12" s="28"/>
      <c r="HME12" s="31"/>
      <c r="HMF12" s="28"/>
      <c r="HMH12" s="28"/>
      <c r="HMI12" s="28"/>
      <c r="HMJ12" s="29"/>
      <c r="HMK12" s="30"/>
      <c r="HML12" s="31"/>
      <c r="HMM12" s="29"/>
      <c r="HMN12" s="45"/>
      <c r="HMP12" s="27"/>
      <c r="HMQ12" s="1"/>
      <c r="HMR12" s="28"/>
      <c r="HMT12" s="28"/>
      <c r="HMU12" s="31"/>
      <c r="HMV12" s="28"/>
      <c r="HMX12" s="28"/>
      <c r="HMY12" s="28"/>
      <c r="HMZ12" s="29"/>
      <c r="HNA12" s="30"/>
      <c r="HNB12" s="31"/>
      <c r="HNC12" s="29"/>
      <c r="HND12" s="45"/>
      <c r="HNF12" s="27"/>
      <c r="HNG12" s="1"/>
      <c r="HNH12" s="28"/>
      <c r="HNJ12" s="28"/>
      <c r="HNK12" s="31"/>
      <c r="HNL12" s="28"/>
      <c r="HNN12" s="28"/>
      <c r="HNO12" s="28"/>
      <c r="HNP12" s="29"/>
      <c r="HNQ12" s="30"/>
      <c r="HNR12" s="31"/>
      <c r="HNS12" s="29"/>
      <c r="HNT12" s="45"/>
      <c r="HNV12" s="27"/>
      <c r="HNW12" s="1"/>
      <c r="HNX12" s="28"/>
      <c r="HNZ12" s="28"/>
      <c r="HOA12" s="31"/>
      <c r="HOB12" s="28"/>
      <c r="HOD12" s="28"/>
      <c r="HOE12" s="28"/>
      <c r="HOF12" s="29"/>
      <c r="HOG12" s="30"/>
      <c r="HOH12" s="31"/>
      <c r="HOI12" s="29"/>
      <c r="HOJ12" s="45"/>
      <c r="HOL12" s="27"/>
      <c r="HOM12" s="1"/>
      <c r="HON12" s="28"/>
      <c r="HOP12" s="28"/>
      <c r="HOQ12" s="31"/>
      <c r="HOR12" s="28"/>
      <c r="HOT12" s="28"/>
      <c r="HOU12" s="28"/>
      <c r="HOV12" s="29"/>
      <c r="HOW12" s="30"/>
      <c r="HOX12" s="31"/>
      <c r="HOY12" s="29"/>
      <c r="HOZ12" s="45"/>
      <c r="HPB12" s="27"/>
      <c r="HPC12" s="1"/>
      <c r="HPD12" s="28"/>
      <c r="HPF12" s="28"/>
      <c r="HPG12" s="31"/>
      <c r="HPH12" s="28"/>
      <c r="HPJ12" s="28"/>
      <c r="HPK12" s="28"/>
      <c r="HPL12" s="29"/>
      <c r="HPM12" s="30"/>
      <c r="HPN12" s="31"/>
      <c r="HPO12" s="29"/>
      <c r="HPP12" s="45"/>
      <c r="HPR12" s="27"/>
      <c r="HPS12" s="1"/>
      <c r="HPT12" s="28"/>
      <c r="HPV12" s="28"/>
      <c r="HPW12" s="31"/>
      <c r="HPX12" s="28"/>
      <c r="HPZ12" s="28"/>
      <c r="HQA12" s="28"/>
      <c r="HQB12" s="29"/>
      <c r="HQC12" s="30"/>
      <c r="HQD12" s="31"/>
      <c r="HQE12" s="29"/>
      <c r="HQF12" s="45"/>
      <c r="HQH12" s="27"/>
      <c r="HQI12" s="1"/>
      <c r="HQJ12" s="28"/>
      <c r="HQL12" s="28"/>
      <c r="HQM12" s="31"/>
      <c r="HQN12" s="28"/>
      <c r="HQP12" s="28"/>
      <c r="HQQ12" s="28"/>
      <c r="HQR12" s="29"/>
      <c r="HQS12" s="30"/>
      <c r="HQT12" s="31"/>
      <c r="HQU12" s="29"/>
      <c r="HQV12" s="45"/>
      <c r="HQX12" s="27"/>
      <c r="HQY12" s="1"/>
      <c r="HQZ12" s="28"/>
      <c r="HRB12" s="28"/>
      <c r="HRC12" s="31"/>
      <c r="HRD12" s="28"/>
      <c r="HRF12" s="28"/>
      <c r="HRG12" s="28"/>
      <c r="HRH12" s="29"/>
      <c r="HRI12" s="30"/>
      <c r="HRJ12" s="31"/>
      <c r="HRK12" s="29"/>
      <c r="HRL12" s="45"/>
      <c r="HRN12" s="27"/>
      <c r="HRO12" s="1"/>
      <c r="HRP12" s="28"/>
      <c r="HRR12" s="28"/>
      <c r="HRS12" s="31"/>
      <c r="HRT12" s="28"/>
      <c r="HRV12" s="28"/>
      <c r="HRW12" s="28"/>
      <c r="HRX12" s="29"/>
      <c r="HRY12" s="30"/>
      <c r="HRZ12" s="31"/>
      <c r="HSA12" s="29"/>
      <c r="HSB12" s="45"/>
      <c r="HSD12" s="27"/>
      <c r="HSE12" s="1"/>
      <c r="HSF12" s="28"/>
      <c r="HSH12" s="28"/>
      <c r="HSI12" s="31"/>
      <c r="HSJ12" s="28"/>
      <c r="HSL12" s="28"/>
      <c r="HSM12" s="28"/>
      <c r="HSN12" s="29"/>
      <c r="HSO12" s="30"/>
      <c r="HSP12" s="31"/>
      <c r="HSQ12" s="29"/>
      <c r="HSR12" s="45"/>
      <c r="HST12" s="27"/>
      <c r="HSU12" s="1"/>
      <c r="HSV12" s="28"/>
      <c r="HSX12" s="28"/>
      <c r="HSY12" s="31"/>
      <c r="HSZ12" s="28"/>
      <c r="HTB12" s="28"/>
      <c r="HTC12" s="28"/>
      <c r="HTD12" s="29"/>
      <c r="HTE12" s="30"/>
      <c r="HTF12" s="31"/>
      <c r="HTG12" s="29"/>
      <c r="HTH12" s="45"/>
      <c r="HTJ12" s="27"/>
      <c r="HTK12" s="1"/>
      <c r="HTL12" s="28"/>
      <c r="HTN12" s="28"/>
      <c r="HTO12" s="31"/>
      <c r="HTP12" s="28"/>
      <c r="HTR12" s="28"/>
      <c r="HTS12" s="28"/>
      <c r="HTT12" s="29"/>
      <c r="HTU12" s="30"/>
      <c r="HTV12" s="31"/>
      <c r="HTW12" s="29"/>
      <c r="HTX12" s="45"/>
      <c r="HTZ12" s="27"/>
      <c r="HUA12" s="1"/>
      <c r="HUB12" s="28"/>
      <c r="HUD12" s="28"/>
      <c r="HUE12" s="31"/>
      <c r="HUF12" s="28"/>
      <c r="HUH12" s="28"/>
      <c r="HUI12" s="28"/>
      <c r="HUJ12" s="29"/>
      <c r="HUK12" s="30"/>
      <c r="HUL12" s="31"/>
      <c r="HUM12" s="29"/>
      <c r="HUN12" s="45"/>
      <c r="HUP12" s="27"/>
      <c r="HUQ12" s="1"/>
      <c r="HUR12" s="28"/>
      <c r="HUT12" s="28"/>
      <c r="HUU12" s="31"/>
      <c r="HUV12" s="28"/>
      <c r="HUX12" s="28"/>
      <c r="HUY12" s="28"/>
      <c r="HUZ12" s="29"/>
      <c r="HVA12" s="30"/>
      <c r="HVB12" s="31"/>
      <c r="HVC12" s="29"/>
      <c r="HVD12" s="45"/>
      <c r="HVF12" s="27"/>
      <c r="HVG12" s="1"/>
      <c r="HVH12" s="28"/>
      <c r="HVJ12" s="28"/>
      <c r="HVK12" s="31"/>
      <c r="HVL12" s="28"/>
      <c r="HVN12" s="28"/>
      <c r="HVO12" s="28"/>
      <c r="HVP12" s="29"/>
      <c r="HVQ12" s="30"/>
      <c r="HVR12" s="31"/>
      <c r="HVS12" s="29"/>
      <c r="HVT12" s="45"/>
      <c r="HVV12" s="27"/>
      <c r="HVW12" s="1"/>
      <c r="HVX12" s="28"/>
      <c r="HVZ12" s="28"/>
      <c r="HWA12" s="31"/>
      <c r="HWB12" s="28"/>
      <c r="HWD12" s="28"/>
      <c r="HWE12" s="28"/>
      <c r="HWF12" s="29"/>
      <c r="HWG12" s="30"/>
      <c r="HWH12" s="31"/>
      <c r="HWI12" s="29"/>
      <c r="HWJ12" s="45"/>
      <c r="HWL12" s="27"/>
      <c r="HWM12" s="1"/>
      <c r="HWN12" s="28"/>
      <c r="HWP12" s="28"/>
      <c r="HWQ12" s="31"/>
      <c r="HWR12" s="28"/>
      <c r="HWT12" s="28"/>
      <c r="HWU12" s="28"/>
      <c r="HWV12" s="29"/>
      <c r="HWW12" s="30"/>
      <c r="HWX12" s="31"/>
      <c r="HWY12" s="29"/>
      <c r="HWZ12" s="45"/>
      <c r="HXB12" s="27"/>
      <c r="HXC12" s="1"/>
      <c r="HXD12" s="28"/>
      <c r="HXF12" s="28"/>
      <c r="HXG12" s="31"/>
      <c r="HXH12" s="28"/>
      <c r="HXJ12" s="28"/>
      <c r="HXK12" s="28"/>
      <c r="HXL12" s="29"/>
      <c r="HXM12" s="30"/>
      <c r="HXN12" s="31"/>
      <c r="HXO12" s="29"/>
      <c r="HXP12" s="45"/>
      <c r="HXR12" s="27"/>
      <c r="HXS12" s="1"/>
      <c r="HXT12" s="28"/>
      <c r="HXV12" s="28"/>
      <c r="HXW12" s="31"/>
      <c r="HXX12" s="28"/>
      <c r="HXZ12" s="28"/>
      <c r="HYA12" s="28"/>
      <c r="HYB12" s="29"/>
      <c r="HYC12" s="30"/>
      <c r="HYD12" s="31"/>
      <c r="HYE12" s="29"/>
      <c r="HYF12" s="45"/>
      <c r="HYH12" s="27"/>
      <c r="HYI12" s="1"/>
      <c r="HYJ12" s="28"/>
      <c r="HYL12" s="28"/>
      <c r="HYM12" s="31"/>
      <c r="HYN12" s="28"/>
      <c r="HYP12" s="28"/>
      <c r="HYQ12" s="28"/>
      <c r="HYR12" s="29"/>
      <c r="HYS12" s="30"/>
      <c r="HYT12" s="31"/>
      <c r="HYU12" s="29"/>
      <c r="HYV12" s="45"/>
      <c r="HYX12" s="27"/>
      <c r="HYY12" s="1"/>
      <c r="HYZ12" s="28"/>
      <c r="HZB12" s="28"/>
      <c r="HZC12" s="31"/>
      <c r="HZD12" s="28"/>
      <c r="HZF12" s="28"/>
      <c r="HZG12" s="28"/>
      <c r="HZH12" s="29"/>
      <c r="HZI12" s="30"/>
      <c r="HZJ12" s="31"/>
      <c r="HZK12" s="29"/>
      <c r="HZL12" s="45"/>
      <c r="HZN12" s="27"/>
      <c r="HZO12" s="1"/>
      <c r="HZP12" s="28"/>
      <c r="HZR12" s="28"/>
      <c r="HZS12" s="31"/>
      <c r="HZT12" s="28"/>
      <c r="HZV12" s="28"/>
      <c r="HZW12" s="28"/>
      <c r="HZX12" s="29"/>
      <c r="HZY12" s="30"/>
      <c r="HZZ12" s="31"/>
      <c r="IAA12" s="29"/>
      <c r="IAB12" s="45"/>
      <c r="IAD12" s="27"/>
      <c r="IAE12" s="1"/>
      <c r="IAF12" s="28"/>
      <c r="IAH12" s="28"/>
      <c r="IAI12" s="31"/>
      <c r="IAJ12" s="28"/>
      <c r="IAL12" s="28"/>
      <c r="IAM12" s="28"/>
      <c r="IAN12" s="29"/>
      <c r="IAO12" s="30"/>
      <c r="IAP12" s="31"/>
      <c r="IAQ12" s="29"/>
      <c r="IAR12" s="45"/>
      <c r="IAT12" s="27"/>
      <c r="IAU12" s="1"/>
      <c r="IAV12" s="28"/>
      <c r="IAX12" s="28"/>
      <c r="IAY12" s="31"/>
      <c r="IAZ12" s="28"/>
      <c r="IBB12" s="28"/>
      <c r="IBC12" s="28"/>
      <c r="IBD12" s="29"/>
      <c r="IBE12" s="30"/>
      <c r="IBF12" s="31"/>
      <c r="IBG12" s="29"/>
      <c r="IBH12" s="45"/>
      <c r="IBJ12" s="27"/>
      <c r="IBK12" s="1"/>
      <c r="IBL12" s="28"/>
      <c r="IBN12" s="28"/>
      <c r="IBO12" s="31"/>
      <c r="IBP12" s="28"/>
      <c r="IBR12" s="28"/>
      <c r="IBS12" s="28"/>
      <c r="IBT12" s="29"/>
      <c r="IBU12" s="30"/>
      <c r="IBV12" s="31"/>
      <c r="IBW12" s="29"/>
      <c r="IBX12" s="45"/>
      <c r="IBZ12" s="27"/>
      <c r="ICA12" s="1"/>
      <c r="ICB12" s="28"/>
      <c r="ICD12" s="28"/>
      <c r="ICE12" s="31"/>
      <c r="ICF12" s="28"/>
      <c r="ICH12" s="28"/>
      <c r="ICI12" s="28"/>
      <c r="ICJ12" s="29"/>
      <c r="ICK12" s="30"/>
      <c r="ICL12" s="31"/>
      <c r="ICM12" s="29"/>
      <c r="ICN12" s="45"/>
      <c r="ICP12" s="27"/>
      <c r="ICQ12" s="1"/>
      <c r="ICR12" s="28"/>
      <c r="ICT12" s="28"/>
      <c r="ICU12" s="31"/>
      <c r="ICV12" s="28"/>
      <c r="ICX12" s="28"/>
      <c r="ICY12" s="28"/>
      <c r="ICZ12" s="29"/>
      <c r="IDA12" s="30"/>
      <c r="IDB12" s="31"/>
      <c r="IDC12" s="29"/>
      <c r="IDD12" s="45"/>
      <c r="IDF12" s="27"/>
      <c r="IDG12" s="1"/>
      <c r="IDH12" s="28"/>
      <c r="IDJ12" s="28"/>
      <c r="IDK12" s="31"/>
      <c r="IDL12" s="28"/>
      <c r="IDN12" s="28"/>
      <c r="IDO12" s="28"/>
      <c r="IDP12" s="29"/>
      <c r="IDQ12" s="30"/>
      <c r="IDR12" s="31"/>
      <c r="IDS12" s="29"/>
      <c r="IDT12" s="45"/>
      <c r="IDV12" s="27"/>
      <c r="IDW12" s="1"/>
      <c r="IDX12" s="28"/>
      <c r="IDZ12" s="28"/>
      <c r="IEA12" s="31"/>
      <c r="IEB12" s="28"/>
      <c r="IED12" s="28"/>
      <c r="IEE12" s="28"/>
      <c r="IEF12" s="29"/>
      <c r="IEG12" s="30"/>
      <c r="IEH12" s="31"/>
      <c r="IEI12" s="29"/>
      <c r="IEJ12" s="45"/>
      <c r="IEL12" s="27"/>
      <c r="IEM12" s="1"/>
      <c r="IEN12" s="28"/>
      <c r="IEP12" s="28"/>
      <c r="IEQ12" s="31"/>
      <c r="IER12" s="28"/>
      <c r="IET12" s="28"/>
      <c r="IEU12" s="28"/>
      <c r="IEV12" s="29"/>
      <c r="IEW12" s="30"/>
      <c r="IEX12" s="31"/>
      <c r="IEY12" s="29"/>
      <c r="IEZ12" s="45"/>
      <c r="IFB12" s="27"/>
      <c r="IFC12" s="1"/>
      <c r="IFD12" s="28"/>
      <c r="IFF12" s="28"/>
      <c r="IFG12" s="31"/>
      <c r="IFH12" s="28"/>
      <c r="IFJ12" s="28"/>
      <c r="IFK12" s="28"/>
      <c r="IFL12" s="29"/>
      <c r="IFM12" s="30"/>
      <c r="IFN12" s="31"/>
      <c r="IFO12" s="29"/>
      <c r="IFP12" s="45"/>
      <c r="IFR12" s="27"/>
      <c r="IFS12" s="1"/>
      <c r="IFT12" s="28"/>
      <c r="IFV12" s="28"/>
      <c r="IFW12" s="31"/>
      <c r="IFX12" s="28"/>
      <c r="IFZ12" s="28"/>
      <c r="IGA12" s="28"/>
      <c r="IGB12" s="29"/>
      <c r="IGC12" s="30"/>
      <c r="IGD12" s="31"/>
      <c r="IGE12" s="29"/>
      <c r="IGF12" s="45"/>
      <c r="IGH12" s="27"/>
      <c r="IGI12" s="1"/>
      <c r="IGJ12" s="28"/>
      <c r="IGL12" s="28"/>
      <c r="IGM12" s="31"/>
      <c r="IGN12" s="28"/>
      <c r="IGP12" s="28"/>
      <c r="IGQ12" s="28"/>
      <c r="IGR12" s="29"/>
      <c r="IGS12" s="30"/>
      <c r="IGT12" s="31"/>
      <c r="IGU12" s="29"/>
      <c r="IGV12" s="45"/>
      <c r="IGX12" s="27"/>
      <c r="IGY12" s="1"/>
      <c r="IGZ12" s="28"/>
      <c r="IHB12" s="28"/>
      <c r="IHC12" s="31"/>
      <c r="IHD12" s="28"/>
      <c r="IHF12" s="28"/>
      <c r="IHG12" s="28"/>
      <c r="IHH12" s="29"/>
      <c r="IHI12" s="30"/>
      <c r="IHJ12" s="31"/>
      <c r="IHK12" s="29"/>
      <c r="IHL12" s="45"/>
      <c r="IHN12" s="27"/>
      <c r="IHO12" s="1"/>
      <c r="IHP12" s="28"/>
      <c r="IHR12" s="28"/>
      <c r="IHS12" s="31"/>
      <c r="IHT12" s="28"/>
      <c r="IHV12" s="28"/>
      <c r="IHW12" s="28"/>
      <c r="IHX12" s="29"/>
      <c r="IHY12" s="30"/>
      <c r="IHZ12" s="31"/>
      <c r="IIA12" s="29"/>
      <c r="IIB12" s="45"/>
      <c r="IID12" s="27"/>
      <c r="IIE12" s="1"/>
      <c r="IIF12" s="28"/>
      <c r="IIH12" s="28"/>
      <c r="III12" s="31"/>
      <c r="IIJ12" s="28"/>
      <c r="IIL12" s="28"/>
      <c r="IIM12" s="28"/>
      <c r="IIN12" s="29"/>
      <c r="IIO12" s="30"/>
      <c r="IIP12" s="31"/>
      <c r="IIQ12" s="29"/>
      <c r="IIR12" s="45"/>
      <c r="IIT12" s="27"/>
      <c r="IIU12" s="1"/>
      <c r="IIV12" s="28"/>
      <c r="IIX12" s="28"/>
      <c r="IIY12" s="31"/>
      <c r="IIZ12" s="28"/>
      <c r="IJB12" s="28"/>
      <c r="IJC12" s="28"/>
      <c r="IJD12" s="29"/>
      <c r="IJE12" s="30"/>
      <c r="IJF12" s="31"/>
      <c r="IJG12" s="29"/>
      <c r="IJH12" s="45"/>
      <c r="IJJ12" s="27"/>
      <c r="IJK12" s="1"/>
      <c r="IJL12" s="28"/>
      <c r="IJN12" s="28"/>
      <c r="IJO12" s="31"/>
      <c r="IJP12" s="28"/>
      <c r="IJR12" s="28"/>
      <c r="IJS12" s="28"/>
      <c r="IJT12" s="29"/>
      <c r="IJU12" s="30"/>
      <c r="IJV12" s="31"/>
      <c r="IJW12" s="29"/>
      <c r="IJX12" s="45"/>
      <c r="IJZ12" s="27"/>
      <c r="IKA12" s="1"/>
      <c r="IKB12" s="28"/>
      <c r="IKD12" s="28"/>
      <c r="IKE12" s="31"/>
      <c r="IKF12" s="28"/>
      <c r="IKH12" s="28"/>
      <c r="IKI12" s="28"/>
      <c r="IKJ12" s="29"/>
      <c r="IKK12" s="30"/>
      <c r="IKL12" s="31"/>
      <c r="IKM12" s="29"/>
      <c r="IKN12" s="45"/>
      <c r="IKP12" s="27"/>
      <c r="IKQ12" s="1"/>
      <c r="IKR12" s="28"/>
      <c r="IKT12" s="28"/>
      <c r="IKU12" s="31"/>
      <c r="IKV12" s="28"/>
      <c r="IKX12" s="28"/>
      <c r="IKY12" s="28"/>
      <c r="IKZ12" s="29"/>
      <c r="ILA12" s="30"/>
      <c r="ILB12" s="31"/>
      <c r="ILC12" s="29"/>
      <c r="ILD12" s="45"/>
      <c r="ILF12" s="27"/>
      <c r="ILG12" s="1"/>
      <c r="ILH12" s="28"/>
      <c r="ILJ12" s="28"/>
      <c r="ILK12" s="31"/>
      <c r="ILL12" s="28"/>
      <c r="ILN12" s="28"/>
      <c r="ILO12" s="28"/>
      <c r="ILP12" s="29"/>
      <c r="ILQ12" s="30"/>
      <c r="ILR12" s="31"/>
      <c r="ILS12" s="29"/>
      <c r="ILT12" s="45"/>
      <c r="ILV12" s="27"/>
      <c r="ILW12" s="1"/>
      <c r="ILX12" s="28"/>
      <c r="ILZ12" s="28"/>
      <c r="IMA12" s="31"/>
      <c r="IMB12" s="28"/>
      <c r="IMD12" s="28"/>
      <c r="IME12" s="28"/>
      <c r="IMF12" s="29"/>
      <c r="IMG12" s="30"/>
      <c r="IMH12" s="31"/>
      <c r="IMI12" s="29"/>
      <c r="IMJ12" s="45"/>
      <c r="IML12" s="27"/>
      <c r="IMM12" s="1"/>
      <c r="IMN12" s="28"/>
      <c r="IMP12" s="28"/>
      <c r="IMQ12" s="31"/>
      <c r="IMR12" s="28"/>
      <c r="IMT12" s="28"/>
      <c r="IMU12" s="28"/>
      <c r="IMV12" s="29"/>
      <c r="IMW12" s="30"/>
      <c r="IMX12" s="31"/>
      <c r="IMY12" s="29"/>
      <c r="IMZ12" s="45"/>
      <c r="INB12" s="27"/>
      <c r="INC12" s="1"/>
      <c r="IND12" s="28"/>
      <c r="INF12" s="28"/>
      <c r="ING12" s="31"/>
      <c r="INH12" s="28"/>
      <c r="INJ12" s="28"/>
      <c r="INK12" s="28"/>
      <c r="INL12" s="29"/>
      <c r="INM12" s="30"/>
      <c r="INN12" s="31"/>
      <c r="INO12" s="29"/>
      <c r="INP12" s="45"/>
      <c r="INR12" s="27"/>
      <c r="INS12" s="1"/>
      <c r="INT12" s="28"/>
      <c r="INV12" s="28"/>
      <c r="INW12" s="31"/>
      <c r="INX12" s="28"/>
      <c r="INZ12" s="28"/>
      <c r="IOA12" s="28"/>
      <c r="IOB12" s="29"/>
      <c r="IOC12" s="30"/>
      <c r="IOD12" s="31"/>
      <c r="IOE12" s="29"/>
      <c r="IOF12" s="45"/>
      <c r="IOH12" s="27"/>
      <c r="IOI12" s="1"/>
      <c r="IOJ12" s="28"/>
      <c r="IOL12" s="28"/>
      <c r="IOM12" s="31"/>
      <c r="ION12" s="28"/>
      <c r="IOP12" s="28"/>
      <c r="IOQ12" s="28"/>
      <c r="IOR12" s="29"/>
      <c r="IOS12" s="30"/>
      <c r="IOT12" s="31"/>
      <c r="IOU12" s="29"/>
      <c r="IOV12" s="45"/>
      <c r="IOX12" s="27"/>
      <c r="IOY12" s="1"/>
      <c r="IOZ12" s="28"/>
      <c r="IPB12" s="28"/>
      <c r="IPC12" s="31"/>
      <c r="IPD12" s="28"/>
      <c r="IPF12" s="28"/>
      <c r="IPG12" s="28"/>
      <c r="IPH12" s="29"/>
      <c r="IPI12" s="30"/>
      <c r="IPJ12" s="31"/>
      <c r="IPK12" s="29"/>
      <c r="IPL12" s="45"/>
      <c r="IPN12" s="27"/>
      <c r="IPO12" s="1"/>
      <c r="IPP12" s="28"/>
      <c r="IPR12" s="28"/>
      <c r="IPS12" s="31"/>
      <c r="IPT12" s="28"/>
      <c r="IPV12" s="28"/>
      <c r="IPW12" s="28"/>
      <c r="IPX12" s="29"/>
      <c r="IPY12" s="30"/>
      <c r="IPZ12" s="31"/>
      <c r="IQA12" s="29"/>
      <c r="IQB12" s="45"/>
      <c r="IQD12" s="27"/>
      <c r="IQE12" s="1"/>
      <c r="IQF12" s="28"/>
      <c r="IQH12" s="28"/>
      <c r="IQI12" s="31"/>
      <c r="IQJ12" s="28"/>
      <c r="IQL12" s="28"/>
      <c r="IQM12" s="28"/>
      <c r="IQN12" s="29"/>
      <c r="IQO12" s="30"/>
      <c r="IQP12" s="31"/>
      <c r="IQQ12" s="29"/>
      <c r="IQR12" s="45"/>
      <c r="IQT12" s="27"/>
      <c r="IQU12" s="1"/>
      <c r="IQV12" s="28"/>
      <c r="IQX12" s="28"/>
      <c r="IQY12" s="31"/>
      <c r="IQZ12" s="28"/>
      <c r="IRB12" s="28"/>
      <c r="IRC12" s="28"/>
      <c r="IRD12" s="29"/>
      <c r="IRE12" s="30"/>
      <c r="IRF12" s="31"/>
      <c r="IRG12" s="29"/>
      <c r="IRH12" s="45"/>
      <c r="IRJ12" s="27"/>
      <c r="IRK12" s="1"/>
      <c r="IRL12" s="28"/>
      <c r="IRN12" s="28"/>
      <c r="IRO12" s="31"/>
      <c r="IRP12" s="28"/>
      <c r="IRR12" s="28"/>
      <c r="IRS12" s="28"/>
      <c r="IRT12" s="29"/>
      <c r="IRU12" s="30"/>
      <c r="IRV12" s="31"/>
      <c r="IRW12" s="29"/>
      <c r="IRX12" s="45"/>
      <c r="IRZ12" s="27"/>
      <c r="ISA12" s="1"/>
      <c r="ISB12" s="28"/>
      <c r="ISD12" s="28"/>
      <c r="ISE12" s="31"/>
      <c r="ISF12" s="28"/>
      <c r="ISH12" s="28"/>
      <c r="ISI12" s="28"/>
      <c r="ISJ12" s="29"/>
      <c r="ISK12" s="30"/>
      <c r="ISL12" s="31"/>
      <c r="ISM12" s="29"/>
      <c r="ISN12" s="45"/>
      <c r="ISP12" s="27"/>
      <c r="ISQ12" s="1"/>
      <c r="ISR12" s="28"/>
      <c r="IST12" s="28"/>
      <c r="ISU12" s="31"/>
      <c r="ISV12" s="28"/>
      <c r="ISX12" s="28"/>
      <c r="ISY12" s="28"/>
      <c r="ISZ12" s="29"/>
      <c r="ITA12" s="30"/>
      <c r="ITB12" s="31"/>
      <c r="ITC12" s="29"/>
      <c r="ITD12" s="45"/>
      <c r="ITF12" s="27"/>
      <c r="ITG12" s="1"/>
      <c r="ITH12" s="28"/>
      <c r="ITJ12" s="28"/>
      <c r="ITK12" s="31"/>
      <c r="ITL12" s="28"/>
      <c r="ITN12" s="28"/>
      <c r="ITO12" s="28"/>
      <c r="ITP12" s="29"/>
      <c r="ITQ12" s="30"/>
      <c r="ITR12" s="31"/>
      <c r="ITS12" s="29"/>
      <c r="ITT12" s="45"/>
      <c r="ITV12" s="27"/>
      <c r="ITW12" s="1"/>
      <c r="ITX12" s="28"/>
      <c r="ITZ12" s="28"/>
      <c r="IUA12" s="31"/>
      <c r="IUB12" s="28"/>
      <c r="IUD12" s="28"/>
      <c r="IUE12" s="28"/>
      <c r="IUF12" s="29"/>
      <c r="IUG12" s="30"/>
      <c r="IUH12" s="31"/>
      <c r="IUI12" s="29"/>
      <c r="IUJ12" s="45"/>
      <c r="IUL12" s="27"/>
      <c r="IUM12" s="1"/>
      <c r="IUN12" s="28"/>
      <c r="IUP12" s="28"/>
      <c r="IUQ12" s="31"/>
      <c r="IUR12" s="28"/>
      <c r="IUT12" s="28"/>
      <c r="IUU12" s="28"/>
      <c r="IUV12" s="29"/>
      <c r="IUW12" s="30"/>
      <c r="IUX12" s="31"/>
      <c r="IUY12" s="29"/>
      <c r="IUZ12" s="45"/>
      <c r="IVB12" s="27"/>
      <c r="IVC12" s="1"/>
      <c r="IVD12" s="28"/>
      <c r="IVF12" s="28"/>
      <c r="IVG12" s="31"/>
      <c r="IVH12" s="28"/>
      <c r="IVJ12" s="28"/>
      <c r="IVK12" s="28"/>
      <c r="IVL12" s="29"/>
      <c r="IVM12" s="30"/>
      <c r="IVN12" s="31"/>
      <c r="IVO12" s="29"/>
      <c r="IVP12" s="45"/>
      <c r="IVR12" s="27"/>
      <c r="IVS12" s="1"/>
      <c r="IVT12" s="28"/>
      <c r="IVV12" s="28"/>
      <c r="IVW12" s="31"/>
      <c r="IVX12" s="28"/>
      <c r="IVZ12" s="28"/>
      <c r="IWA12" s="28"/>
      <c r="IWB12" s="29"/>
      <c r="IWC12" s="30"/>
      <c r="IWD12" s="31"/>
      <c r="IWE12" s="29"/>
      <c r="IWF12" s="45"/>
      <c r="IWH12" s="27"/>
      <c r="IWI12" s="1"/>
      <c r="IWJ12" s="28"/>
      <c r="IWL12" s="28"/>
      <c r="IWM12" s="31"/>
      <c r="IWN12" s="28"/>
      <c r="IWP12" s="28"/>
      <c r="IWQ12" s="28"/>
      <c r="IWR12" s="29"/>
      <c r="IWS12" s="30"/>
      <c r="IWT12" s="31"/>
      <c r="IWU12" s="29"/>
      <c r="IWV12" s="45"/>
      <c r="IWX12" s="27"/>
      <c r="IWY12" s="1"/>
      <c r="IWZ12" s="28"/>
      <c r="IXB12" s="28"/>
      <c r="IXC12" s="31"/>
      <c r="IXD12" s="28"/>
      <c r="IXF12" s="28"/>
      <c r="IXG12" s="28"/>
      <c r="IXH12" s="29"/>
      <c r="IXI12" s="30"/>
      <c r="IXJ12" s="31"/>
      <c r="IXK12" s="29"/>
      <c r="IXL12" s="45"/>
      <c r="IXN12" s="27"/>
      <c r="IXO12" s="1"/>
      <c r="IXP12" s="28"/>
      <c r="IXR12" s="28"/>
      <c r="IXS12" s="31"/>
      <c r="IXT12" s="28"/>
      <c r="IXV12" s="28"/>
      <c r="IXW12" s="28"/>
      <c r="IXX12" s="29"/>
      <c r="IXY12" s="30"/>
      <c r="IXZ12" s="31"/>
      <c r="IYA12" s="29"/>
      <c r="IYB12" s="45"/>
      <c r="IYD12" s="27"/>
      <c r="IYE12" s="1"/>
      <c r="IYF12" s="28"/>
      <c r="IYH12" s="28"/>
      <c r="IYI12" s="31"/>
      <c r="IYJ12" s="28"/>
      <c r="IYL12" s="28"/>
      <c r="IYM12" s="28"/>
      <c r="IYN12" s="29"/>
      <c r="IYO12" s="30"/>
      <c r="IYP12" s="31"/>
      <c r="IYQ12" s="29"/>
      <c r="IYR12" s="45"/>
      <c r="IYT12" s="27"/>
      <c r="IYU12" s="1"/>
      <c r="IYV12" s="28"/>
      <c r="IYX12" s="28"/>
      <c r="IYY12" s="31"/>
      <c r="IYZ12" s="28"/>
      <c r="IZB12" s="28"/>
      <c r="IZC12" s="28"/>
      <c r="IZD12" s="29"/>
      <c r="IZE12" s="30"/>
      <c r="IZF12" s="31"/>
      <c r="IZG12" s="29"/>
      <c r="IZH12" s="45"/>
      <c r="IZJ12" s="27"/>
      <c r="IZK12" s="1"/>
      <c r="IZL12" s="28"/>
      <c r="IZN12" s="28"/>
      <c r="IZO12" s="31"/>
      <c r="IZP12" s="28"/>
      <c r="IZR12" s="28"/>
      <c r="IZS12" s="28"/>
      <c r="IZT12" s="29"/>
      <c r="IZU12" s="30"/>
      <c r="IZV12" s="31"/>
      <c r="IZW12" s="29"/>
      <c r="IZX12" s="45"/>
      <c r="IZZ12" s="27"/>
      <c r="JAA12" s="1"/>
      <c r="JAB12" s="28"/>
      <c r="JAD12" s="28"/>
      <c r="JAE12" s="31"/>
      <c r="JAF12" s="28"/>
      <c r="JAH12" s="28"/>
      <c r="JAI12" s="28"/>
      <c r="JAJ12" s="29"/>
      <c r="JAK12" s="30"/>
      <c r="JAL12" s="31"/>
      <c r="JAM12" s="29"/>
      <c r="JAN12" s="45"/>
      <c r="JAP12" s="27"/>
      <c r="JAQ12" s="1"/>
      <c r="JAR12" s="28"/>
      <c r="JAT12" s="28"/>
      <c r="JAU12" s="31"/>
      <c r="JAV12" s="28"/>
      <c r="JAX12" s="28"/>
      <c r="JAY12" s="28"/>
      <c r="JAZ12" s="29"/>
      <c r="JBA12" s="30"/>
      <c r="JBB12" s="31"/>
      <c r="JBC12" s="29"/>
      <c r="JBD12" s="45"/>
      <c r="JBF12" s="27"/>
      <c r="JBG12" s="1"/>
      <c r="JBH12" s="28"/>
      <c r="JBJ12" s="28"/>
      <c r="JBK12" s="31"/>
      <c r="JBL12" s="28"/>
      <c r="JBN12" s="28"/>
      <c r="JBO12" s="28"/>
      <c r="JBP12" s="29"/>
      <c r="JBQ12" s="30"/>
      <c r="JBR12" s="31"/>
      <c r="JBS12" s="29"/>
      <c r="JBT12" s="45"/>
      <c r="JBV12" s="27"/>
      <c r="JBW12" s="1"/>
      <c r="JBX12" s="28"/>
      <c r="JBZ12" s="28"/>
      <c r="JCA12" s="31"/>
      <c r="JCB12" s="28"/>
      <c r="JCD12" s="28"/>
      <c r="JCE12" s="28"/>
      <c r="JCF12" s="29"/>
      <c r="JCG12" s="30"/>
      <c r="JCH12" s="31"/>
      <c r="JCI12" s="29"/>
      <c r="JCJ12" s="45"/>
      <c r="JCL12" s="27"/>
      <c r="JCM12" s="1"/>
      <c r="JCN12" s="28"/>
      <c r="JCP12" s="28"/>
      <c r="JCQ12" s="31"/>
      <c r="JCR12" s="28"/>
      <c r="JCT12" s="28"/>
      <c r="JCU12" s="28"/>
      <c r="JCV12" s="29"/>
      <c r="JCW12" s="30"/>
      <c r="JCX12" s="31"/>
      <c r="JCY12" s="29"/>
      <c r="JCZ12" s="45"/>
      <c r="JDB12" s="27"/>
      <c r="JDC12" s="1"/>
      <c r="JDD12" s="28"/>
      <c r="JDF12" s="28"/>
      <c r="JDG12" s="31"/>
      <c r="JDH12" s="28"/>
      <c r="JDJ12" s="28"/>
      <c r="JDK12" s="28"/>
      <c r="JDL12" s="29"/>
      <c r="JDM12" s="30"/>
      <c r="JDN12" s="31"/>
      <c r="JDO12" s="29"/>
      <c r="JDP12" s="45"/>
      <c r="JDR12" s="27"/>
      <c r="JDS12" s="1"/>
      <c r="JDT12" s="28"/>
      <c r="JDV12" s="28"/>
      <c r="JDW12" s="31"/>
      <c r="JDX12" s="28"/>
      <c r="JDZ12" s="28"/>
      <c r="JEA12" s="28"/>
      <c r="JEB12" s="29"/>
      <c r="JEC12" s="30"/>
      <c r="JED12" s="31"/>
      <c r="JEE12" s="29"/>
      <c r="JEF12" s="45"/>
      <c r="JEH12" s="27"/>
      <c r="JEI12" s="1"/>
      <c r="JEJ12" s="28"/>
      <c r="JEL12" s="28"/>
      <c r="JEM12" s="31"/>
      <c r="JEN12" s="28"/>
      <c r="JEP12" s="28"/>
      <c r="JEQ12" s="28"/>
      <c r="JER12" s="29"/>
      <c r="JES12" s="30"/>
      <c r="JET12" s="31"/>
      <c r="JEU12" s="29"/>
      <c r="JEV12" s="45"/>
      <c r="JEX12" s="27"/>
      <c r="JEY12" s="1"/>
      <c r="JEZ12" s="28"/>
      <c r="JFB12" s="28"/>
      <c r="JFC12" s="31"/>
      <c r="JFD12" s="28"/>
      <c r="JFF12" s="28"/>
      <c r="JFG12" s="28"/>
      <c r="JFH12" s="29"/>
      <c r="JFI12" s="30"/>
      <c r="JFJ12" s="31"/>
      <c r="JFK12" s="29"/>
      <c r="JFL12" s="45"/>
      <c r="JFN12" s="27"/>
      <c r="JFO12" s="1"/>
      <c r="JFP12" s="28"/>
      <c r="JFR12" s="28"/>
      <c r="JFS12" s="31"/>
      <c r="JFT12" s="28"/>
      <c r="JFV12" s="28"/>
      <c r="JFW12" s="28"/>
      <c r="JFX12" s="29"/>
      <c r="JFY12" s="30"/>
      <c r="JFZ12" s="31"/>
      <c r="JGA12" s="29"/>
      <c r="JGB12" s="45"/>
      <c r="JGD12" s="27"/>
      <c r="JGE12" s="1"/>
      <c r="JGF12" s="28"/>
      <c r="JGH12" s="28"/>
      <c r="JGI12" s="31"/>
      <c r="JGJ12" s="28"/>
      <c r="JGL12" s="28"/>
      <c r="JGM12" s="28"/>
      <c r="JGN12" s="29"/>
      <c r="JGO12" s="30"/>
      <c r="JGP12" s="31"/>
      <c r="JGQ12" s="29"/>
      <c r="JGR12" s="45"/>
      <c r="JGT12" s="27"/>
      <c r="JGU12" s="1"/>
      <c r="JGV12" s="28"/>
      <c r="JGX12" s="28"/>
      <c r="JGY12" s="31"/>
      <c r="JGZ12" s="28"/>
      <c r="JHB12" s="28"/>
      <c r="JHC12" s="28"/>
      <c r="JHD12" s="29"/>
      <c r="JHE12" s="30"/>
      <c r="JHF12" s="31"/>
      <c r="JHG12" s="29"/>
      <c r="JHH12" s="45"/>
      <c r="JHJ12" s="27"/>
      <c r="JHK12" s="1"/>
      <c r="JHL12" s="28"/>
      <c r="JHN12" s="28"/>
      <c r="JHO12" s="31"/>
      <c r="JHP12" s="28"/>
      <c r="JHR12" s="28"/>
      <c r="JHS12" s="28"/>
      <c r="JHT12" s="29"/>
      <c r="JHU12" s="30"/>
      <c r="JHV12" s="31"/>
      <c r="JHW12" s="29"/>
      <c r="JHX12" s="45"/>
      <c r="JHZ12" s="27"/>
      <c r="JIA12" s="1"/>
      <c r="JIB12" s="28"/>
      <c r="JID12" s="28"/>
      <c r="JIE12" s="31"/>
      <c r="JIF12" s="28"/>
      <c r="JIH12" s="28"/>
      <c r="JII12" s="28"/>
      <c r="JIJ12" s="29"/>
      <c r="JIK12" s="30"/>
      <c r="JIL12" s="31"/>
      <c r="JIM12" s="29"/>
      <c r="JIN12" s="45"/>
      <c r="JIP12" s="27"/>
      <c r="JIQ12" s="1"/>
      <c r="JIR12" s="28"/>
      <c r="JIT12" s="28"/>
      <c r="JIU12" s="31"/>
      <c r="JIV12" s="28"/>
      <c r="JIX12" s="28"/>
      <c r="JIY12" s="28"/>
      <c r="JIZ12" s="29"/>
      <c r="JJA12" s="30"/>
      <c r="JJB12" s="31"/>
      <c r="JJC12" s="29"/>
      <c r="JJD12" s="45"/>
      <c r="JJF12" s="27"/>
      <c r="JJG12" s="1"/>
      <c r="JJH12" s="28"/>
      <c r="JJJ12" s="28"/>
      <c r="JJK12" s="31"/>
      <c r="JJL12" s="28"/>
      <c r="JJN12" s="28"/>
      <c r="JJO12" s="28"/>
      <c r="JJP12" s="29"/>
      <c r="JJQ12" s="30"/>
      <c r="JJR12" s="31"/>
      <c r="JJS12" s="29"/>
      <c r="JJT12" s="45"/>
      <c r="JJV12" s="27"/>
      <c r="JJW12" s="1"/>
      <c r="JJX12" s="28"/>
      <c r="JJZ12" s="28"/>
      <c r="JKA12" s="31"/>
      <c r="JKB12" s="28"/>
      <c r="JKD12" s="28"/>
      <c r="JKE12" s="28"/>
      <c r="JKF12" s="29"/>
      <c r="JKG12" s="30"/>
      <c r="JKH12" s="31"/>
      <c r="JKI12" s="29"/>
      <c r="JKJ12" s="45"/>
      <c r="JKL12" s="27"/>
      <c r="JKM12" s="1"/>
      <c r="JKN12" s="28"/>
      <c r="JKP12" s="28"/>
      <c r="JKQ12" s="31"/>
      <c r="JKR12" s="28"/>
      <c r="JKT12" s="28"/>
      <c r="JKU12" s="28"/>
      <c r="JKV12" s="29"/>
      <c r="JKW12" s="30"/>
      <c r="JKX12" s="31"/>
      <c r="JKY12" s="29"/>
      <c r="JKZ12" s="45"/>
      <c r="JLB12" s="27"/>
      <c r="JLC12" s="1"/>
      <c r="JLD12" s="28"/>
      <c r="JLF12" s="28"/>
      <c r="JLG12" s="31"/>
      <c r="JLH12" s="28"/>
      <c r="JLJ12" s="28"/>
      <c r="JLK12" s="28"/>
      <c r="JLL12" s="29"/>
      <c r="JLM12" s="30"/>
      <c r="JLN12" s="31"/>
      <c r="JLO12" s="29"/>
      <c r="JLP12" s="45"/>
      <c r="JLR12" s="27"/>
      <c r="JLS12" s="1"/>
      <c r="JLT12" s="28"/>
      <c r="JLV12" s="28"/>
      <c r="JLW12" s="31"/>
      <c r="JLX12" s="28"/>
      <c r="JLZ12" s="28"/>
      <c r="JMA12" s="28"/>
      <c r="JMB12" s="29"/>
      <c r="JMC12" s="30"/>
      <c r="JMD12" s="31"/>
      <c r="JME12" s="29"/>
      <c r="JMF12" s="45"/>
      <c r="JMH12" s="27"/>
      <c r="JMI12" s="1"/>
      <c r="JMJ12" s="28"/>
      <c r="JML12" s="28"/>
      <c r="JMM12" s="31"/>
      <c r="JMN12" s="28"/>
      <c r="JMP12" s="28"/>
      <c r="JMQ12" s="28"/>
      <c r="JMR12" s="29"/>
      <c r="JMS12" s="30"/>
      <c r="JMT12" s="31"/>
      <c r="JMU12" s="29"/>
      <c r="JMV12" s="45"/>
      <c r="JMX12" s="27"/>
      <c r="JMY12" s="1"/>
      <c r="JMZ12" s="28"/>
      <c r="JNB12" s="28"/>
      <c r="JNC12" s="31"/>
      <c r="JND12" s="28"/>
      <c r="JNF12" s="28"/>
      <c r="JNG12" s="28"/>
      <c r="JNH12" s="29"/>
      <c r="JNI12" s="30"/>
      <c r="JNJ12" s="31"/>
      <c r="JNK12" s="29"/>
      <c r="JNL12" s="45"/>
      <c r="JNN12" s="27"/>
      <c r="JNO12" s="1"/>
      <c r="JNP12" s="28"/>
      <c r="JNR12" s="28"/>
      <c r="JNS12" s="31"/>
      <c r="JNT12" s="28"/>
      <c r="JNV12" s="28"/>
      <c r="JNW12" s="28"/>
      <c r="JNX12" s="29"/>
      <c r="JNY12" s="30"/>
      <c r="JNZ12" s="31"/>
      <c r="JOA12" s="29"/>
      <c r="JOB12" s="45"/>
      <c r="JOD12" s="27"/>
      <c r="JOE12" s="1"/>
      <c r="JOF12" s="28"/>
      <c r="JOH12" s="28"/>
      <c r="JOI12" s="31"/>
      <c r="JOJ12" s="28"/>
      <c r="JOL12" s="28"/>
      <c r="JOM12" s="28"/>
      <c r="JON12" s="29"/>
      <c r="JOO12" s="30"/>
      <c r="JOP12" s="31"/>
      <c r="JOQ12" s="29"/>
      <c r="JOR12" s="45"/>
      <c r="JOT12" s="27"/>
      <c r="JOU12" s="1"/>
      <c r="JOV12" s="28"/>
      <c r="JOX12" s="28"/>
      <c r="JOY12" s="31"/>
      <c r="JOZ12" s="28"/>
      <c r="JPB12" s="28"/>
      <c r="JPC12" s="28"/>
      <c r="JPD12" s="29"/>
      <c r="JPE12" s="30"/>
      <c r="JPF12" s="31"/>
      <c r="JPG12" s="29"/>
      <c r="JPH12" s="45"/>
      <c r="JPJ12" s="27"/>
      <c r="JPK12" s="1"/>
      <c r="JPL12" s="28"/>
      <c r="JPN12" s="28"/>
      <c r="JPO12" s="31"/>
      <c r="JPP12" s="28"/>
      <c r="JPR12" s="28"/>
      <c r="JPS12" s="28"/>
      <c r="JPT12" s="29"/>
      <c r="JPU12" s="30"/>
      <c r="JPV12" s="31"/>
      <c r="JPW12" s="29"/>
      <c r="JPX12" s="45"/>
      <c r="JPZ12" s="27"/>
      <c r="JQA12" s="1"/>
      <c r="JQB12" s="28"/>
      <c r="JQD12" s="28"/>
      <c r="JQE12" s="31"/>
      <c r="JQF12" s="28"/>
      <c r="JQH12" s="28"/>
      <c r="JQI12" s="28"/>
      <c r="JQJ12" s="29"/>
      <c r="JQK12" s="30"/>
      <c r="JQL12" s="31"/>
      <c r="JQM12" s="29"/>
      <c r="JQN12" s="45"/>
      <c r="JQP12" s="27"/>
      <c r="JQQ12" s="1"/>
      <c r="JQR12" s="28"/>
      <c r="JQT12" s="28"/>
      <c r="JQU12" s="31"/>
      <c r="JQV12" s="28"/>
      <c r="JQX12" s="28"/>
      <c r="JQY12" s="28"/>
      <c r="JQZ12" s="29"/>
      <c r="JRA12" s="30"/>
      <c r="JRB12" s="31"/>
      <c r="JRC12" s="29"/>
      <c r="JRD12" s="45"/>
      <c r="JRF12" s="27"/>
      <c r="JRG12" s="1"/>
      <c r="JRH12" s="28"/>
      <c r="JRJ12" s="28"/>
      <c r="JRK12" s="31"/>
      <c r="JRL12" s="28"/>
      <c r="JRN12" s="28"/>
      <c r="JRO12" s="28"/>
      <c r="JRP12" s="29"/>
      <c r="JRQ12" s="30"/>
      <c r="JRR12" s="31"/>
      <c r="JRS12" s="29"/>
      <c r="JRT12" s="45"/>
      <c r="JRV12" s="27"/>
      <c r="JRW12" s="1"/>
      <c r="JRX12" s="28"/>
      <c r="JRZ12" s="28"/>
      <c r="JSA12" s="31"/>
      <c r="JSB12" s="28"/>
      <c r="JSD12" s="28"/>
      <c r="JSE12" s="28"/>
      <c r="JSF12" s="29"/>
      <c r="JSG12" s="30"/>
      <c r="JSH12" s="31"/>
      <c r="JSI12" s="29"/>
      <c r="JSJ12" s="45"/>
      <c r="JSL12" s="27"/>
      <c r="JSM12" s="1"/>
      <c r="JSN12" s="28"/>
      <c r="JSP12" s="28"/>
      <c r="JSQ12" s="31"/>
      <c r="JSR12" s="28"/>
      <c r="JST12" s="28"/>
      <c r="JSU12" s="28"/>
      <c r="JSV12" s="29"/>
      <c r="JSW12" s="30"/>
      <c r="JSX12" s="31"/>
      <c r="JSY12" s="29"/>
      <c r="JSZ12" s="45"/>
      <c r="JTB12" s="27"/>
      <c r="JTC12" s="1"/>
      <c r="JTD12" s="28"/>
      <c r="JTF12" s="28"/>
      <c r="JTG12" s="31"/>
      <c r="JTH12" s="28"/>
      <c r="JTJ12" s="28"/>
      <c r="JTK12" s="28"/>
      <c r="JTL12" s="29"/>
      <c r="JTM12" s="30"/>
      <c r="JTN12" s="31"/>
      <c r="JTO12" s="29"/>
      <c r="JTP12" s="45"/>
      <c r="JTR12" s="27"/>
      <c r="JTS12" s="1"/>
      <c r="JTT12" s="28"/>
      <c r="JTV12" s="28"/>
      <c r="JTW12" s="31"/>
      <c r="JTX12" s="28"/>
      <c r="JTZ12" s="28"/>
      <c r="JUA12" s="28"/>
      <c r="JUB12" s="29"/>
      <c r="JUC12" s="30"/>
      <c r="JUD12" s="31"/>
      <c r="JUE12" s="29"/>
      <c r="JUF12" s="45"/>
      <c r="JUH12" s="27"/>
      <c r="JUI12" s="1"/>
      <c r="JUJ12" s="28"/>
      <c r="JUL12" s="28"/>
      <c r="JUM12" s="31"/>
      <c r="JUN12" s="28"/>
      <c r="JUP12" s="28"/>
      <c r="JUQ12" s="28"/>
      <c r="JUR12" s="29"/>
      <c r="JUS12" s="30"/>
      <c r="JUT12" s="31"/>
      <c r="JUU12" s="29"/>
      <c r="JUV12" s="45"/>
      <c r="JUX12" s="27"/>
      <c r="JUY12" s="1"/>
      <c r="JUZ12" s="28"/>
      <c r="JVB12" s="28"/>
      <c r="JVC12" s="31"/>
      <c r="JVD12" s="28"/>
      <c r="JVF12" s="28"/>
      <c r="JVG12" s="28"/>
      <c r="JVH12" s="29"/>
      <c r="JVI12" s="30"/>
      <c r="JVJ12" s="31"/>
      <c r="JVK12" s="29"/>
      <c r="JVL12" s="45"/>
      <c r="JVN12" s="27"/>
      <c r="JVO12" s="1"/>
      <c r="JVP12" s="28"/>
      <c r="JVR12" s="28"/>
      <c r="JVS12" s="31"/>
      <c r="JVT12" s="28"/>
      <c r="JVV12" s="28"/>
      <c r="JVW12" s="28"/>
      <c r="JVX12" s="29"/>
      <c r="JVY12" s="30"/>
      <c r="JVZ12" s="31"/>
      <c r="JWA12" s="29"/>
      <c r="JWB12" s="45"/>
      <c r="JWD12" s="27"/>
      <c r="JWE12" s="1"/>
      <c r="JWF12" s="28"/>
      <c r="JWH12" s="28"/>
      <c r="JWI12" s="31"/>
      <c r="JWJ12" s="28"/>
      <c r="JWL12" s="28"/>
      <c r="JWM12" s="28"/>
      <c r="JWN12" s="29"/>
      <c r="JWO12" s="30"/>
      <c r="JWP12" s="31"/>
      <c r="JWQ12" s="29"/>
      <c r="JWR12" s="45"/>
      <c r="JWT12" s="27"/>
      <c r="JWU12" s="1"/>
      <c r="JWV12" s="28"/>
      <c r="JWX12" s="28"/>
      <c r="JWY12" s="31"/>
      <c r="JWZ12" s="28"/>
      <c r="JXB12" s="28"/>
      <c r="JXC12" s="28"/>
      <c r="JXD12" s="29"/>
      <c r="JXE12" s="30"/>
      <c r="JXF12" s="31"/>
      <c r="JXG12" s="29"/>
      <c r="JXH12" s="45"/>
      <c r="JXJ12" s="27"/>
      <c r="JXK12" s="1"/>
      <c r="JXL12" s="28"/>
      <c r="JXN12" s="28"/>
      <c r="JXO12" s="31"/>
      <c r="JXP12" s="28"/>
      <c r="JXR12" s="28"/>
      <c r="JXS12" s="28"/>
      <c r="JXT12" s="29"/>
      <c r="JXU12" s="30"/>
      <c r="JXV12" s="31"/>
      <c r="JXW12" s="29"/>
      <c r="JXX12" s="45"/>
      <c r="JXZ12" s="27"/>
      <c r="JYA12" s="1"/>
      <c r="JYB12" s="28"/>
      <c r="JYD12" s="28"/>
      <c r="JYE12" s="31"/>
      <c r="JYF12" s="28"/>
      <c r="JYH12" s="28"/>
      <c r="JYI12" s="28"/>
      <c r="JYJ12" s="29"/>
      <c r="JYK12" s="30"/>
      <c r="JYL12" s="31"/>
      <c r="JYM12" s="29"/>
      <c r="JYN12" s="45"/>
      <c r="JYP12" s="27"/>
      <c r="JYQ12" s="1"/>
      <c r="JYR12" s="28"/>
      <c r="JYT12" s="28"/>
      <c r="JYU12" s="31"/>
      <c r="JYV12" s="28"/>
      <c r="JYX12" s="28"/>
      <c r="JYY12" s="28"/>
      <c r="JYZ12" s="29"/>
      <c r="JZA12" s="30"/>
      <c r="JZB12" s="31"/>
      <c r="JZC12" s="29"/>
      <c r="JZD12" s="45"/>
      <c r="JZF12" s="27"/>
      <c r="JZG12" s="1"/>
      <c r="JZH12" s="28"/>
      <c r="JZJ12" s="28"/>
      <c r="JZK12" s="31"/>
      <c r="JZL12" s="28"/>
      <c r="JZN12" s="28"/>
      <c r="JZO12" s="28"/>
      <c r="JZP12" s="29"/>
      <c r="JZQ12" s="30"/>
      <c r="JZR12" s="31"/>
      <c r="JZS12" s="29"/>
      <c r="JZT12" s="45"/>
      <c r="JZV12" s="27"/>
      <c r="JZW12" s="1"/>
      <c r="JZX12" s="28"/>
      <c r="JZZ12" s="28"/>
      <c r="KAA12" s="31"/>
      <c r="KAB12" s="28"/>
      <c r="KAD12" s="28"/>
      <c r="KAE12" s="28"/>
      <c r="KAF12" s="29"/>
      <c r="KAG12" s="30"/>
      <c r="KAH12" s="31"/>
      <c r="KAI12" s="29"/>
      <c r="KAJ12" s="45"/>
      <c r="KAL12" s="27"/>
      <c r="KAM12" s="1"/>
      <c r="KAN12" s="28"/>
      <c r="KAP12" s="28"/>
      <c r="KAQ12" s="31"/>
      <c r="KAR12" s="28"/>
      <c r="KAT12" s="28"/>
      <c r="KAU12" s="28"/>
      <c r="KAV12" s="29"/>
      <c r="KAW12" s="30"/>
      <c r="KAX12" s="31"/>
      <c r="KAY12" s="29"/>
      <c r="KAZ12" s="45"/>
      <c r="KBB12" s="27"/>
      <c r="KBC12" s="1"/>
      <c r="KBD12" s="28"/>
      <c r="KBF12" s="28"/>
      <c r="KBG12" s="31"/>
      <c r="KBH12" s="28"/>
      <c r="KBJ12" s="28"/>
      <c r="KBK12" s="28"/>
      <c r="KBL12" s="29"/>
      <c r="KBM12" s="30"/>
      <c r="KBN12" s="31"/>
      <c r="KBO12" s="29"/>
      <c r="KBP12" s="45"/>
      <c r="KBR12" s="27"/>
      <c r="KBS12" s="1"/>
      <c r="KBT12" s="28"/>
      <c r="KBV12" s="28"/>
      <c r="KBW12" s="31"/>
      <c r="KBX12" s="28"/>
      <c r="KBZ12" s="28"/>
      <c r="KCA12" s="28"/>
      <c r="KCB12" s="29"/>
      <c r="KCC12" s="30"/>
      <c r="KCD12" s="31"/>
      <c r="KCE12" s="29"/>
      <c r="KCF12" s="45"/>
      <c r="KCH12" s="27"/>
      <c r="KCI12" s="1"/>
      <c r="KCJ12" s="28"/>
      <c r="KCL12" s="28"/>
      <c r="KCM12" s="31"/>
      <c r="KCN12" s="28"/>
      <c r="KCP12" s="28"/>
      <c r="KCQ12" s="28"/>
      <c r="KCR12" s="29"/>
      <c r="KCS12" s="30"/>
      <c r="KCT12" s="31"/>
      <c r="KCU12" s="29"/>
      <c r="KCV12" s="45"/>
      <c r="KCX12" s="27"/>
      <c r="KCY12" s="1"/>
      <c r="KCZ12" s="28"/>
      <c r="KDB12" s="28"/>
      <c r="KDC12" s="31"/>
      <c r="KDD12" s="28"/>
      <c r="KDF12" s="28"/>
      <c r="KDG12" s="28"/>
      <c r="KDH12" s="29"/>
      <c r="KDI12" s="30"/>
      <c r="KDJ12" s="31"/>
      <c r="KDK12" s="29"/>
      <c r="KDL12" s="45"/>
      <c r="KDN12" s="27"/>
      <c r="KDO12" s="1"/>
      <c r="KDP12" s="28"/>
      <c r="KDR12" s="28"/>
      <c r="KDS12" s="31"/>
      <c r="KDT12" s="28"/>
      <c r="KDV12" s="28"/>
      <c r="KDW12" s="28"/>
      <c r="KDX12" s="29"/>
      <c r="KDY12" s="30"/>
      <c r="KDZ12" s="31"/>
      <c r="KEA12" s="29"/>
      <c r="KEB12" s="45"/>
      <c r="KED12" s="27"/>
      <c r="KEE12" s="1"/>
      <c r="KEF12" s="28"/>
      <c r="KEH12" s="28"/>
      <c r="KEI12" s="31"/>
      <c r="KEJ12" s="28"/>
      <c r="KEL12" s="28"/>
      <c r="KEM12" s="28"/>
      <c r="KEN12" s="29"/>
      <c r="KEO12" s="30"/>
      <c r="KEP12" s="31"/>
      <c r="KEQ12" s="29"/>
      <c r="KER12" s="45"/>
      <c r="KET12" s="27"/>
      <c r="KEU12" s="1"/>
      <c r="KEV12" s="28"/>
      <c r="KEX12" s="28"/>
      <c r="KEY12" s="31"/>
      <c r="KEZ12" s="28"/>
      <c r="KFB12" s="28"/>
      <c r="KFC12" s="28"/>
      <c r="KFD12" s="29"/>
      <c r="KFE12" s="30"/>
      <c r="KFF12" s="31"/>
      <c r="KFG12" s="29"/>
      <c r="KFH12" s="45"/>
      <c r="KFJ12" s="27"/>
      <c r="KFK12" s="1"/>
      <c r="KFL12" s="28"/>
      <c r="KFN12" s="28"/>
      <c r="KFO12" s="31"/>
      <c r="KFP12" s="28"/>
      <c r="KFR12" s="28"/>
      <c r="KFS12" s="28"/>
      <c r="KFT12" s="29"/>
      <c r="KFU12" s="30"/>
      <c r="KFV12" s="31"/>
      <c r="KFW12" s="29"/>
      <c r="KFX12" s="45"/>
      <c r="KFZ12" s="27"/>
      <c r="KGA12" s="1"/>
      <c r="KGB12" s="28"/>
      <c r="KGD12" s="28"/>
      <c r="KGE12" s="31"/>
      <c r="KGF12" s="28"/>
      <c r="KGH12" s="28"/>
      <c r="KGI12" s="28"/>
      <c r="KGJ12" s="29"/>
      <c r="KGK12" s="30"/>
      <c r="KGL12" s="31"/>
      <c r="KGM12" s="29"/>
      <c r="KGN12" s="45"/>
      <c r="KGP12" s="27"/>
      <c r="KGQ12" s="1"/>
      <c r="KGR12" s="28"/>
      <c r="KGT12" s="28"/>
      <c r="KGU12" s="31"/>
      <c r="KGV12" s="28"/>
      <c r="KGX12" s="28"/>
      <c r="KGY12" s="28"/>
      <c r="KGZ12" s="29"/>
      <c r="KHA12" s="30"/>
      <c r="KHB12" s="31"/>
      <c r="KHC12" s="29"/>
      <c r="KHD12" s="45"/>
      <c r="KHF12" s="27"/>
      <c r="KHG12" s="1"/>
      <c r="KHH12" s="28"/>
      <c r="KHJ12" s="28"/>
      <c r="KHK12" s="31"/>
      <c r="KHL12" s="28"/>
      <c r="KHN12" s="28"/>
      <c r="KHO12" s="28"/>
      <c r="KHP12" s="29"/>
      <c r="KHQ12" s="30"/>
      <c r="KHR12" s="31"/>
      <c r="KHS12" s="29"/>
      <c r="KHT12" s="45"/>
      <c r="KHV12" s="27"/>
      <c r="KHW12" s="1"/>
      <c r="KHX12" s="28"/>
      <c r="KHZ12" s="28"/>
      <c r="KIA12" s="31"/>
      <c r="KIB12" s="28"/>
      <c r="KID12" s="28"/>
      <c r="KIE12" s="28"/>
      <c r="KIF12" s="29"/>
      <c r="KIG12" s="30"/>
      <c r="KIH12" s="31"/>
      <c r="KII12" s="29"/>
      <c r="KIJ12" s="45"/>
      <c r="KIL12" s="27"/>
      <c r="KIM12" s="1"/>
      <c r="KIN12" s="28"/>
      <c r="KIP12" s="28"/>
      <c r="KIQ12" s="31"/>
      <c r="KIR12" s="28"/>
      <c r="KIT12" s="28"/>
      <c r="KIU12" s="28"/>
      <c r="KIV12" s="29"/>
      <c r="KIW12" s="30"/>
      <c r="KIX12" s="31"/>
      <c r="KIY12" s="29"/>
      <c r="KIZ12" s="45"/>
      <c r="KJB12" s="27"/>
      <c r="KJC12" s="1"/>
      <c r="KJD12" s="28"/>
      <c r="KJF12" s="28"/>
      <c r="KJG12" s="31"/>
      <c r="KJH12" s="28"/>
      <c r="KJJ12" s="28"/>
      <c r="KJK12" s="28"/>
      <c r="KJL12" s="29"/>
      <c r="KJM12" s="30"/>
      <c r="KJN12" s="31"/>
      <c r="KJO12" s="29"/>
      <c r="KJP12" s="45"/>
      <c r="KJR12" s="27"/>
      <c r="KJS12" s="1"/>
      <c r="KJT12" s="28"/>
      <c r="KJV12" s="28"/>
      <c r="KJW12" s="31"/>
      <c r="KJX12" s="28"/>
      <c r="KJZ12" s="28"/>
      <c r="KKA12" s="28"/>
      <c r="KKB12" s="29"/>
      <c r="KKC12" s="30"/>
      <c r="KKD12" s="31"/>
      <c r="KKE12" s="29"/>
      <c r="KKF12" s="45"/>
      <c r="KKH12" s="27"/>
      <c r="KKI12" s="1"/>
      <c r="KKJ12" s="28"/>
      <c r="KKL12" s="28"/>
      <c r="KKM12" s="31"/>
      <c r="KKN12" s="28"/>
      <c r="KKP12" s="28"/>
      <c r="KKQ12" s="28"/>
      <c r="KKR12" s="29"/>
      <c r="KKS12" s="30"/>
      <c r="KKT12" s="31"/>
      <c r="KKU12" s="29"/>
      <c r="KKV12" s="45"/>
      <c r="KKX12" s="27"/>
      <c r="KKY12" s="1"/>
      <c r="KKZ12" s="28"/>
      <c r="KLB12" s="28"/>
      <c r="KLC12" s="31"/>
      <c r="KLD12" s="28"/>
      <c r="KLF12" s="28"/>
      <c r="KLG12" s="28"/>
      <c r="KLH12" s="29"/>
      <c r="KLI12" s="30"/>
      <c r="KLJ12" s="31"/>
      <c r="KLK12" s="29"/>
      <c r="KLL12" s="45"/>
      <c r="KLN12" s="27"/>
      <c r="KLO12" s="1"/>
      <c r="KLP12" s="28"/>
      <c r="KLR12" s="28"/>
      <c r="KLS12" s="31"/>
      <c r="KLT12" s="28"/>
      <c r="KLV12" s="28"/>
      <c r="KLW12" s="28"/>
      <c r="KLX12" s="29"/>
      <c r="KLY12" s="30"/>
      <c r="KLZ12" s="31"/>
      <c r="KMA12" s="29"/>
      <c r="KMB12" s="45"/>
      <c r="KMD12" s="27"/>
      <c r="KME12" s="1"/>
      <c r="KMF12" s="28"/>
      <c r="KMH12" s="28"/>
      <c r="KMI12" s="31"/>
      <c r="KMJ12" s="28"/>
      <c r="KML12" s="28"/>
      <c r="KMM12" s="28"/>
      <c r="KMN12" s="29"/>
      <c r="KMO12" s="30"/>
      <c r="KMP12" s="31"/>
      <c r="KMQ12" s="29"/>
      <c r="KMR12" s="45"/>
      <c r="KMT12" s="27"/>
      <c r="KMU12" s="1"/>
      <c r="KMV12" s="28"/>
      <c r="KMX12" s="28"/>
      <c r="KMY12" s="31"/>
      <c r="KMZ12" s="28"/>
      <c r="KNB12" s="28"/>
      <c r="KNC12" s="28"/>
      <c r="KND12" s="29"/>
      <c r="KNE12" s="30"/>
      <c r="KNF12" s="31"/>
      <c r="KNG12" s="29"/>
      <c r="KNH12" s="45"/>
      <c r="KNJ12" s="27"/>
      <c r="KNK12" s="1"/>
      <c r="KNL12" s="28"/>
      <c r="KNN12" s="28"/>
      <c r="KNO12" s="31"/>
      <c r="KNP12" s="28"/>
      <c r="KNR12" s="28"/>
      <c r="KNS12" s="28"/>
      <c r="KNT12" s="29"/>
      <c r="KNU12" s="30"/>
      <c r="KNV12" s="31"/>
      <c r="KNW12" s="29"/>
      <c r="KNX12" s="45"/>
      <c r="KNZ12" s="27"/>
      <c r="KOA12" s="1"/>
      <c r="KOB12" s="28"/>
      <c r="KOD12" s="28"/>
      <c r="KOE12" s="31"/>
      <c r="KOF12" s="28"/>
      <c r="KOH12" s="28"/>
      <c r="KOI12" s="28"/>
      <c r="KOJ12" s="29"/>
      <c r="KOK12" s="30"/>
      <c r="KOL12" s="31"/>
      <c r="KOM12" s="29"/>
      <c r="KON12" s="45"/>
      <c r="KOP12" s="27"/>
      <c r="KOQ12" s="1"/>
      <c r="KOR12" s="28"/>
      <c r="KOT12" s="28"/>
      <c r="KOU12" s="31"/>
      <c r="KOV12" s="28"/>
      <c r="KOX12" s="28"/>
      <c r="KOY12" s="28"/>
      <c r="KOZ12" s="29"/>
      <c r="KPA12" s="30"/>
      <c r="KPB12" s="31"/>
      <c r="KPC12" s="29"/>
      <c r="KPD12" s="45"/>
      <c r="KPF12" s="27"/>
      <c r="KPG12" s="1"/>
      <c r="KPH12" s="28"/>
      <c r="KPJ12" s="28"/>
      <c r="KPK12" s="31"/>
      <c r="KPL12" s="28"/>
      <c r="KPN12" s="28"/>
      <c r="KPO12" s="28"/>
      <c r="KPP12" s="29"/>
      <c r="KPQ12" s="30"/>
      <c r="KPR12" s="31"/>
      <c r="KPS12" s="29"/>
      <c r="KPT12" s="45"/>
      <c r="KPV12" s="27"/>
      <c r="KPW12" s="1"/>
      <c r="KPX12" s="28"/>
      <c r="KPZ12" s="28"/>
      <c r="KQA12" s="31"/>
      <c r="KQB12" s="28"/>
      <c r="KQD12" s="28"/>
      <c r="KQE12" s="28"/>
      <c r="KQF12" s="29"/>
      <c r="KQG12" s="30"/>
      <c r="KQH12" s="31"/>
      <c r="KQI12" s="29"/>
      <c r="KQJ12" s="45"/>
      <c r="KQL12" s="27"/>
      <c r="KQM12" s="1"/>
      <c r="KQN12" s="28"/>
      <c r="KQP12" s="28"/>
      <c r="KQQ12" s="31"/>
      <c r="KQR12" s="28"/>
      <c r="KQT12" s="28"/>
      <c r="KQU12" s="28"/>
      <c r="KQV12" s="29"/>
      <c r="KQW12" s="30"/>
      <c r="KQX12" s="31"/>
      <c r="KQY12" s="29"/>
      <c r="KQZ12" s="45"/>
      <c r="KRB12" s="27"/>
      <c r="KRC12" s="1"/>
      <c r="KRD12" s="28"/>
      <c r="KRF12" s="28"/>
      <c r="KRG12" s="31"/>
      <c r="KRH12" s="28"/>
      <c r="KRJ12" s="28"/>
      <c r="KRK12" s="28"/>
      <c r="KRL12" s="29"/>
      <c r="KRM12" s="30"/>
      <c r="KRN12" s="31"/>
      <c r="KRO12" s="29"/>
      <c r="KRP12" s="45"/>
      <c r="KRR12" s="27"/>
      <c r="KRS12" s="1"/>
      <c r="KRT12" s="28"/>
      <c r="KRV12" s="28"/>
      <c r="KRW12" s="31"/>
      <c r="KRX12" s="28"/>
      <c r="KRZ12" s="28"/>
      <c r="KSA12" s="28"/>
      <c r="KSB12" s="29"/>
      <c r="KSC12" s="30"/>
      <c r="KSD12" s="31"/>
      <c r="KSE12" s="29"/>
      <c r="KSF12" s="45"/>
      <c r="KSH12" s="27"/>
      <c r="KSI12" s="1"/>
      <c r="KSJ12" s="28"/>
      <c r="KSL12" s="28"/>
      <c r="KSM12" s="31"/>
      <c r="KSN12" s="28"/>
      <c r="KSP12" s="28"/>
      <c r="KSQ12" s="28"/>
      <c r="KSR12" s="29"/>
      <c r="KSS12" s="30"/>
      <c r="KST12" s="31"/>
      <c r="KSU12" s="29"/>
      <c r="KSV12" s="45"/>
      <c r="KSX12" s="27"/>
      <c r="KSY12" s="1"/>
      <c r="KSZ12" s="28"/>
      <c r="KTB12" s="28"/>
      <c r="KTC12" s="31"/>
      <c r="KTD12" s="28"/>
      <c r="KTF12" s="28"/>
      <c r="KTG12" s="28"/>
      <c r="KTH12" s="29"/>
      <c r="KTI12" s="30"/>
      <c r="KTJ12" s="31"/>
      <c r="KTK12" s="29"/>
      <c r="KTL12" s="45"/>
      <c r="KTN12" s="27"/>
      <c r="KTO12" s="1"/>
      <c r="KTP12" s="28"/>
      <c r="KTR12" s="28"/>
      <c r="KTS12" s="31"/>
      <c r="KTT12" s="28"/>
      <c r="KTV12" s="28"/>
      <c r="KTW12" s="28"/>
      <c r="KTX12" s="29"/>
      <c r="KTY12" s="30"/>
      <c r="KTZ12" s="31"/>
      <c r="KUA12" s="29"/>
      <c r="KUB12" s="45"/>
      <c r="KUD12" s="27"/>
      <c r="KUE12" s="1"/>
      <c r="KUF12" s="28"/>
      <c r="KUH12" s="28"/>
      <c r="KUI12" s="31"/>
      <c r="KUJ12" s="28"/>
      <c r="KUL12" s="28"/>
      <c r="KUM12" s="28"/>
      <c r="KUN12" s="29"/>
      <c r="KUO12" s="30"/>
      <c r="KUP12" s="31"/>
      <c r="KUQ12" s="29"/>
      <c r="KUR12" s="45"/>
      <c r="KUT12" s="27"/>
      <c r="KUU12" s="1"/>
      <c r="KUV12" s="28"/>
      <c r="KUX12" s="28"/>
      <c r="KUY12" s="31"/>
      <c r="KUZ12" s="28"/>
      <c r="KVB12" s="28"/>
      <c r="KVC12" s="28"/>
      <c r="KVD12" s="29"/>
      <c r="KVE12" s="30"/>
      <c r="KVF12" s="31"/>
      <c r="KVG12" s="29"/>
      <c r="KVH12" s="45"/>
      <c r="KVJ12" s="27"/>
      <c r="KVK12" s="1"/>
      <c r="KVL12" s="28"/>
      <c r="KVN12" s="28"/>
      <c r="KVO12" s="31"/>
      <c r="KVP12" s="28"/>
      <c r="KVR12" s="28"/>
      <c r="KVS12" s="28"/>
      <c r="KVT12" s="29"/>
      <c r="KVU12" s="30"/>
      <c r="KVV12" s="31"/>
      <c r="KVW12" s="29"/>
      <c r="KVX12" s="45"/>
      <c r="KVZ12" s="27"/>
      <c r="KWA12" s="1"/>
      <c r="KWB12" s="28"/>
      <c r="KWD12" s="28"/>
      <c r="KWE12" s="31"/>
      <c r="KWF12" s="28"/>
      <c r="KWH12" s="28"/>
      <c r="KWI12" s="28"/>
      <c r="KWJ12" s="29"/>
      <c r="KWK12" s="30"/>
      <c r="KWL12" s="31"/>
      <c r="KWM12" s="29"/>
      <c r="KWN12" s="45"/>
      <c r="KWP12" s="27"/>
      <c r="KWQ12" s="1"/>
      <c r="KWR12" s="28"/>
      <c r="KWT12" s="28"/>
      <c r="KWU12" s="31"/>
      <c r="KWV12" s="28"/>
      <c r="KWX12" s="28"/>
      <c r="KWY12" s="28"/>
      <c r="KWZ12" s="29"/>
      <c r="KXA12" s="30"/>
      <c r="KXB12" s="31"/>
      <c r="KXC12" s="29"/>
      <c r="KXD12" s="45"/>
      <c r="KXF12" s="27"/>
      <c r="KXG12" s="1"/>
      <c r="KXH12" s="28"/>
      <c r="KXJ12" s="28"/>
      <c r="KXK12" s="31"/>
      <c r="KXL12" s="28"/>
      <c r="KXN12" s="28"/>
      <c r="KXO12" s="28"/>
      <c r="KXP12" s="29"/>
      <c r="KXQ12" s="30"/>
      <c r="KXR12" s="31"/>
      <c r="KXS12" s="29"/>
      <c r="KXT12" s="45"/>
      <c r="KXV12" s="27"/>
      <c r="KXW12" s="1"/>
      <c r="KXX12" s="28"/>
      <c r="KXZ12" s="28"/>
      <c r="KYA12" s="31"/>
      <c r="KYB12" s="28"/>
      <c r="KYD12" s="28"/>
      <c r="KYE12" s="28"/>
      <c r="KYF12" s="29"/>
      <c r="KYG12" s="30"/>
      <c r="KYH12" s="31"/>
      <c r="KYI12" s="29"/>
      <c r="KYJ12" s="45"/>
      <c r="KYL12" s="27"/>
      <c r="KYM12" s="1"/>
      <c r="KYN12" s="28"/>
      <c r="KYP12" s="28"/>
      <c r="KYQ12" s="31"/>
      <c r="KYR12" s="28"/>
      <c r="KYT12" s="28"/>
      <c r="KYU12" s="28"/>
      <c r="KYV12" s="29"/>
      <c r="KYW12" s="30"/>
      <c r="KYX12" s="31"/>
      <c r="KYY12" s="29"/>
      <c r="KYZ12" s="45"/>
      <c r="KZB12" s="27"/>
      <c r="KZC12" s="1"/>
      <c r="KZD12" s="28"/>
      <c r="KZF12" s="28"/>
      <c r="KZG12" s="31"/>
      <c r="KZH12" s="28"/>
      <c r="KZJ12" s="28"/>
      <c r="KZK12" s="28"/>
      <c r="KZL12" s="29"/>
      <c r="KZM12" s="30"/>
      <c r="KZN12" s="31"/>
      <c r="KZO12" s="29"/>
      <c r="KZP12" s="45"/>
      <c r="KZR12" s="27"/>
      <c r="KZS12" s="1"/>
      <c r="KZT12" s="28"/>
      <c r="KZV12" s="28"/>
      <c r="KZW12" s="31"/>
      <c r="KZX12" s="28"/>
      <c r="KZZ12" s="28"/>
      <c r="LAA12" s="28"/>
      <c r="LAB12" s="29"/>
      <c r="LAC12" s="30"/>
      <c r="LAD12" s="31"/>
      <c r="LAE12" s="29"/>
      <c r="LAF12" s="45"/>
      <c r="LAH12" s="27"/>
      <c r="LAI12" s="1"/>
      <c r="LAJ12" s="28"/>
      <c r="LAL12" s="28"/>
      <c r="LAM12" s="31"/>
      <c r="LAN12" s="28"/>
      <c r="LAP12" s="28"/>
      <c r="LAQ12" s="28"/>
      <c r="LAR12" s="29"/>
      <c r="LAS12" s="30"/>
      <c r="LAT12" s="31"/>
      <c r="LAU12" s="29"/>
      <c r="LAV12" s="45"/>
      <c r="LAX12" s="27"/>
      <c r="LAY12" s="1"/>
      <c r="LAZ12" s="28"/>
      <c r="LBB12" s="28"/>
      <c r="LBC12" s="31"/>
      <c r="LBD12" s="28"/>
      <c r="LBF12" s="28"/>
      <c r="LBG12" s="28"/>
      <c r="LBH12" s="29"/>
      <c r="LBI12" s="30"/>
      <c r="LBJ12" s="31"/>
      <c r="LBK12" s="29"/>
      <c r="LBL12" s="45"/>
      <c r="LBN12" s="27"/>
      <c r="LBO12" s="1"/>
      <c r="LBP12" s="28"/>
      <c r="LBR12" s="28"/>
      <c r="LBS12" s="31"/>
      <c r="LBT12" s="28"/>
      <c r="LBV12" s="28"/>
      <c r="LBW12" s="28"/>
      <c r="LBX12" s="29"/>
      <c r="LBY12" s="30"/>
      <c r="LBZ12" s="31"/>
      <c r="LCA12" s="29"/>
      <c r="LCB12" s="45"/>
      <c r="LCD12" s="27"/>
      <c r="LCE12" s="1"/>
      <c r="LCF12" s="28"/>
      <c r="LCH12" s="28"/>
      <c r="LCI12" s="31"/>
      <c r="LCJ12" s="28"/>
      <c r="LCL12" s="28"/>
      <c r="LCM12" s="28"/>
      <c r="LCN12" s="29"/>
      <c r="LCO12" s="30"/>
      <c r="LCP12" s="31"/>
      <c r="LCQ12" s="29"/>
      <c r="LCR12" s="45"/>
      <c r="LCT12" s="27"/>
      <c r="LCU12" s="1"/>
      <c r="LCV12" s="28"/>
      <c r="LCX12" s="28"/>
      <c r="LCY12" s="31"/>
      <c r="LCZ12" s="28"/>
      <c r="LDB12" s="28"/>
      <c r="LDC12" s="28"/>
      <c r="LDD12" s="29"/>
      <c r="LDE12" s="30"/>
      <c r="LDF12" s="31"/>
      <c r="LDG12" s="29"/>
      <c r="LDH12" s="45"/>
      <c r="LDJ12" s="27"/>
      <c r="LDK12" s="1"/>
      <c r="LDL12" s="28"/>
      <c r="LDN12" s="28"/>
      <c r="LDO12" s="31"/>
      <c r="LDP12" s="28"/>
      <c r="LDR12" s="28"/>
      <c r="LDS12" s="28"/>
      <c r="LDT12" s="29"/>
      <c r="LDU12" s="30"/>
      <c r="LDV12" s="31"/>
      <c r="LDW12" s="29"/>
      <c r="LDX12" s="45"/>
      <c r="LDZ12" s="27"/>
      <c r="LEA12" s="1"/>
      <c r="LEB12" s="28"/>
      <c r="LED12" s="28"/>
      <c r="LEE12" s="31"/>
      <c r="LEF12" s="28"/>
      <c r="LEH12" s="28"/>
      <c r="LEI12" s="28"/>
      <c r="LEJ12" s="29"/>
      <c r="LEK12" s="30"/>
      <c r="LEL12" s="31"/>
      <c r="LEM12" s="29"/>
      <c r="LEN12" s="45"/>
      <c r="LEP12" s="27"/>
      <c r="LEQ12" s="1"/>
      <c r="LER12" s="28"/>
      <c r="LET12" s="28"/>
      <c r="LEU12" s="31"/>
      <c r="LEV12" s="28"/>
      <c r="LEX12" s="28"/>
      <c r="LEY12" s="28"/>
      <c r="LEZ12" s="29"/>
      <c r="LFA12" s="30"/>
      <c r="LFB12" s="31"/>
      <c r="LFC12" s="29"/>
      <c r="LFD12" s="45"/>
      <c r="LFF12" s="27"/>
      <c r="LFG12" s="1"/>
      <c r="LFH12" s="28"/>
      <c r="LFJ12" s="28"/>
      <c r="LFK12" s="31"/>
      <c r="LFL12" s="28"/>
      <c r="LFN12" s="28"/>
      <c r="LFO12" s="28"/>
      <c r="LFP12" s="29"/>
      <c r="LFQ12" s="30"/>
      <c r="LFR12" s="31"/>
      <c r="LFS12" s="29"/>
      <c r="LFT12" s="45"/>
      <c r="LFV12" s="27"/>
      <c r="LFW12" s="1"/>
      <c r="LFX12" s="28"/>
      <c r="LFZ12" s="28"/>
      <c r="LGA12" s="31"/>
      <c r="LGB12" s="28"/>
      <c r="LGD12" s="28"/>
      <c r="LGE12" s="28"/>
      <c r="LGF12" s="29"/>
      <c r="LGG12" s="30"/>
      <c r="LGH12" s="31"/>
      <c r="LGI12" s="29"/>
      <c r="LGJ12" s="45"/>
      <c r="LGL12" s="27"/>
      <c r="LGM12" s="1"/>
      <c r="LGN12" s="28"/>
      <c r="LGP12" s="28"/>
      <c r="LGQ12" s="31"/>
      <c r="LGR12" s="28"/>
      <c r="LGT12" s="28"/>
      <c r="LGU12" s="28"/>
      <c r="LGV12" s="29"/>
      <c r="LGW12" s="30"/>
      <c r="LGX12" s="31"/>
      <c r="LGY12" s="29"/>
      <c r="LGZ12" s="45"/>
      <c r="LHB12" s="27"/>
      <c r="LHC12" s="1"/>
      <c r="LHD12" s="28"/>
      <c r="LHF12" s="28"/>
      <c r="LHG12" s="31"/>
      <c r="LHH12" s="28"/>
      <c r="LHJ12" s="28"/>
      <c r="LHK12" s="28"/>
      <c r="LHL12" s="29"/>
      <c r="LHM12" s="30"/>
      <c r="LHN12" s="31"/>
      <c r="LHO12" s="29"/>
      <c r="LHP12" s="45"/>
      <c r="LHR12" s="27"/>
      <c r="LHS12" s="1"/>
      <c r="LHT12" s="28"/>
      <c r="LHV12" s="28"/>
      <c r="LHW12" s="31"/>
      <c r="LHX12" s="28"/>
      <c r="LHZ12" s="28"/>
      <c r="LIA12" s="28"/>
      <c r="LIB12" s="29"/>
      <c r="LIC12" s="30"/>
      <c r="LID12" s="31"/>
      <c r="LIE12" s="29"/>
      <c r="LIF12" s="45"/>
      <c r="LIH12" s="27"/>
      <c r="LII12" s="1"/>
      <c r="LIJ12" s="28"/>
      <c r="LIL12" s="28"/>
      <c r="LIM12" s="31"/>
      <c r="LIN12" s="28"/>
      <c r="LIP12" s="28"/>
      <c r="LIQ12" s="28"/>
      <c r="LIR12" s="29"/>
      <c r="LIS12" s="30"/>
      <c r="LIT12" s="31"/>
      <c r="LIU12" s="29"/>
      <c r="LIV12" s="45"/>
      <c r="LIX12" s="27"/>
      <c r="LIY12" s="1"/>
      <c r="LIZ12" s="28"/>
      <c r="LJB12" s="28"/>
      <c r="LJC12" s="31"/>
      <c r="LJD12" s="28"/>
      <c r="LJF12" s="28"/>
      <c r="LJG12" s="28"/>
      <c r="LJH12" s="29"/>
      <c r="LJI12" s="30"/>
      <c r="LJJ12" s="31"/>
      <c r="LJK12" s="29"/>
      <c r="LJL12" s="45"/>
      <c r="LJN12" s="27"/>
      <c r="LJO12" s="1"/>
      <c r="LJP12" s="28"/>
      <c r="LJR12" s="28"/>
      <c r="LJS12" s="31"/>
      <c r="LJT12" s="28"/>
      <c r="LJV12" s="28"/>
      <c r="LJW12" s="28"/>
      <c r="LJX12" s="29"/>
      <c r="LJY12" s="30"/>
      <c r="LJZ12" s="31"/>
      <c r="LKA12" s="29"/>
      <c r="LKB12" s="45"/>
      <c r="LKD12" s="27"/>
      <c r="LKE12" s="1"/>
      <c r="LKF12" s="28"/>
      <c r="LKH12" s="28"/>
      <c r="LKI12" s="31"/>
      <c r="LKJ12" s="28"/>
      <c r="LKL12" s="28"/>
      <c r="LKM12" s="28"/>
      <c r="LKN12" s="29"/>
      <c r="LKO12" s="30"/>
      <c r="LKP12" s="31"/>
      <c r="LKQ12" s="29"/>
      <c r="LKR12" s="45"/>
      <c r="LKT12" s="27"/>
      <c r="LKU12" s="1"/>
      <c r="LKV12" s="28"/>
      <c r="LKX12" s="28"/>
      <c r="LKY12" s="31"/>
      <c r="LKZ12" s="28"/>
      <c r="LLB12" s="28"/>
      <c r="LLC12" s="28"/>
      <c r="LLD12" s="29"/>
      <c r="LLE12" s="30"/>
      <c r="LLF12" s="31"/>
      <c r="LLG12" s="29"/>
      <c r="LLH12" s="45"/>
      <c r="LLJ12" s="27"/>
      <c r="LLK12" s="1"/>
      <c r="LLL12" s="28"/>
      <c r="LLN12" s="28"/>
      <c r="LLO12" s="31"/>
      <c r="LLP12" s="28"/>
      <c r="LLR12" s="28"/>
      <c r="LLS12" s="28"/>
      <c r="LLT12" s="29"/>
      <c r="LLU12" s="30"/>
      <c r="LLV12" s="31"/>
      <c r="LLW12" s="29"/>
      <c r="LLX12" s="45"/>
      <c r="LLZ12" s="27"/>
      <c r="LMA12" s="1"/>
      <c r="LMB12" s="28"/>
      <c r="LMD12" s="28"/>
      <c r="LME12" s="31"/>
      <c r="LMF12" s="28"/>
      <c r="LMH12" s="28"/>
      <c r="LMI12" s="28"/>
      <c r="LMJ12" s="29"/>
      <c r="LMK12" s="30"/>
      <c r="LML12" s="31"/>
      <c r="LMM12" s="29"/>
      <c r="LMN12" s="45"/>
      <c r="LMP12" s="27"/>
      <c r="LMQ12" s="1"/>
      <c r="LMR12" s="28"/>
      <c r="LMT12" s="28"/>
      <c r="LMU12" s="31"/>
      <c r="LMV12" s="28"/>
      <c r="LMX12" s="28"/>
      <c r="LMY12" s="28"/>
      <c r="LMZ12" s="29"/>
      <c r="LNA12" s="30"/>
      <c r="LNB12" s="31"/>
      <c r="LNC12" s="29"/>
      <c r="LND12" s="45"/>
      <c r="LNF12" s="27"/>
      <c r="LNG12" s="1"/>
      <c r="LNH12" s="28"/>
      <c r="LNJ12" s="28"/>
      <c r="LNK12" s="31"/>
      <c r="LNL12" s="28"/>
      <c r="LNN12" s="28"/>
      <c r="LNO12" s="28"/>
      <c r="LNP12" s="29"/>
      <c r="LNQ12" s="30"/>
      <c r="LNR12" s="31"/>
      <c r="LNS12" s="29"/>
      <c r="LNT12" s="45"/>
      <c r="LNV12" s="27"/>
      <c r="LNW12" s="1"/>
      <c r="LNX12" s="28"/>
      <c r="LNZ12" s="28"/>
      <c r="LOA12" s="31"/>
      <c r="LOB12" s="28"/>
      <c r="LOD12" s="28"/>
      <c r="LOE12" s="28"/>
      <c r="LOF12" s="29"/>
      <c r="LOG12" s="30"/>
      <c r="LOH12" s="31"/>
      <c r="LOI12" s="29"/>
      <c r="LOJ12" s="45"/>
      <c r="LOL12" s="27"/>
      <c r="LOM12" s="1"/>
      <c r="LON12" s="28"/>
      <c r="LOP12" s="28"/>
      <c r="LOQ12" s="31"/>
      <c r="LOR12" s="28"/>
      <c r="LOT12" s="28"/>
      <c r="LOU12" s="28"/>
      <c r="LOV12" s="29"/>
      <c r="LOW12" s="30"/>
      <c r="LOX12" s="31"/>
      <c r="LOY12" s="29"/>
      <c r="LOZ12" s="45"/>
      <c r="LPB12" s="27"/>
      <c r="LPC12" s="1"/>
      <c r="LPD12" s="28"/>
      <c r="LPF12" s="28"/>
      <c r="LPG12" s="31"/>
      <c r="LPH12" s="28"/>
      <c r="LPJ12" s="28"/>
      <c r="LPK12" s="28"/>
      <c r="LPL12" s="29"/>
      <c r="LPM12" s="30"/>
      <c r="LPN12" s="31"/>
      <c r="LPO12" s="29"/>
      <c r="LPP12" s="45"/>
      <c r="LPR12" s="27"/>
      <c r="LPS12" s="1"/>
      <c r="LPT12" s="28"/>
      <c r="LPV12" s="28"/>
      <c r="LPW12" s="31"/>
      <c r="LPX12" s="28"/>
      <c r="LPZ12" s="28"/>
      <c r="LQA12" s="28"/>
      <c r="LQB12" s="29"/>
      <c r="LQC12" s="30"/>
      <c r="LQD12" s="31"/>
      <c r="LQE12" s="29"/>
      <c r="LQF12" s="45"/>
      <c r="LQH12" s="27"/>
      <c r="LQI12" s="1"/>
      <c r="LQJ12" s="28"/>
      <c r="LQL12" s="28"/>
      <c r="LQM12" s="31"/>
      <c r="LQN12" s="28"/>
      <c r="LQP12" s="28"/>
      <c r="LQQ12" s="28"/>
      <c r="LQR12" s="29"/>
      <c r="LQS12" s="30"/>
      <c r="LQT12" s="31"/>
      <c r="LQU12" s="29"/>
      <c r="LQV12" s="45"/>
      <c r="LQX12" s="27"/>
      <c r="LQY12" s="1"/>
      <c r="LQZ12" s="28"/>
      <c r="LRB12" s="28"/>
      <c r="LRC12" s="31"/>
      <c r="LRD12" s="28"/>
      <c r="LRF12" s="28"/>
      <c r="LRG12" s="28"/>
      <c r="LRH12" s="29"/>
      <c r="LRI12" s="30"/>
      <c r="LRJ12" s="31"/>
      <c r="LRK12" s="29"/>
      <c r="LRL12" s="45"/>
      <c r="LRN12" s="27"/>
      <c r="LRO12" s="1"/>
      <c r="LRP12" s="28"/>
      <c r="LRR12" s="28"/>
      <c r="LRS12" s="31"/>
      <c r="LRT12" s="28"/>
      <c r="LRV12" s="28"/>
      <c r="LRW12" s="28"/>
      <c r="LRX12" s="29"/>
      <c r="LRY12" s="30"/>
      <c r="LRZ12" s="31"/>
      <c r="LSA12" s="29"/>
      <c r="LSB12" s="45"/>
      <c r="LSD12" s="27"/>
      <c r="LSE12" s="1"/>
      <c r="LSF12" s="28"/>
      <c r="LSH12" s="28"/>
      <c r="LSI12" s="31"/>
      <c r="LSJ12" s="28"/>
      <c r="LSL12" s="28"/>
      <c r="LSM12" s="28"/>
      <c r="LSN12" s="29"/>
      <c r="LSO12" s="30"/>
      <c r="LSP12" s="31"/>
      <c r="LSQ12" s="29"/>
      <c r="LSR12" s="45"/>
      <c r="LST12" s="27"/>
      <c r="LSU12" s="1"/>
      <c r="LSV12" s="28"/>
      <c r="LSX12" s="28"/>
      <c r="LSY12" s="31"/>
      <c r="LSZ12" s="28"/>
      <c r="LTB12" s="28"/>
      <c r="LTC12" s="28"/>
      <c r="LTD12" s="29"/>
      <c r="LTE12" s="30"/>
      <c r="LTF12" s="31"/>
      <c r="LTG12" s="29"/>
      <c r="LTH12" s="45"/>
      <c r="LTJ12" s="27"/>
      <c r="LTK12" s="1"/>
      <c r="LTL12" s="28"/>
      <c r="LTN12" s="28"/>
      <c r="LTO12" s="31"/>
      <c r="LTP12" s="28"/>
      <c r="LTR12" s="28"/>
      <c r="LTS12" s="28"/>
      <c r="LTT12" s="29"/>
      <c r="LTU12" s="30"/>
      <c r="LTV12" s="31"/>
      <c r="LTW12" s="29"/>
      <c r="LTX12" s="45"/>
      <c r="LTZ12" s="27"/>
      <c r="LUA12" s="1"/>
      <c r="LUB12" s="28"/>
      <c r="LUD12" s="28"/>
      <c r="LUE12" s="31"/>
      <c r="LUF12" s="28"/>
      <c r="LUH12" s="28"/>
      <c r="LUI12" s="28"/>
      <c r="LUJ12" s="29"/>
      <c r="LUK12" s="30"/>
      <c r="LUL12" s="31"/>
      <c r="LUM12" s="29"/>
      <c r="LUN12" s="45"/>
      <c r="LUP12" s="27"/>
      <c r="LUQ12" s="1"/>
      <c r="LUR12" s="28"/>
      <c r="LUT12" s="28"/>
      <c r="LUU12" s="31"/>
      <c r="LUV12" s="28"/>
      <c r="LUX12" s="28"/>
      <c r="LUY12" s="28"/>
      <c r="LUZ12" s="29"/>
      <c r="LVA12" s="30"/>
      <c r="LVB12" s="31"/>
      <c r="LVC12" s="29"/>
      <c r="LVD12" s="45"/>
      <c r="LVF12" s="27"/>
      <c r="LVG12" s="1"/>
      <c r="LVH12" s="28"/>
      <c r="LVJ12" s="28"/>
      <c r="LVK12" s="31"/>
      <c r="LVL12" s="28"/>
      <c r="LVN12" s="28"/>
      <c r="LVO12" s="28"/>
      <c r="LVP12" s="29"/>
      <c r="LVQ12" s="30"/>
      <c r="LVR12" s="31"/>
      <c r="LVS12" s="29"/>
      <c r="LVT12" s="45"/>
      <c r="LVV12" s="27"/>
      <c r="LVW12" s="1"/>
      <c r="LVX12" s="28"/>
      <c r="LVZ12" s="28"/>
      <c r="LWA12" s="31"/>
      <c r="LWB12" s="28"/>
      <c r="LWD12" s="28"/>
      <c r="LWE12" s="28"/>
      <c r="LWF12" s="29"/>
      <c r="LWG12" s="30"/>
      <c r="LWH12" s="31"/>
      <c r="LWI12" s="29"/>
      <c r="LWJ12" s="45"/>
      <c r="LWL12" s="27"/>
      <c r="LWM12" s="1"/>
      <c r="LWN12" s="28"/>
      <c r="LWP12" s="28"/>
      <c r="LWQ12" s="31"/>
      <c r="LWR12" s="28"/>
      <c r="LWT12" s="28"/>
      <c r="LWU12" s="28"/>
      <c r="LWV12" s="29"/>
      <c r="LWW12" s="30"/>
      <c r="LWX12" s="31"/>
      <c r="LWY12" s="29"/>
      <c r="LWZ12" s="45"/>
      <c r="LXB12" s="27"/>
      <c r="LXC12" s="1"/>
      <c r="LXD12" s="28"/>
      <c r="LXF12" s="28"/>
      <c r="LXG12" s="31"/>
      <c r="LXH12" s="28"/>
      <c r="LXJ12" s="28"/>
      <c r="LXK12" s="28"/>
      <c r="LXL12" s="29"/>
      <c r="LXM12" s="30"/>
      <c r="LXN12" s="31"/>
      <c r="LXO12" s="29"/>
      <c r="LXP12" s="45"/>
      <c r="LXR12" s="27"/>
      <c r="LXS12" s="1"/>
      <c r="LXT12" s="28"/>
      <c r="LXV12" s="28"/>
      <c r="LXW12" s="31"/>
      <c r="LXX12" s="28"/>
      <c r="LXZ12" s="28"/>
      <c r="LYA12" s="28"/>
      <c r="LYB12" s="29"/>
      <c r="LYC12" s="30"/>
      <c r="LYD12" s="31"/>
      <c r="LYE12" s="29"/>
      <c r="LYF12" s="45"/>
      <c r="LYH12" s="27"/>
      <c r="LYI12" s="1"/>
      <c r="LYJ12" s="28"/>
      <c r="LYL12" s="28"/>
      <c r="LYM12" s="31"/>
      <c r="LYN12" s="28"/>
      <c r="LYP12" s="28"/>
      <c r="LYQ12" s="28"/>
      <c r="LYR12" s="29"/>
      <c r="LYS12" s="30"/>
      <c r="LYT12" s="31"/>
      <c r="LYU12" s="29"/>
      <c r="LYV12" s="45"/>
      <c r="LYX12" s="27"/>
      <c r="LYY12" s="1"/>
      <c r="LYZ12" s="28"/>
      <c r="LZB12" s="28"/>
      <c r="LZC12" s="31"/>
      <c r="LZD12" s="28"/>
      <c r="LZF12" s="28"/>
      <c r="LZG12" s="28"/>
      <c r="LZH12" s="29"/>
      <c r="LZI12" s="30"/>
      <c r="LZJ12" s="31"/>
      <c r="LZK12" s="29"/>
      <c r="LZL12" s="45"/>
      <c r="LZN12" s="27"/>
      <c r="LZO12" s="1"/>
      <c r="LZP12" s="28"/>
      <c r="LZR12" s="28"/>
      <c r="LZS12" s="31"/>
      <c r="LZT12" s="28"/>
      <c r="LZV12" s="28"/>
      <c r="LZW12" s="28"/>
      <c r="LZX12" s="29"/>
      <c r="LZY12" s="30"/>
      <c r="LZZ12" s="31"/>
      <c r="MAA12" s="29"/>
      <c r="MAB12" s="45"/>
      <c r="MAD12" s="27"/>
      <c r="MAE12" s="1"/>
      <c r="MAF12" s="28"/>
      <c r="MAH12" s="28"/>
      <c r="MAI12" s="31"/>
      <c r="MAJ12" s="28"/>
      <c r="MAL12" s="28"/>
      <c r="MAM12" s="28"/>
      <c r="MAN12" s="29"/>
      <c r="MAO12" s="30"/>
      <c r="MAP12" s="31"/>
      <c r="MAQ12" s="29"/>
      <c r="MAR12" s="45"/>
      <c r="MAT12" s="27"/>
      <c r="MAU12" s="1"/>
      <c r="MAV12" s="28"/>
      <c r="MAX12" s="28"/>
      <c r="MAY12" s="31"/>
      <c r="MAZ12" s="28"/>
      <c r="MBB12" s="28"/>
      <c r="MBC12" s="28"/>
      <c r="MBD12" s="29"/>
      <c r="MBE12" s="30"/>
      <c r="MBF12" s="31"/>
      <c r="MBG12" s="29"/>
      <c r="MBH12" s="45"/>
      <c r="MBJ12" s="27"/>
      <c r="MBK12" s="1"/>
      <c r="MBL12" s="28"/>
      <c r="MBN12" s="28"/>
      <c r="MBO12" s="31"/>
      <c r="MBP12" s="28"/>
      <c r="MBR12" s="28"/>
      <c r="MBS12" s="28"/>
      <c r="MBT12" s="29"/>
      <c r="MBU12" s="30"/>
      <c r="MBV12" s="31"/>
      <c r="MBW12" s="29"/>
      <c r="MBX12" s="45"/>
      <c r="MBZ12" s="27"/>
      <c r="MCA12" s="1"/>
      <c r="MCB12" s="28"/>
      <c r="MCD12" s="28"/>
      <c r="MCE12" s="31"/>
      <c r="MCF12" s="28"/>
      <c r="MCH12" s="28"/>
      <c r="MCI12" s="28"/>
      <c r="MCJ12" s="29"/>
      <c r="MCK12" s="30"/>
      <c r="MCL12" s="31"/>
      <c r="MCM12" s="29"/>
      <c r="MCN12" s="45"/>
      <c r="MCP12" s="27"/>
      <c r="MCQ12" s="1"/>
      <c r="MCR12" s="28"/>
      <c r="MCT12" s="28"/>
      <c r="MCU12" s="31"/>
      <c r="MCV12" s="28"/>
      <c r="MCX12" s="28"/>
      <c r="MCY12" s="28"/>
      <c r="MCZ12" s="29"/>
      <c r="MDA12" s="30"/>
      <c r="MDB12" s="31"/>
      <c r="MDC12" s="29"/>
      <c r="MDD12" s="45"/>
      <c r="MDF12" s="27"/>
      <c r="MDG12" s="1"/>
      <c r="MDH12" s="28"/>
      <c r="MDJ12" s="28"/>
      <c r="MDK12" s="31"/>
      <c r="MDL12" s="28"/>
      <c r="MDN12" s="28"/>
      <c r="MDO12" s="28"/>
      <c r="MDP12" s="29"/>
      <c r="MDQ12" s="30"/>
      <c r="MDR12" s="31"/>
      <c r="MDS12" s="29"/>
      <c r="MDT12" s="45"/>
      <c r="MDV12" s="27"/>
      <c r="MDW12" s="1"/>
      <c r="MDX12" s="28"/>
      <c r="MDZ12" s="28"/>
      <c r="MEA12" s="31"/>
      <c r="MEB12" s="28"/>
      <c r="MED12" s="28"/>
      <c r="MEE12" s="28"/>
      <c r="MEF12" s="29"/>
      <c r="MEG12" s="30"/>
      <c r="MEH12" s="31"/>
      <c r="MEI12" s="29"/>
      <c r="MEJ12" s="45"/>
      <c r="MEL12" s="27"/>
      <c r="MEM12" s="1"/>
      <c r="MEN12" s="28"/>
      <c r="MEP12" s="28"/>
      <c r="MEQ12" s="31"/>
      <c r="MER12" s="28"/>
      <c r="MET12" s="28"/>
      <c r="MEU12" s="28"/>
      <c r="MEV12" s="29"/>
      <c r="MEW12" s="30"/>
      <c r="MEX12" s="31"/>
      <c r="MEY12" s="29"/>
      <c r="MEZ12" s="45"/>
      <c r="MFB12" s="27"/>
      <c r="MFC12" s="1"/>
      <c r="MFD12" s="28"/>
      <c r="MFF12" s="28"/>
      <c r="MFG12" s="31"/>
      <c r="MFH12" s="28"/>
      <c r="MFJ12" s="28"/>
      <c r="MFK12" s="28"/>
      <c r="MFL12" s="29"/>
      <c r="MFM12" s="30"/>
      <c r="MFN12" s="31"/>
      <c r="MFO12" s="29"/>
      <c r="MFP12" s="45"/>
      <c r="MFR12" s="27"/>
      <c r="MFS12" s="1"/>
      <c r="MFT12" s="28"/>
      <c r="MFV12" s="28"/>
      <c r="MFW12" s="31"/>
      <c r="MFX12" s="28"/>
      <c r="MFZ12" s="28"/>
      <c r="MGA12" s="28"/>
      <c r="MGB12" s="29"/>
      <c r="MGC12" s="30"/>
      <c r="MGD12" s="31"/>
      <c r="MGE12" s="29"/>
      <c r="MGF12" s="45"/>
      <c r="MGH12" s="27"/>
      <c r="MGI12" s="1"/>
      <c r="MGJ12" s="28"/>
      <c r="MGL12" s="28"/>
      <c r="MGM12" s="31"/>
      <c r="MGN12" s="28"/>
      <c r="MGP12" s="28"/>
      <c r="MGQ12" s="28"/>
      <c r="MGR12" s="29"/>
      <c r="MGS12" s="30"/>
      <c r="MGT12" s="31"/>
      <c r="MGU12" s="29"/>
      <c r="MGV12" s="45"/>
      <c r="MGX12" s="27"/>
      <c r="MGY12" s="1"/>
      <c r="MGZ12" s="28"/>
      <c r="MHB12" s="28"/>
      <c r="MHC12" s="31"/>
      <c r="MHD12" s="28"/>
      <c r="MHF12" s="28"/>
      <c r="MHG12" s="28"/>
      <c r="MHH12" s="29"/>
      <c r="MHI12" s="30"/>
      <c r="MHJ12" s="31"/>
      <c r="MHK12" s="29"/>
      <c r="MHL12" s="45"/>
      <c r="MHN12" s="27"/>
      <c r="MHO12" s="1"/>
      <c r="MHP12" s="28"/>
      <c r="MHR12" s="28"/>
      <c r="MHS12" s="31"/>
      <c r="MHT12" s="28"/>
      <c r="MHV12" s="28"/>
      <c r="MHW12" s="28"/>
      <c r="MHX12" s="29"/>
      <c r="MHY12" s="30"/>
      <c r="MHZ12" s="31"/>
      <c r="MIA12" s="29"/>
      <c r="MIB12" s="45"/>
      <c r="MID12" s="27"/>
      <c r="MIE12" s="1"/>
      <c r="MIF12" s="28"/>
      <c r="MIH12" s="28"/>
      <c r="MII12" s="31"/>
      <c r="MIJ12" s="28"/>
      <c r="MIL12" s="28"/>
      <c r="MIM12" s="28"/>
      <c r="MIN12" s="29"/>
      <c r="MIO12" s="30"/>
      <c r="MIP12" s="31"/>
      <c r="MIQ12" s="29"/>
      <c r="MIR12" s="45"/>
      <c r="MIT12" s="27"/>
      <c r="MIU12" s="1"/>
      <c r="MIV12" s="28"/>
      <c r="MIX12" s="28"/>
      <c r="MIY12" s="31"/>
      <c r="MIZ12" s="28"/>
      <c r="MJB12" s="28"/>
      <c r="MJC12" s="28"/>
      <c r="MJD12" s="29"/>
      <c r="MJE12" s="30"/>
      <c r="MJF12" s="31"/>
      <c r="MJG12" s="29"/>
      <c r="MJH12" s="45"/>
      <c r="MJJ12" s="27"/>
      <c r="MJK12" s="1"/>
      <c r="MJL12" s="28"/>
      <c r="MJN12" s="28"/>
      <c r="MJO12" s="31"/>
      <c r="MJP12" s="28"/>
      <c r="MJR12" s="28"/>
      <c r="MJS12" s="28"/>
      <c r="MJT12" s="29"/>
      <c r="MJU12" s="30"/>
      <c r="MJV12" s="31"/>
      <c r="MJW12" s="29"/>
      <c r="MJX12" s="45"/>
      <c r="MJZ12" s="27"/>
      <c r="MKA12" s="1"/>
      <c r="MKB12" s="28"/>
      <c r="MKD12" s="28"/>
      <c r="MKE12" s="31"/>
      <c r="MKF12" s="28"/>
      <c r="MKH12" s="28"/>
      <c r="MKI12" s="28"/>
      <c r="MKJ12" s="29"/>
      <c r="MKK12" s="30"/>
      <c r="MKL12" s="31"/>
      <c r="MKM12" s="29"/>
      <c r="MKN12" s="45"/>
      <c r="MKP12" s="27"/>
      <c r="MKQ12" s="1"/>
      <c r="MKR12" s="28"/>
      <c r="MKT12" s="28"/>
      <c r="MKU12" s="31"/>
      <c r="MKV12" s="28"/>
      <c r="MKX12" s="28"/>
      <c r="MKY12" s="28"/>
      <c r="MKZ12" s="29"/>
      <c r="MLA12" s="30"/>
      <c r="MLB12" s="31"/>
      <c r="MLC12" s="29"/>
      <c r="MLD12" s="45"/>
      <c r="MLF12" s="27"/>
      <c r="MLG12" s="1"/>
      <c r="MLH12" s="28"/>
      <c r="MLJ12" s="28"/>
      <c r="MLK12" s="31"/>
      <c r="MLL12" s="28"/>
      <c r="MLN12" s="28"/>
      <c r="MLO12" s="28"/>
      <c r="MLP12" s="29"/>
      <c r="MLQ12" s="30"/>
      <c r="MLR12" s="31"/>
      <c r="MLS12" s="29"/>
      <c r="MLT12" s="45"/>
      <c r="MLV12" s="27"/>
      <c r="MLW12" s="1"/>
      <c r="MLX12" s="28"/>
      <c r="MLZ12" s="28"/>
      <c r="MMA12" s="31"/>
      <c r="MMB12" s="28"/>
      <c r="MMD12" s="28"/>
      <c r="MME12" s="28"/>
      <c r="MMF12" s="29"/>
      <c r="MMG12" s="30"/>
      <c r="MMH12" s="31"/>
      <c r="MMI12" s="29"/>
      <c r="MMJ12" s="45"/>
      <c r="MML12" s="27"/>
      <c r="MMM12" s="1"/>
      <c r="MMN12" s="28"/>
      <c r="MMP12" s="28"/>
      <c r="MMQ12" s="31"/>
      <c r="MMR12" s="28"/>
      <c r="MMT12" s="28"/>
      <c r="MMU12" s="28"/>
      <c r="MMV12" s="29"/>
      <c r="MMW12" s="30"/>
      <c r="MMX12" s="31"/>
      <c r="MMY12" s="29"/>
      <c r="MMZ12" s="45"/>
      <c r="MNB12" s="27"/>
      <c r="MNC12" s="1"/>
      <c r="MND12" s="28"/>
      <c r="MNF12" s="28"/>
      <c r="MNG12" s="31"/>
      <c r="MNH12" s="28"/>
      <c r="MNJ12" s="28"/>
      <c r="MNK12" s="28"/>
      <c r="MNL12" s="29"/>
      <c r="MNM12" s="30"/>
      <c r="MNN12" s="31"/>
      <c r="MNO12" s="29"/>
      <c r="MNP12" s="45"/>
      <c r="MNR12" s="27"/>
      <c r="MNS12" s="1"/>
      <c r="MNT12" s="28"/>
      <c r="MNV12" s="28"/>
      <c r="MNW12" s="31"/>
      <c r="MNX12" s="28"/>
      <c r="MNZ12" s="28"/>
      <c r="MOA12" s="28"/>
      <c r="MOB12" s="29"/>
      <c r="MOC12" s="30"/>
      <c r="MOD12" s="31"/>
      <c r="MOE12" s="29"/>
      <c r="MOF12" s="45"/>
      <c r="MOH12" s="27"/>
      <c r="MOI12" s="1"/>
      <c r="MOJ12" s="28"/>
      <c r="MOL12" s="28"/>
      <c r="MOM12" s="31"/>
      <c r="MON12" s="28"/>
      <c r="MOP12" s="28"/>
      <c r="MOQ12" s="28"/>
      <c r="MOR12" s="29"/>
      <c r="MOS12" s="30"/>
      <c r="MOT12" s="31"/>
      <c r="MOU12" s="29"/>
      <c r="MOV12" s="45"/>
      <c r="MOX12" s="27"/>
      <c r="MOY12" s="1"/>
      <c r="MOZ12" s="28"/>
      <c r="MPB12" s="28"/>
      <c r="MPC12" s="31"/>
      <c r="MPD12" s="28"/>
      <c r="MPF12" s="28"/>
      <c r="MPG12" s="28"/>
      <c r="MPH12" s="29"/>
      <c r="MPI12" s="30"/>
      <c r="MPJ12" s="31"/>
      <c r="MPK12" s="29"/>
      <c r="MPL12" s="45"/>
      <c r="MPN12" s="27"/>
      <c r="MPO12" s="1"/>
      <c r="MPP12" s="28"/>
      <c r="MPR12" s="28"/>
      <c r="MPS12" s="31"/>
      <c r="MPT12" s="28"/>
      <c r="MPV12" s="28"/>
      <c r="MPW12" s="28"/>
      <c r="MPX12" s="29"/>
      <c r="MPY12" s="30"/>
      <c r="MPZ12" s="31"/>
      <c r="MQA12" s="29"/>
      <c r="MQB12" s="45"/>
      <c r="MQD12" s="27"/>
      <c r="MQE12" s="1"/>
      <c r="MQF12" s="28"/>
      <c r="MQH12" s="28"/>
      <c r="MQI12" s="31"/>
      <c r="MQJ12" s="28"/>
      <c r="MQL12" s="28"/>
      <c r="MQM12" s="28"/>
      <c r="MQN12" s="29"/>
      <c r="MQO12" s="30"/>
      <c r="MQP12" s="31"/>
      <c r="MQQ12" s="29"/>
      <c r="MQR12" s="45"/>
      <c r="MQT12" s="27"/>
      <c r="MQU12" s="1"/>
      <c r="MQV12" s="28"/>
      <c r="MQX12" s="28"/>
      <c r="MQY12" s="31"/>
      <c r="MQZ12" s="28"/>
      <c r="MRB12" s="28"/>
      <c r="MRC12" s="28"/>
      <c r="MRD12" s="29"/>
      <c r="MRE12" s="30"/>
      <c r="MRF12" s="31"/>
      <c r="MRG12" s="29"/>
      <c r="MRH12" s="45"/>
      <c r="MRJ12" s="27"/>
      <c r="MRK12" s="1"/>
      <c r="MRL12" s="28"/>
      <c r="MRN12" s="28"/>
      <c r="MRO12" s="31"/>
      <c r="MRP12" s="28"/>
      <c r="MRR12" s="28"/>
      <c r="MRS12" s="28"/>
      <c r="MRT12" s="29"/>
      <c r="MRU12" s="30"/>
      <c r="MRV12" s="31"/>
      <c r="MRW12" s="29"/>
      <c r="MRX12" s="45"/>
      <c r="MRZ12" s="27"/>
      <c r="MSA12" s="1"/>
      <c r="MSB12" s="28"/>
      <c r="MSD12" s="28"/>
      <c r="MSE12" s="31"/>
      <c r="MSF12" s="28"/>
      <c r="MSH12" s="28"/>
      <c r="MSI12" s="28"/>
      <c r="MSJ12" s="29"/>
      <c r="MSK12" s="30"/>
      <c r="MSL12" s="31"/>
      <c r="MSM12" s="29"/>
      <c r="MSN12" s="45"/>
      <c r="MSP12" s="27"/>
      <c r="MSQ12" s="1"/>
      <c r="MSR12" s="28"/>
      <c r="MST12" s="28"/>
      <c r="MSU12" s="31"/>
      <c r="MSV12" s="28"/>
      <c r="MSX12" s="28"/>
      <c r="MSY12" s="28"/>
      <c r="MSZ12" s="29"/>
      <c r="MTA12" s="30"/>
      <c r="MTB12" s="31"/>
      <c r="MTC12" s="29"/>
      <c r="MTD12" s="45"/>
      <c r="MTF12" s="27"/>
      <c r="MTG12" s="1"/>
      <c r="MTH12" s="28"/>
      <c r="MTJ12" s="28"/>
      <c r="MTK12" s="31"/>
      <c r="MTL12" s="28"/>
      <c r="MTN12" s="28"/>
      <c r="MTO12" s="28"/>
      <c r="MTP12" s="29"/>
      <c r="MTQ12" s="30"/>
      <c r="MTR12" s="31"/>
      <c r="MTS12" s="29"/>
      <c r="MTT12" s="45"/>
      <c r="MTV12" s="27"/>
      <c r="MTW12" s="1"/>
      <c r="MTX12" s="28"/>
      <c r="MTZ12" s="28"/>
      <c r="MUA12" s="31"/>
      <c r="MUB12" s="28"/>
      <c r="MUD12" s="28"/>
      <c r="MUE12" s="28"/>
      <c r="MUF12" s="29"/>
      <c r="MUG12" s="30"/>
      <c r="MUH12" s="31"/>
      <c r="MUI12" s="29"/>
      <c r="MUJ12" s="45"/>
      <c r="MUL12" s="27"/>
      <c r="MUM12" s="1"/>
      <c r="MUN12" s="28"/>
      <c r="MUP12" s="28"/>
      <c r="MUQ12" s="31"/>
      <c r="MUR12" s="28"/>
      <c r="MUT12" s="28"/>
      <c r="MUU12" s="28"/>
      <c r="MUV12" s="29"/>
      <c r="MUW12" s="30"/>
      <c r="MUX12" s="31"/>
      <c r="MUY12" s="29"/>
      <c r="MUZ12" s="45"/>
      <c r="MVB12" s="27"/>
      <c r="MVC12" s="1"/>
      <c r="MVD12" s="28"/>
      <c r="MVF12" s="28"/>
      <c r="MVG12" s="31"/>
      <c r="MVH12" s="28"/>
      <c r="MVJ12" s="28"/>
      <c r="MVK12" s="28"/>
      <c r="MVL12" s="29"/>
      <c r="MVM12" s="30"/>
      <c r="MVN12" s="31"/>
      <c r="MVO12" s="29"/>
      <c r="MVP12" s="45"/>
      <c r="MVR12" s="27"/>
      <c r="MVS12" s="1"/>
      <c r="MVT12" s="28"/>
      <c r="MVV12" s="28"/>
      <c r="MVW12" s="31"/>
      <c r="MVX12" s="28"/>
      <c r="MVZ12" s="28"/>
      <c r="MWA12" s="28"/>
      <c r="MWB12" s="29"/>
      <c r="MWC12" s="30"/>
      <c r="MWD12" s="31"/>
      <c r="MWE12" s="29"/>
      <c r="MWF12" s="45"/>
      <c r="MWH12" s="27"/>
      <c r="MWI12" s="1"/>
      <c r="MWJ12" s="28"/>
      <c r="MWL12" s="28"/>
      <c r="MWM12" s="31"/>
      <c r="MWN12" s="28"/>
      <c r="MWP12" s="28"/>
      <c r="MWQ12" s="28"/>
      <c r="MWR12" s="29"/>
      <c r="MWS12" s="30"/>
      <c r="MWT12" s="31"/>
      <c r="MWU12" s="29"/>
      <c r="MWV12" s="45"/>
      <c r="MWX12" s="27"/>
      <c r="MWY12" s="1"/>
      <c r="MWZ12" s="28"/>
      <c r="MXB12" s="28"/>
      <c r="MXC12" s="31"/>
      <c r="MXD12" s="28"/>
      <c r="MXF12" s="28"/>
      <c r="MXG12" s="28"/>
      <c r="MXH12" s="29"/>
      <c r="MXI12" s="30"/>
      <c r="MXJ12" s="31"/>
      <c r="MXK12" s="29"/>
      <c r="MXL12" s="45"/>
      <c r="MXN12" s="27"/>
      <c r="MXO12" s="1"/>
      <c r="MXP12" s="28"/>
      <c r="MXR12" s="28"/>
      <c r="MXS12" s="31"/>
      <c r="MXT12" s="28"/>
      <c r="MXV12" s="28"/>
      <c r="MXW12" s="28"/>
      <c r="MXX12" s="29"/>
      <c r="MXY12" s="30"/>
      <c r="MXZ12" s="31"/>
      <c r="MYA12" s="29"/>
      <c r="MYB12" s="45"/>
      <c r="MYD12" s="27"/>
      <c r="MYE12" s="1"/>
      <c r="MYF12" s="28"/>
      <c r="MYH12" s="28"/>
      <c r="MYI12" s="31"/>
      <c r="MYJ12" s="28"/>
      <c r="MYL12" s="28"/>
      <c r="MYM12" s="28"/>
      <c r="MYN12" s="29"/>
      <c r="MYO12" s="30"/>
      <c r="MYP12" s="31"/>
      <c r="MYQ12" s="29"/>
      <c r="MYR12" s="45"/>
      <c r="MYT12" s="27"/>
      <c r="MYU12" s="1"/>
      <c r="MYV12" s="28"/>
      <c r="MYX12" s="28"/>
      <c r="MYY12" s="31"/>
      <c r="MYZ12" s="28"/>
      <c r="MZB12" s="28"/>
      <c r="MZC12" s="28"/>
      <c r="MZD12" s="29"/>
      <c r="MZE12" s="30"/>
      <c r="MZF12" s="31"/>
      <c r="MZG12" s="29"/>
      <c r="MZH12" s="45"/>
      <c r="MZJ12" s="27"/>
      <c r="MZK12" s="1"/>
      <c r="MZL12" s="28"/>
      <c r="MZN12" s="28"/>
      <c r="MZO12" s="31"/>
      <c r="MZP12" s="28"/>
      <c r="MZR12" s="28"/>
      <c r="MZS12" s="28"/>
      <c r="MZT12" s="29"/>
      <c r="MZU12" s="30"/>
      <c r="MZV12" s="31"/>
      <c r="MZW12" s="29"/>
      <c r="MZX12" s="45"/>
      <c r="MZZ12" s="27"/>
      <c r="NAA12" s="1"/>
      <c r="NAB12" s="28"/>
      <c r="NAD12" s="28"/>
      <c r="NAE12" s="31"/>
      <c r="NAF12" s="28"/>
      <c r="NAH12" s="28"/>
      <c r="NAI12" s="28"/>
      <c r="NAJ12" s="29"/>
      <c r="NAK12" s="30"/>
      <c r="NAL12" s="31"/>
      <c r="NAM12" s="29"/>
      <c r="NAN12" s="45"/>
      <c r="NAP12" s="27"/>
      <c r="NAQ12" s="1"/>
      <c r="NAR12" s="28"/>
      <c r="NAT12" s="28"/>
      <c r="NAU12" s="31"/>
      <c r="NAV12" s="28"/>
      <c r="NAX12" s="28"/>
      <c r="NAY12" s="28"/>
      <c r="NAZ12" s="29"/>
      <c r="NBA12" s="30"/>
      <c r="NBB12" s="31"/>
      <c r="NBC12" s="29"/>
      <c r="NBD12" s="45"/>
      <c r="NBF12" s="27"/>
      <c r="NBG12" s="1"/>
      <c r="NBH12" s="28"/>
      <c r="NBJ12" s="28"/>
      <c r="NBK12" s="31"/>
      <c r="NBL12" s="28"/>
      <c r="NBN12" s="28"/>
      <c r="NBO12" s="28"/>
      <c r="NBP12" s="29"/>
      <c r="NBQ12" s="30"/>
      <c r="NBR12" s="31"/>
      <c r="NBS12" s="29"/>
      <c r="NBT12" s="45"/>
      <c r="NBV12" s="27"/>
      <c r="NBW12" s="1"/>
      <c r="NBX12" s="28"/>
      <c r="NBZ12" s="28"/>
      <c r="NCA12" s="31"/>
      <c r="NCB12" s="28"/>
      <c r="NCD12" s="28"/>
      <c r="NCE12" s="28"/>
      <c r="NCF12" s="29"/>
      <c r="NCG12" s="30"/>
      <c r="NCH12" s="31"/>
      <c r="NCI12" s="29"/>
      <c r="NCJ12" s="45"/>
      <c r="NCL12" s="27"/>
      <c r="NCM12" s="1"/>
      <c r="NCN12" s="28"/>
      <c r="NCP12" s="28"/>
      <c r="NCQ12" s="31"/>
      <c r="NCR12" s="28"/>
      <c r="NCT12" s="28"/>
      <c r="NCU12" s="28"/>
      <c r="NCV12" s="29"/>
      <c r="NCW12" s="30"/>
      <c r="NCX12" s="31"/>
      <c r="NCY12" s="29"/>
      <c r="NCZ12" s="45"/>
      <c r="NDB12" s="27"/>
      <c r="NDC12" s="1"/>
      <c r="NDD12" s="28"/>
      <c r="NDF12" s="28"/>
      <c r="NDG12" s="31"/>
      <c r="NDH12" s="28"/>
      <c r="NDJ12" s="28"/>
      <c r="NDK12" s="28"/>
      <c r="NDL12" s="29"/>
      <c r="NDM12" s="30"/>
      <c r="NDN12" s="31"/>
      <c r="NDO12" s="29"/>
      <c r="NDP12" s="45"/>
      <c r="NDR12" s="27"/>
      <c r="NDS12" s="1"/>
      <c r="NDT12" s="28"/>
      <c r="NDV12" s="28"/>
      <c r="NDW12" s="31"/>
      <c r="NDX12" s="28"/>
      <c r="NDZ12" s="28"/>
      <c r="NEA12" s="28"/>
      <c r="NEB12" s="29"/>
      <c r="NEC12" s="30"/>
      <c r="NED12" s="31"/>
      <c r="NEE12" s="29"/>
      <c r="NEF12" s="45"/>
      <c r="NEH12" s="27"/>
      <c r="NEI12" s="1"/>
      <c r="NEJ12" s="28"/>
      <c r="NEL12" s="28"/>
      <c r="NEM12" s="31"/>
      <c r="NEN12" s="28"/>
      <c r="NEP12" s="28"/>
      <c r="NEQ12" s="28"/>
      <c r="NER12" s="29"/>
      <c r="NES12" s="30"/>
      <c r="NET12" s="31"/>
      <c r="NEU12" s="29"/>
      <c r="NEV12" s="45"/>
      <c r="NEX12" s="27"/>
      <c r="NEY12" s="1"/>
      <c r="NEZ12" s="28"/>
      <c r="NFB12" s="28"/>
      <c r="NFC12" s="31"/>
      <c r="NFD12" s="28"/>
      <c r="NFF12" s="28"/>
      <c r="NFG12" s="28"/>
      <c r="NFH12" s="29"/>
      <c r="NFI12" s="30"/>
      <c r="NFJ12" s="31"/>
      <c r="NFK12" s="29"/>
      <c r="NFL12" s="45"/>
      <c r="NFN12" s="27"/>
      <c r="NFO12" s="1"/>
      <c r="NFP12" s="28"/>
      <c r="NFR12" s="28"/>
      <c r="NFS12" s="31"/>
      <c r="NFT12" s="28"/>
      <c r="NFV12" s="28"/>
      <c r="NFW12" s="28"/>
      <c r="NFX12" s="29"/>
      <c r="NFY12" s="30"/>
      <c r="NFZ12" s="31"/>
      <c r="NGA12" s="29"/>
      <c r="NGB12" s="45"/>
      <c r="NGD12" s="27"/>
      <c r="NGE12" s="1"/>
      <c r="NGF12" s="28"/>
      <c r="NGH12" s="28"/>
      <c r="NGI12" s="31"/>
      <c r="NGJ12" s="28"/>
      <c r="NGL12" s="28"/>
      <c r="NGM12" s="28"/>
      <c r="NGN12" s="29"/>
      <c r="NGO12" s="30"/>
      <c r="NGP12" s="31"/>
      <c r="NGQ12" s="29"/>
      <c r="NGR12" s="45"/>
      <c r="NGT12" s="27"/>
      <c r="NGU12" s="1"/>
      <c r="NGV12" s="28"/>
      <c r="NGX12" s="28"/>
      <c r="NGY12" s="31"/>
      <c r="NGZ12" s="28"/>
      <c r="NHB12" s="28"/>
      <c r="NHC12" s="28"/>
      <c r="NHD12" s="29"/>
      <c r="NHE12" s="30"/>
      <c r="NHF12" s="31"/>
      <c r="NHG12" s="29"/>
      <c r="NHH12" s="45"/>
      <c r="NHJ12" s="27"/>
      <c r="NHK12" s="1"/>
      <c r="NHL12" s="28"/>
      <c r="NHN12" s="28"/>
      <c r="NHO12" s="31"/>
      <c r="NHP12" s="28"/>
      <c r="NHR12" s="28"/>
      <c r="NHS12" s="28"/>
      <c r="NHT12" s="29"/>
      <c r="NHU12" s="30"/>
      <c r="NHV12" s="31"/>
      <c r="NHW12" s="29"/>
      <c r="NHX12" s="45"/>
      <c r="NHZ12" s="27"/>
      <c r="NIA12" s="1"/>
      <c r="NIB12" s="28"/>
      <c r="NID12" s="28"/>
      <c r="NIE12" s="31"/>
      <c r="NIF12" s="28"/>
      <c r="NIH12" s="28"/>
      <c r="NII12" s="28"/>
      <c r="NIJ12" s="29"/>
      <c r="NIK12" s="30"/>
      <c r="NIL12" s="31"/>
      <c r="NIM12" s="29"/>
      <c r="NIN12" s="45"/>
      <c r="NIP12" s="27"/>
      <c r="NIQ12" s="1"/>
      <c r="NIR12" s="28"/>
      <c r="NIT12" s="28"/>
      <c r="NIU12" s="31"/>
      <c r="NIV12" s="28"/>
      <c r="NIX12" s="28"/>
      <c r="NIY12" s="28"/>
      <c r="NIZ12" s="29"/>
      <c r="NJA12" s="30"/>
      <c r="NJB12" s="31"/>
      <c r="NJC12" s="29"/>
      <c r="NJD12" s="45"/>
      <c r="NJF12" s="27"/>
      <c r="NJG12" s="1"/>
      <c r="NJH12" s="28"/>
      <c r="NJJ12" s="28"/>
      <c r="NJK12" s="31"/>
      <c r="NJL12" s="28"/>
      <c r="NJN12" s="28"/>
      <c r="NJO12" s="28"/>
      <c r="NJP12" s="29"/>
      <c r="NJQ12" s="30"/>
      <c r="NJR12" s="31"/>
      <c r="NJS12" s="29"/>
      <c r="NJT12" s="45"/>
      <c r="NJV12" s="27"/>
      <c r="NJW12" s="1"/>
      <c r="NJX12" s="28"/>
      <c r="NJZ12" s="28"/>
      <c r="NKA12" s="31"/>
      <c r="NKB12" s="28"/>
      <c r="NKD12" s="28"/>
      <c r="NKE12" s="28"/>
      <c r="NKF12" s="29"/>
      <c r="NKG12" s="30"/>
      <c r="NKH12" s="31"/>
      <c r="NKI12" s="29"/>
      <c r="NKJ12" s="45"/>
      <c r="NKL12" s="27"/>
      <c r="NKM12" s="1"/>
      <c r="NKN12" s="28"/>
      <c r="NKP12" s="28"/>
      <c r="NKQ12" s="31"/>
      <c r="NKR12" s="28"/>
      <c r="NKT12" s="28"/>
      <c r="NKU12" s="28"/>
      <c r="NKV12" s="29"/>
      <c r="NKW12" s="30"/>
      <c r="NKX12" s="31"/>
      <c r="NKY12" s="29"/>
      <c r="NKZ12" s="45"/>
      <c r="NLB12" s="27"/>
      <c r="NLC12" s="1"/>
      <c r="NLD12" s="28"/>
      <c r="NLF12" s="28"/>
      <c r="NLG12" s="31"/>
      <c r="NLH12" s="28"/>
      <c r="NLJ12" s="28"/>
      <c r="NLK12" s="28"/>
      <c r="NLL12" s="29"/>
      <c r="NLM12" s="30"/>
      <c r="NLN12" s="31"/>
      <c r="NLO12" s="29"/>
      <c r="NLP12" s="45"/>
      <c r="NLR12" s="27"/>
      <c r="NLS12" s="1"/>
      <c r="NLT12" s="28"/>
      <c r="NLV12" s="28"/>
      <c r="NLW12" s="31"/>
      <c r="NLX12" s="28"/>
      <c r="NLZ12" s="28"/>
      <c r="NMA12" s="28"/>
      <c r="NMB12" s="29"/>
      <c r="NMC12" s="30"/>
      <c r="NMD12" s="31"/>
      <c r="NME12" s="29"/>
      <c r="NMF12" s="45"/>
      <c r="NMH12" s="27"/>
      <c r="NMI12" s="1"/>
      <c r="NMJ12" s="28"/>
      <c r="NML12" s="28"/>
      <c r="NMM12" s="31"/>
      <c r="NMN12" s="28"/>
      <c r="NMP12" s="28"/>
      <c r="NMQ12" s="28"/>
      <c r="NMR12" s="29"/>
      <c r="NMS12" s="30"/>
      <c r="NMT12" s="31"/>
      <c r="NMU12" s="29"/>
      <c r="NMV12" s="45"/>
      <c r="NMX12" s="27"/>
      <c r="NMY12" s="1"/>
      <c r="NMZ12" s="28"/>
      <c r="NNB12" s="28"/>
      <c r="NNC12" s="31"/>
      <c r="NND12" s="28"/>
      <c r="NNF12" s="28"/>
      <c r="NNG12" s="28"/>
      <c r="NNH12" s="29"/>
      <c r="NNI12" s="30"/>
      <c r="NNJ12" s="31"/>
      <c r="NNK12" s="29"/>
      <c r="NNL12" s="45"/>
      <c r="NNN12" s="27"/>
      <c r="NNO12" s="1"/>
      <c r="NNP12" s="28"/>
      <c r="NNR12" s="28"/>
      <c r="NNS12" s="31"/>
      <c r="NNT12" s="28"/>
      <c r="NNV12" s="28"/>
      <c r="NNW12" s="28"/>
      <c r="NNX12" s="29"/>
      <c r="NNY12" s="30"/>
      <c r="NNZ12" s="31"/>
      <c r="NOA12" s="29"/>
      <c r="NOB12" s="45"/>
      <c r="NOD12" s="27"/>
      <c r="NOE12" s="1"/>
      <c r="NOF12" s="28"/>
      <c r="NOH12" s="28"/>
      <c r="NOI12" s="31"/>
      <c r="NOJ12" s="28"/>
      <c r="NOL12" s="28"/>
      <c r="NOM12" s="28"/>
      <c r="NON12" s="29"/>
      <c r="NOO12" s="30"/>
      <c r="NOP12" s="31"/>
      <c r="NOQ12" s="29"/>
      <c r="NOR12" s="45"/>
      <c r="NOT12" s="27"/>
      <c r="NOU12" s="1"/>
      <c r="NOV12" s="28"/>
      <c r="NOX12" s="28"/>
      <c r="NOY12" s="31"/>
      <c r="NOZ12" s="28"/>
      <c r="NPB12" s="28"/>
      <c r="NPC12" s="28"/>
      <c r="NPD12" s="29"/>
      <c r="NPE12" s="30"/>
      <c r="NPF12" s="31"/>
      <c r="NPG12" s="29"/>
      <c r="NPH12" s="45"/>
      <c r="NPJ12" s="27"/>
      <c r="NPK12" s="1"/>
      <c r="NPL12" s="28"/>
      <c r="NPN12" s="28"/>
      <c r="NPO12" s="31"/>
      <c r="NPP12" s="28"/>
      <c r="NPR12" s="28"/>
      <c r="NPS12" s="28"/>
      <c r="NPT12" s="29"/>
      <c r="NPU12" s="30"/>
      <c r="NPV12" s="31"/>
      <c r="NPW12" s="29"/>
      <c r="NPX12" s="45"/>
      <c r="NPZ12" s="27"/>
      <c r="NQA12" s="1"/>
      <c r="NQB12" s="28"/>
      <c r="NQD12" s="28"/>
      <c r="NQE12" s="31"/>
      <c r="NQF12" s="28"/>
      <c r="NQH12" s="28"/>
      <c r="NQI12" s="28"/>
      <c r="NQJ12" s="29"/>
      <c r="NQK12" s="30"/>
      <c r="NQL12" s="31"/>
      <c r="NQM12" s="29"/>
      <c r="NQN12" s="45"/>
      <c r="NQP12" s="27"/>
      <c r="NQQ12" s="1"/>
      <c r="NQR12" s="28"/>
      <c r="NQT12" s="28"/>
      <c r="NQU12" s="31"/>
      <c r="NQV12" s="28"/>
      <c r="NQX12" s="28"/>
      <c r="NQY12" s="28"/>
      <c r="NQZ12" s="29"/>
      <c r="NRA12" s="30"/>
      <c r="NRB12" s="31"/>
      <c r="NRC12" s="29"/>
      <c r="NRD12" s="45"/>
      <c r="NRF12" s="27"/>
      <c r="NRG12" s="1"/>
      <c r="NRH12" s="28"/>
      <c r="NRJ12" s="28"/>
      <c r="NRK12" s="31"/>
      <c r="NRL12" s="28"/>
      <c r="NRN12" s="28"/>
      <c r="NRO12" s="28"/>
      <c r="NRP12" s="29"/>
      <c r="NRQ12" s="30"/>
      <c r="NRR12" s="31"/>
      <c r="NRS12" s="29"/>
      <c r="NRT12" s="45"/>
      <c r="NRV12" s="27"/>
      <c r="NRW12" s="1"/>
      <c r="NRX12" s="28"/>
      <c r="NRZ12" s="28"/>
      <c r="NSA12" s="31"/>
      <c r="NSB12" s="28"/>
      <c r="NSD12" s="28"/>
      <c r="NSE12" s="28"/>
      <c r="NSF12" s="29"/>
      <c r="NSG12" s="30"/>
      <c r="NSH12" s="31"/>
      <c r="NSI12" s="29"/>
      <c r="NSJ12" s="45"/>
      <c r="NSL12" s="27"/>
      <c r="NSM12" s="1"/>
      <c r="NSN12" s="28"/>
      <c r="NSP12" s="28"/>
      <c r="NSQ12" s="31"/>
      <c r="NSR12" s="28"/>
      <c r="NST12" s="28"/>
      <c r="NSU12" s="28"/>
      <c r="NSV12" s="29"/>
      <c r="NSW12" s="30"/>
      <c r="NSX12" s="31"/>
      <c r="NSY12" s="29"/>
      <c r="NSZ12" s="45"/>
      <c r="NTB12" s="27"/>
      <c r="NTC12" s="1"/>
      <c r="NTD12" s="28"/>
      <c r="NTF12" s="28"/>
      <c r="NTG12" s="31"/>
      <c r="NTH12" s="28"/>
      <c r="NTJ12" s="28"/>
      <c r="NTK12" s="28"/>
      <c r="NTL12" s="29"/>
      <c r="NTM12" s="30"/>
      <c r="NTN12" s="31"/>
      <c r="NTO12" s="29"/>
      <c r="NTP12" s="45"/>
      <c r="NTR12" s="27"/>
      <c r="NTS12" s="1"/>
      <c r="NTT12" s="28"/>
      <c r="NTV12" s="28"/>
      <c r="NTW12" s="31"/>
      <c r="NTX12" s="28"/>
      <c r="NTZ12" s="28"/>
      <c r="NUA12" s="28"/>
      <c r="NUB12" s="29"/>
      <c r="NUC12" s="30"/>
      <c r="NUD12" s="31"/>
      <c r="NUE12" s="29"/>
      <c r="NUF12" s="45"/>
      <c r="NUH12" s="27"/>
      <c r="NUI12" s="1"/>
      <c r="NUJ12" s="28"/>
      <c r="NUL12" s="28"/>
      <c r="NUM12" s="31"/>
      <c r="NUN12" s="28"/>
      <c r="NUP12" s="28"/>
      <c r="NUQ12" s="28"/>
      <c r="NUR12" s="29"/>
      <c r="NUS12" s="30"/>
      <c r="NUT12" s="31"/>
      <c r="NUU12" s="29"/>
      <c r="NUV12" s="45"/>
      <c r="NUX12" s="27"/>
      <c r="NUY12" s="1"/>
      <c r="NUZ12" s="28"/>
      <c r="NVB12" s="28"/>
      <c r="NVC12" s="31"/>
      <c r="NVD12" s="28"/>
      <c r="NVF12" s="28"/>
      <c r="NVG12" s="28"/>
      <c r="NVH12" s="29"/>
      <c r="NVI12" s="30"/>
      <c r="NVJ12" s="31"/>
      <c r="NVK12" s="29"/>
      <c r="NVL12" s="45"/>
      <c r="NVN12" s="27"/>
      <c r="NVO12" s="1"/>
      <c r="NVP12" s="28"/>
      <c r="NVR12" s="28"/>
      <c r="NVS12" s="31"/>
      <c r="NVT12" s="28"/>
      <c r="NVV12" s="28"/>
      <c r="NVW12" s="28"/>
      <c r="NVX12" s="29"/>
      <c r="NVY12" s="30"/>
      <c r="NVZ12" s="31"/>
      <c r="NWA12" s="29"/>
      <c r="NWB12" s="45"/>
      <c r="NWD12" s="27"/>
      <c r="NWE12" s="1"/>
      <c r="NWF12" s="28"/>
      <c r="NWH12" s="28"/>
      <c r="NWI12" s="31"/>
      <c r="NWJ12" s="28"/>
      <c r="NWL12" s="28"/>
      <c r="NWM12" s="28"/>
      <c r="NWN12" s="29"/>
      <c r="NWO12" s="30"/>
      <c r="NWP12" s="31"/>
      <c r="NWQ12" s="29"/>
      <c r="NWR12" s="45"/>
      <c r="NWT12" s="27"/>
      <c r="NWU12" s="1"/>
      <c r="NWV12" s="28"/>
      <c r="NWX12" s="28"/>
      <c r="NWY12" s="31"/>
      <c r="NWZ12" s="28"/>
      <c r="NXB12" s="28"/>
      <c r="NXC12" s="28"/>
      <c r="NXD12" s="29"/>
      <c r="NXE12" s="30"/>
      <c r="NXF12" s="31"/>
      <c r="NXG12" s="29"/>
      <c r="NXH12" s="45"/>
      <c r="NXJ12" s="27"/>
      <c r="NXK12" s="1"/>
      <c r="NXL12" s="28"/>
      <c r="NXN12" s="28"/>
      <c r="NXO12" s="31"/>
      <c r="NXP12" s="28"/>
      <c r="NXR12" s="28"/>
      <c r="NXS12" s="28"/>
      <c r="NXT12" s="29"/>
      <c r="NXU12" s="30"/>
      <c r="NXV12" s="31"/>
      <c r="NXW12" s="29"/>
      <c r="NXX12" s="45"/>
      <c r="NXZ12" s="27"/>
      <c r="NYA12" s="1"/>
      <c r="NYB12" s="28"/>
      <c r="NYD12" s="28"/>
      <c r="NYE12" s="31"/>
      <c r="NYF12" s="28"/>
      <c r="NYH12" s="28"/>
      <c r="NYI12" s="28"/>
      <c r="NYJ12" s="29"/>
      <c r="NYK12" s="30"/>
      <c r="NYL12" s="31"/>
      <c r="NYM12" s="29"/>
      <c r="NYN12" s="45"/>
      <c r="NYP12" s="27"/>
      <c r="NYQ12" s="1"/>
      <c r="NYR12" s="28"/>
      <c r="NYT12" s="28"/>
      <c r="NYU12" s="31"/>
      <c r="NYV12" s="28"/>
      <c r="NYX12" s="28"/>
      <c r="NYY12" s="28"/>
      <c r="NYZ12" s="29"/>
      <c r="NZA12" s="30"/>
      <c r="NZB12" s="31"/>
      <c r="NZC12" s="29"/>
      <c r="NZD12" s="45"/>
      <c r="NZF12" s="27"/>
      <c r="NZG12" s="1"/>
      <c r="NZH12" s="28"/>
      <c r="NZJ12" s="28"/>
      <c r="NZK12" s="31"/>
      <c r="NZL12" s="28"/>
      <c r="NZN12" s="28"/>
      <c r="NZO12" s="28"/>
      <c r="NZP12" s="29"/>
      <c r="NZQ12" s="30"/>
      <c r="NZR12" s="31"/>
      <c r="NZS12" s="29"/>
      <c r="NZT12" s="45"/>
      <c r="NZV12" s="27"/>
      <c r="NZW12" s="1"/>
      <c r="NZX12" s="28"/>
      <c r="NZZ12" s="28"/>
      <c r="OAA12" s="31"/>
      <c r="OAB12" s="28"/>
      <c r="OAD12" s="28"/>
      <c r="OAE12" s="28"/>
      <c r="OAF12" s="29"/>
      <c r="OAG12" s="30"/>
      <c r="OAH12" s="31"/>
      <c r="OAI12" s="29"/>
      <c r="OAJ12" s="45"/>
      <c r="OAL12" s="27"/>
      <c r="OAM12" s="1"/>
      <c r="OAN12" s="28"/>
      <c r="OAP12" s="28"/>
      <c r="OAQ12" s="31"/>
      <c r="OAR12" s="28"/>
      <c r="OAT12" s="28"/>
      <c r="OAU12" s="28"/>
      <c r="OAV12" s="29"/>
      <c r="OAW12" s="30"/>
      <c r="OAX12" s="31"/>
      <c r="OAY12" s="29"/>
      <c r="OAZ12" s="45"/>
      <c r="OBB12" s="27"/>
      <c r="OBC12" s="1"/>
      <c r="OBD12" s="28"/>
      <c r="OBF12" s="28"/>
      <c r="OBG12" s="31"/>
      <c r="OBH12" s="28"/>
      <c r="OBJ12" s="28"/>
      <c r="OBK12" s="28"/>
      <c r="OBL12" s="29"/>
      <c r="OBM12" s="30"/>
      <c r="OBN12" s="31"/>
      <c r="OBO12" s="29"/>
      <c r="OBP12" s="45"/>
      <c r="OBR12" s="27"/>
      <c r="OBS12" s="1"/>
      <c r="OBT12" s="28"/>
      <c r="OBV12" s="28"/>
      <c r="OBW12" s="31"/>
      <c r="OBX12" s="28"/>
      <c r="OBZ12" s="28"/>
      <c r="OCA12" s="28"/>
      <c r="OCB12" s="29"/>
      <c r="OCC12" s="30"/>
      <c r="OCD12" s="31"/>
      <c r="OCE12" s="29"/>
      <c r="OCF12" s="45"/>
      <c r="OCH12" s="27"/>
      <c r="OCI12" s="1"/>
      <c r="OCJ12" s="28"/>
      <c r="OCL12" s="28"/>
      <c r="OCM12" s="31"/>
      <c r="OCN12" s="28"/>
      <c r="OCP12" s="28"/>
      <c r="OCQ12" s="28"/>
      <c r="OCR12" s="29"/>
      <c r="OCS12" s="30"/>
      <c r="OCT12" s="31"/>
      <c r="OCU12" s="29"/>
      <c r="OCV12" s="45"/>
      <c r="OCX12" s="27"/>
      <c r="OCY12" s="1"/>
      <c r="OCZ12" s="28"/>
      <c r="ODB12" s="28"/>
      <c r="ODC12" s="31"/>
      <c r="ODD12" s="28"/>
      <c r="ODF12" s="28"/>
      <c r="ODG12" s="28"/>
      <c r="ODH12" s="29"/>
      <c r="ODI12" s="30"/>
      <c r="ODJ12" s="31"/>
      <c r="ODK12" s="29"/>
      <c r="ODL12" s="45"/>
      <c r="ODN12" s="27"/>
      <c r="ODO12" s="1"/>
      <c r="ODP12" s="28"/>
      <c r="ODR12" s="28"/>
      <c r="ODS12" s="31"/>
      <c r="ODT12" s="28"/>
      <c r="ODV12" s="28"/>
      <c r="ODW12" s="28"/>
      <c r="ODX12" s="29"/>
      <c r="ODY12" s="30"/>
      <c r="ODZ12" s="31"/>
      <c r="OEA12" s="29"/>
      <c r="OEB12" s="45"/>
      <c r="OED12" s="27"/>
      <c r="OEE12" s="1"/>
      <c r="OEF12" s="28"/>
      <c r="OEH12" s="28"/>
      <c r="OEI12" s="31"/>
      <c r="OEJ12" s="28"/>
      <c r="OEL12" s="28"/>
      <c r="OEM12" s="28"/>
      <c r="OEN12" s="29"/>
      <c r="OEO12" s="30"/>
      <c r="OEP12" s="31"/>
      <c r="OEQ12" s="29"/>
      <c r="OER12" s="45"/>
      <c r="OET12" s="27"/>
      <c r="OEU12" s="1"/>
      <c r="OEV12" s="28"/>
      <c r="OEX12" s="28"/>
      <c r="OEY12" s="31"/>
      <c r="OEZ12" s="28"/>
      <c r="OFB12" s="28"/>
      <c r="OFC12" s="28"/>
      <c r="OFD12" s="29"/>
      <c r="OFE12" s="30"/>
      <c r="OFF12" s="31"/>
      <c r="OFG12" s="29"/>
      <c r="OFH12" s="45"/>
      <c r="OFJ12" s="27"/>
      <c r="OFK12" s="1"/>
      <c r="OFL12" s="28"/>
      <c r="OFN12" s="28"/>
      <c r="OFO12" s="31"/>
      <c r="OFP12" s="28"/>
      <c r="OFR12" s="28"/>
      <c r="OFS12" s="28"/>
      <c r="OFT12" s="29"/>
      <c r="OFU12" s="30"/>
      <c r="OFV12" s="31"/>
      <c r="OFW12" s="29"/>
      <c r="OFX12" s="45"/>
      <c r="OFZ12" s="27"/>
      <c r="OGA12" s="1"/>
      <c r="OGB12" s="28"/>
      <c r="OGD12" s="28"/>
      <c r="OGE12" s="31"/>
      <c r="OGF12" s="28"/>
      <c r="OGH12" s="28"/>
      <c r="OGI12" s="28"/>
      <c r="OGJ12" s="29"/>
      <c r="OGK12" s="30"/>
      <c r="OGL12" s="31"/>
      <c r="OGM12" s="29"/>
      <c r="OGN12" s="45"/>
      <c r="OGP12" s="27"/>
      <c r="OGQ12" s="1"/>
      <c r="OGR12" s="28"/>
      <c r="OGT12" s="28"/>
      <c r="OGU12" s="31"/>
      <c r="OGV12" s="28"/>
      <c r="OGX12" s="28"/>
      <c r="OGY12" s="28"/>
      <c r="OGZ12" s="29"/>
      <c r="OHA12" s="30"/>
      <c r="OHB12" s="31"/>
      <c r="OHC12" s="29"/>
      <c r="OHD12" s="45"/>
      <c r="OHF12" s="27"/>
      <c r="OHG12" s="1"/>
      <c r="OHH12" s="28"/>
      <c r="OHJ12" s="28"/>
      <c r="OHK12" s="31"/>
      <c r="OHL12" s="28"/>
      <c r="OHN12" s="28"/>
      <c r="OHO12" s="28"/>
      <c r="OHP12" s="29"/>
      <c r="OHQ12" s="30"/>
      <c r="OHR12" s="31"/>
      <c r="OHS12" s="29"/>
      <c r="OHT12" s="45"/>
      <c r="OHV12" s="27"/>
      <c r="OHW12" s="1"/>
      <c r="OHX12" s="28"/>
      <c r="OHZ12" s="28"/>
      <c r="OIA12" s="31"/>
      <c r="OIB12" s="28"/>
      <c r="OID12" s="28"/>
      <c r="OIE12" s="28"/>
      <c r="OIF12" s="29"/>
      <c r="OIG12" s="30"/>
      <c r="OIH12" s="31"/>
      <c r="OII12" s="29"/>
      <c r="OIJ12" s="45"/>
      <c r="OIL12" s="27"/>
      <c r="OIM12" s="1"/>
      <c r="OIN12" s="28"/>
      <c r="OIP12" s="28"/>
      <c r="OIQ12" s="31"/>
      <c r="OIR12" s="28"/>
      <c r="OIT12" s="28"/>
      <c r="OIU12" s="28"/>
      <c r="OIV12" s="29"/>
      <c r="OIW12" s="30"/>
      <c r="OIX12" s="31"/>
      <c r="OIY12" s="29"/>
      <c r="OIZ12" s="45"/>
      <c r="OJB12" s="27"/>
      <c r="OJC12" s="1"/>
      <c r="OJD12" s="28"/>
      <c r="OJF12" s="28"/>
      <c r="OJG12" s="31"/>
      <c r="OJH12" s="28"/>
      <c r="OJJ12" s="28"/>
      <c r="OJK12" s="28"/>
      <c r="OJL12" s="29"/>
      <c r="OJM12" s="30"/>
      <c r="OJN12" s="31"/>
      <c r="OJO12" s="29"/>
      <c r="OJP12" s="45"/>
      <c r="OJR12" s="27"/>
      <c r="OJS12" s="1"/>
      <c r="OJT12" s="28"/>
      <c r="OJV12" s="28"/>
      <c r="OJW12" s="31"/>
      <c r="OJX12" s="28"/>
      <c r="OJZ12" s="28"/>
      <c r="OKA12" s="28"/>
      <c r="OKB12" s="29"/>
      <c r="OKC12" s="30"/>
      <c r="OKD12" s="31"/>
      <c r="OKE12" s="29"/>
      <c r="OKF12" s="45"/>
      <c r="OKH12" s="27"/>
      <c r="OKI12" s="1"/>
      <c r="OKJ12" s="28"/>
      <c r="OKL12" s="28"/>
      <c r="OKM12" s="31"/>
      <c r="OKN12" s="28"/>
      <c r="OKP12" s="28"/>
      <c r="OKQ12" s="28"/>
      <c r="OKR12" s="29"/>
      <c r="OKS12" s="30"/>
      <c r="OKT12" s="31"/>
      <c r="OKU12" s="29"/>
      <c r="OKV12" s="45"/>
      <c r="OKX12" s="27"/>
      <c r="OKY12" s="1"/>
      <c r="OKZ12" s="28"/>
      <c r="OLB12" s="28"/>
      <c r="OLC12" s="31"/>
      <c r="OLD12" s="28"/>
      <c r="OLF12" s="28"/>
      <c r="OLG12" s="28"/>
      <c r="OLH12" s="29"/>
      <c r="OLI12" s="30"/>
      <c r="OLJ12" s="31"/>
      <c r="OLK12" s="29"/>
      <c r="OLL12" s="45"/>
      <c r="OLN12" s="27"/>
      <c r="OLO12" s="1"/>
      <c r="OLP12" s="28"/>
      <c r="OLR12" s="28"/>
      <c r="OLS12" s="31"/>
      <c r="OLT12" s="28"/>
      <c r="OLV12" s="28"/>
      <c r="OLW12" s="28"/>
      <c r="OLX12" s="29"/>
      <c r="OLY12" s="30"/>
      <c r="OLZ12" s="31"/>
      <c r="OMA12" s="29"/>
      <c r="OMB12" s="45"/>
      <c r="OMD12" s="27"/>
      <c r="OME12" s="1"/>
      <c r="OMF12" s="28"/>
      <c r="OMH12" s="28"/>
      <c r="OMI12" s="31"/>
      <c r="OMJ12" s="28"/>
      <c r="OML12" s="28"/>
      <c r="OMM12" s="28"/>
      <c r="OMN12" s="29"/>
      <c r="OMO12" s="30"/>
      <c r="OMP12" s="31"/>
      <c r="OMQ12" s="29"/>
      <c r="OMR12" s="45"/>
      <c r="OMT12" s="27"/>
      <c r="OMU12" s="1"/>
      <c r="OMV12" s="28"/>
      <c r="OMX12" s="28"/>
      <c r="OMY12" s="31"/>
      <c r="OMZ12" s="28"/>
      <c r="ONB12" s="28"/>
      <c r="ONC12" s="28"/>
      <c r="OND12" s="29"/>
      <c r="ONE12" s="30"/>
      <c r="ONF12" s="31"/>
      <c r="ONG12" s="29"/>
      <c r="ONH12" s="45"/>
      <c r="ONJ12" s="27"/>
      <c r="ONK12" s="1"/>
      <c r="ONL12" s="28"/>
      <c r="ONN12" s="28"/>
      <c r="ONO12" s="31"/>
      <c r="ONP12" s="28"/>
      <c r="ONR12" s="28"/>
      <c r="ONS12" s="28"/>
      <c r="ONT12" s="29"/>
      <c r="ONU12" s="30"/>
      <c r="ONV12" s="31"/>
      <c r="ONW12" s="29"/>
      <c r="ONX12" s="45"/>
      <c r="ONZ12" s="27"/>
      <c r="OOA12" s="1"/>
      <c r="OOB12" s="28"/>
      <c r="OOD12" s="28"/>
      <c r="OOE12" s="31"/>
      <c r="OOF12" s="28"/>
      <c r="OOH12" s="28"/>
      <c r="OOI12" s="28"/>
      <c r="OOJ12" s="29"/>
      <c r="OOK12" s="30"/>
      <c r="OOL12" s="31"/>
      <c r="OOM12" s="29"/>
      <c r="OON12" s="45"/>
      <c r="OOP12" s="27"/>
      <c r="OOQ12" s="1"/>
      <c r="OOR12" s="28"/>
      <c r="OOT12" s="28"/>
      <c r="OOU12" s="31"/>
      <c r="OOV12" s="28"/>
      <c r="OOX12" s="28"/>
      <c r="OOY12" s="28"/>
      <c r="OOZ12" s="29"/>
      <c r="OPA12" s="30"/>
      <c r="OPB12" s="31"/>
      <c r="OPC12" s="29"/>
      <c r="OPD12" s="45"/>
      <c r="OPF12" s="27"/>
      <c r="OPG12" s="1"/>
      <c r="OPH12" s="28"/>
      <c r="OPJ12" s="28"/>
      <c r="OPK12" s="31"/>
      <c r="OPL12" s="28"/>
      <c r="OPN12" s="28"/>
      <c r="OPO12" s="28"/>
      <c r="OPP12" s="29"/>
      <c r="OPQ12" s="30"/>
      <c r="OPR12" s="31"/>
      <c r="OPS12" s="29"/>
      <c r="OPT12" s="45"/>
      <c r="OPV12" s="27"/>
      <c r="OPW12" s="1"/>
      <c r="OPX12" s="28"/>
      <c r="OPZ12" s="28"/>
      <c r="OQA12" s="31"/>
      <c r="OQB12" s="28"/>
      <c r="OQD12" s="28"/>
      <c r="OQE12" s="28"/>
      <c r="OQF12" s="29"/>
      <c r="OQG12" s="30"/>
      <c r="OQH12" s="31"/>
      <c r="OQI12" s="29"/>
      <c r="OQJ12" s="45"/>
      <c r="OQL12" s="27"/>
      <c r="OQM12" s="1"/>
      <c r="OQN12" s="28"/>
      <c r="OQP12" s="28"/>
      <c r="OQQ12" s="31"/>
      <c r="OQR12" s="28"/>
      <c r="OQT12" s="28"/>
      <c r="OQU12" s="28"/>
      <c r="OQV12" s="29"/>
      <c r="OQW12" s="30"/>
      <c r="OQX12" s="31"/>
      <c r="OQY12" s="29"/>
      <c r="OQZ12" s="45"/>
      <c r="ORB12" s="27"/>
      <c r="ORC12" s="1"/>
      <c r="ORD12" s="28"/>
      <c r="ORF12" s="28"/>
      <c r="ORG12" s="31"/>
      <c r="ORH12" s="28"/>
      <c r="ORJ12" s="28"/>
      <c r="ORK12" s="28"/>
      <c r="ORL12" s="29"/>
      <c r="ORM12" s="30"/>
      <c r="ORN12" s="31"/>
      <c r="ORO12" s="29"/>
      <c r="ORP12" s="45"/>
      <c r="ORR12" s="27"/>
      <c r="ORS12" s="1"/>
      <c r="ORT12" s="28"/>
      <c r="ORV12" s="28"/>
      <c r="ORW12" s="31"/>
      <c r="ORX12" s="28"/>
      <c r="ORZ12" s="28"/>
      <c r="OSA12" s="28"/>
      <c r="OSB12" s="29"/>
      <c r="OSC12" s="30"/>
      <c r="OSD12" s="31"/>
      <c r="OSE12" s="29"/>
      <c r="OSF12" s="45"/>
      <c r="OSH12" s="27"/>
      <c r="OSI12" s="1"/>
      <c r="OSJ12" s="28"/>
      <c r="OSL12" s="28"/>
      <c r="OSM12" s="31"/>
      <c r="OSN12" s="28"/>
      <c r="OSP12" s="28"/>
      <c r="OSQ12" s="28"/>
      <c r="OSR12" s="29"/>
      <c r="OSS12" s="30"/>
      <c r="OST12" s="31"/>
      <c r="OSU12" s="29"/>
      <c r="OSV12" s="45"/>
      <c r="OSX12" s="27"/>
      <c r="OSY12" s="1"/>
      <c r="OSZ12" s="28"/>
      <c r="OTB12" s="28"/>
      <c r="OTC12" s="31"/>
      <c r="OTD12" s="28"/>
      <c r="OTF12" s="28"/>
      <c r="OTG12" s="28"/>
      <c r="OTH12" s="29"/>
      <c r="OTI12" s="30"/>
      <c r="OTJ12" s="31"/>
      <c r="OTK12" s="29"/>
      <c r="OTL12" s="45"/>
      <c r="OTN12" s="27"/>
      <c r="OTO12" s="1"/>
      <c r="OTP12" s="28"/>
      <c r="OTR12" s="28"/>
      <c r="OTS12" s="31"/>
      <c r="OTT12" s="28"/>
      <c r="OTV12" s="28"/>
      <c r="OTW12" s="28"/>
      <c r="OTX12" s="29"/>
      <c r="OTY12" s="30"/>
      <c r="OTZ12" s="31"/>
      <c r="OUA12" s="29"/>
      <c r="OUB12" s="45"/>
      <c r="OUD12" s="27"/>
      <c r="OUE12" s="1"/>
      <c r="OUF12" s="28"/>
      <c r="OUH12" s="28"/>
      <c r="OUI12" s="31"/>
      <c r="OUJ12" s="28"/>
      <c r="OUL12" s="28"/>
      <c r="OUM12" s="28"/>
      <c r="OUN12" s="29"/>
      <c r="OUO12" s="30"/>
      <c r="OUP12" s="31"/>
      <c r="OUQ12" s="29"/>
      <c r="OUR12" s="45"/>
      <c r="OUT12" s="27"/>
      <c r="OUU12" s="1"/>
      <c r="OUV12" s="28"/>
      <c r="OUX12" s="28"/>
      <c r="OUY12" s="31"/>
      <c r="OUZ12" s="28"/>
      <c r="OVB12" s="28"/>
      <c r="OVC12" s="28"/>
      <c r="OVD12" s="29"/>
      <c r="OVE12" s="30"/>
      <c r="OVF12" s="31"/>
      <c r="OVG12" s="29"/>
      <c r="OVH12" s="45"/>
      <c r="OVJ12" s="27"/>
      <c r="OVK12" s="1"/>
      <c r="OVL12" s="28"/>
      <c r="OVN12" s="28"/>
      <c r="OVO12" s="31"/>
      <c r="OVP12" s="28"/>
      <c r="OVR12" s="28"/>
      <c r="OVS12" s="28"/>
      <c r="OVT12" s="29"/>
      <c r="OVU12" s="30"/>
      <c r="OVV12" s="31"/>
      <c r="OVW12" s="29"/>
      <c r="OVX12" s="45"/>
      <c r="OVZ12" s="27"/>
      <c r="OWA12" s="1"/>
      <c r="OWB12" s="28"/>
      <c r="OWD12" s="28"/>
      <c r="OWE12" s="31"/>
      <c r="OWF12" s="28"/>
      <c r="OWH12" s="28"/>
      <c r="OWI12" s="28"/>
      <c r="OWJ12" s="29"/>
      <c r="OWK12" s="30"/>
      <c r="OWL12" s="31"/>
      <c r="OWM12" s="29"/>
      <c r="OWN12" s="45"/>
      <c r="OWP12" s="27"/>
      <c r="OWQ12" s="1"/>
      <c r="OWR12" s="28"/>
      <c r="OWT12" s="28"/>
      <c r="OWU12" s="31"/>
      <c r="OWV12" s="28"/>
      <c r="OWX12" s="28"/>
      <c r="OWY12" s="28"/>
      <c r="OWZ12" s="29"/>
      <c r="OXA12" s="30"/>
      <c r="OXB12" s="31"/>
      <c r="OXC12" s="29"/>
      <c r="OXD12" s="45"/>
      <c r="OXF12" s="27"/>
      <c r="OXG12" s="1"/>
      <c r="OXH12" s="28"/>
      <c r="OXJ12" s="28"/>
      <c r="OXK12" s="31"/>
      <c r="OXL12" s="28"/>
      <c r="OXN12" s="28"/>
      <c r="OXO12" s="28"/>
      <c r="OXP12" s="29"/>
      <c r="OXQ12" s="30"/>
      <c r="OXR12" s="31"/>
      <c r="OXS12" s="29"/>
      <c r="OXT12" s="45"/>
      <c r="OXV12" s="27"/>
      <c r="OXW12" s="1"/>
      <c r="OXX12" s="28"/>
      <c r="OXZ12" s="28"/>
      <c r="OYA12" s="31"/>
      <c r="OYB12" s="28"/>
      <c r="OYD12" s="28"/>
      <c r="OYE12" s="28"/>
      <c r="OYF12" s="29"/>
      <c r="OYG12" s="30"/>
      <c r="OYH12" s="31"/>
      <c r="OYI12" s="29"/>
      <c r="OYJ12" s="45"/>
      <c r="OYL12" s="27"/>
      <c r="OYM12" s="1"/>
      <c r="OYN12" s="28"/>
      <c r="OYP12" s="28"/>
      <c r="OYQ12" s="31"/>
      <c r="OYR12" s="28"/>
      <c r="OYT12" s="28"/>
      <c r="OYU12" s="28"/>
      <c r="OYV12" s="29"/>
      <c r="OYW12" s="30"/>
      <c r="OYX12" s="31"/>
      <c r="OYY12" s="29"/>
      <c r="OYZ12" s="45"/>
      <c r="OZB12" s="27"/>
      <c r="OZC12" s="1"/>
      <c r="OZD12" s="28"/>
      <c r="OZF12" s="28"/>
      <c r="OZG12" s="31"/>
      <c r="OZH12" s="28"/>
      <c r="OZJ12" s="28"/>
      <c r="OZK12" s="28"/>
      <c r="OZL12" s="29"/>
      <c r="OZM12" s="30"/>
      <c r="OZN12" s="31"/>
      <c r="OZO12" s="29"/>
      <c r="OZP12" s="45"/>
      <c r="OZR12" s="27"/>
      <c r="OZS12" s="1"/>
      <c r="OZT12" s="28"/>
      <c r="OZV12" s="28"/>
      <c r="OZW12" s="31"/>
      <c r="OZX12" s="28"/>
      <c r="OZZ12" s="28"/>
      <c r="PAA12" s="28"/>
      <c r="PAB12" s="29"/>
      <c r="PAC12" s="30"/>
      <c r="PAD12" s="31"/>
      <c r="PAE12" s="29"/>
      <c r="PAF12" s="45"/>
      <c r="PAH12" s="27"/>
      <c r="PAI12" s="1"/>
      <c r="PAJ12" s="28"/>
      <c r="PAL12" s="28"/>
      <c r="PAM12" s="31"/>
      <c r="PAN12" s="28"/>
      <c r="PAP12" s="28"/>
      <c r="PAQ12" s="28"/>
      <c r="PAR12" s="29"/>
      <c r="PAS12" s="30"/>
      <c r="PAT12" s="31"/>
      <c r="PAU12" s="29"/>
      <c r="PAV12" s="45"/>
      <c r="PAX12" s="27"/>
      <c r="PAY12" s="1"/>
      <c r="PAZ12" s="28"/>
      <c r="PBB12" s="28"/>
      <c r="PBC12" s="31"/>
      <c r="PBD12" s="28"/>
      <c r="PBF12" s="28"/>
      <c r="PBG12" s="28"/>
      <c r="PBH12" s="29"/>
      <c r="PBI12" s="30"/>
      <c r="PBJ12" s="31"/>
      <c r="PBK12" s="29"/>
      <c r="PBL12" s="45"/>
      <c r="PBN12" s="27"/>
      <c r="PBO12" s="1"/>
      <c r="PBP12" s="28"/>
      <c r="PBR12" s="28"/>
      <c r="PBS12" s="31"/>
      <c r="PBT12" s="28"/>
      <c r="PBV12" s="28"/>
      <c r="PBW12" s="28"/>
      <c r="PBX12" s="29"/>
      <c r="PBY12" s="30"/>
      <c r="PBZ12" s="31"/>
      <c r="PCA12" s="29"/>
      <c r="PCB12" s="45"/>
      <c r="PCD12" s="27"/>
      <c r="PCE12" s="1"/>
      <c r="PCF12" s="28"/>
      <c r="PCH12" s="28"/>
      <c r="PCI12" s="31"/>
      <c r="PCJ12" s="28"/>
      <c r="PCL12" s="28"/>
      <c r="PCM12" s="28"/>
      <c r="PCN12" s="29"/>
      <c r="PCO12" s="30"/>
      <c r="PCP12" s="31"/>
      <c r="PCQ12" s="29"/>
      <c r="PCR12" s="45"/>
      <c r="PCT12" s="27"/>
      <c r="PCU12" s="1"/>
      <c r="PCV12" s="28"/>
      <c r="PCX12" s="28"/>
      <c r="PCY12" s="31"/>
      <c r="PCZ12" s="28"/>
      <c r="PDB12" s="28"/>
      <c r="PDC12" s="28"/>
      <c r="PDD12" s="29"/>
      <c r="PDE12" s="30"/>
      <c r="PDF12" s="31"/>
      <c r="PDG12" s="29"/>
      <c r="PDH12" s="45"/>
      <c r="PDJ12" s="27"/>
      <c r="PDK12" s="1"/>
      <c r="PDL12" s="28"/>
      <c r="PDN12" s="28"/>
      <c r="PDO12" s="31"/>
      <c r="PDP12" s="28"/>
      <c r="PDR12" s="28"/>
      <c r="PDS12" s="28"/>
      <c r="PDT12" s="29"/>
      <c r="PDU12" s="30"/>
      <c r="PDV12" s="31"/>
      <c r="PDW12" s="29"/>
      <c r="PDX12" s="45"/>
      <c r="PDZ12" s="27"/>
      <c r="PEA12" s="1"/>
      <c r="PEB12" s="28"/>
      <c r="PED12" s="28"/>
      <c r="PEE12" s="31"/>
      <c r="PEF12" s="28"/>
      <c r="PEH12" s="28"/>
      <c r="PEI12" s="28"/>
      <c r="PEJ12" s="29"/>
      <c r="PEK12" s="30"/>
      <c r="PEL12" s="31"/>
      <c r="PEM12" s="29"/>
      <c r="PEN12" s="45"/>
      <c r="PEP12" s="27"/>
      <c r="PEQ12" s="1"/>
      <c r="PER12" s="28"/>
      <c r="PET12" s="28"/>
      <c r="PEU12" s="31"/>
      <c r="PEV12" s="28"/>
      <c r="PEX12" s="28"/>
      <c r="PEY12" s="28"/>
      <c r="PEZ12" s="29"/>
      <c r="PFA12" s="30"/>
      <c r="PFB12" s="31"/>
      <c r="PFC12" s="29"/>
      <c r="PFD12" s="45"/>
      <c r="PFF12" s="27"/>
      <c r="PFG12" s="1"/>
      <c r="PFH12" s="28"/>
      <c r="PFJ12" s="28"/>
      <c r="PFK12" s="31"/>
      <c r="PFL12" s="28"/>
      <c r="PFN12" s="28"/>
      <c r="PFO12" s="28"/>
      <c r="PFP12" s="29"/>
      <c r="PFQ12" s="30"/>
      <c r="PFR12" s="31"/>
      <c r="PFS12" s="29"/>
      <c r="PFT12" s="45"/>
      <c r="PFV12" s="27"/>
      <c r="PFW12" s="1"/>
      <c r="PFX12" s="28"/>
      <c r="PFZ12" s="28"/>
      <c r="PGA12" s="31"/>
      <c r="PGB12" s="28"/>
      <c r="PGD12" s="28"/>
      <c r="PGE12" s="28"/>
      <c r="PGF12" s="29"/>
      <c r="PGG12" s="30"/>
      <c r="PGH12" s="31"/>
      <c r="PGI12" s="29"/>
      <c r="PGJ12" s="45"/>
      <c r="PGL12" s="27"/>
      <c r="PGM12" s="1"/>
      <c r="PGN12" s="28"/>
      <c r="PGP12" s="28"/>
      <c r="PGQ12" s="31"/>
      <c r="PGR12" s="28"/>
      <c r="PGT12" s="28"/>
      <c r="PGU12" s="28"/>
      <c r="PGV12" s="29"/>
      <c r="PGW12" s="30"/>
      <c r="PGX12" s="31"/>
      <c r="PGY12" s="29"/>
      <c r="PGZ12" s="45"/>
      <c r="PHB12" s="27"/>
      <c r="PHC12" s="1"/>
      <c r="PHD12" s="28"/>
      <c r="PHF12" s="28"/>
      <c r="PHG12" s="31"/>
      <c r="PHH12" s="28"/>
      <c r="PHJ12" s="28"/>
      <c r="PHK12" s="28"/>
      <c r="PHL12" s="29"/>
      <c r="PHM12" s="30"/>
      <c r="PHN12" s="31"/>
      <c r="PHO12" s="29"/>
      <c r="PHP12" s="45"/>
      <c r="PHR12" s="27"/>
      <c r="PHS12" s="1"/>
      <c r="PHT12" s="28"/>
      <c r="PHV12" s="28"/>
      <c r="PHW12" s="31"/>
      <c r="PHX12" s="28"/>
      <c r="PHZ12" s="28"/>
      <c r="PIA12" s="28"/>
      <c r="PIB12" s="29"/>
      <c r="PIC12" s="30"/>
      <c r="PID12" s="31"/>
      <c r="PIE12" s="29"/>
      <c r="PIF12" s="45"/>
      <c r="PIH12" s="27"/>
      <c r="PII12" s="1"/>
      <c r="PIJ12" s="28"/>
      <c r="PIL12" s="28"/>
      <c r="PIM12" s="31"/>
      <c r="PIN12" s="28"/>
      <c r="PIP12" s="28"/>
      <c r="PIQ12" s="28"/>
      <c r="PIR12" s="29"/>
      <c r="PIS12" s="30"/>
      <c r="PIT12" s="31"/>
      <c r="PIU12" s="29"/>
      <c r="PIV12" s="45"/>
      <c r="PIX12" s="27"/>
      <c r="PIY12" s="1"/>
      <c r="PIZ12" s="28"/>
      <c r="PJB12" s="28"/>
      <c r="PJC12" s="31"/>
      <c r="PJD12" s="28"/>
      <c r="PJF12" s="28"/>
      <c r="PJG12" s="28"/>
      <c r="PJH12" s="29"/>
      <c r="PJI12" s="30"/>
      <c r="PJJ12" s="31"/>
      <c r="PJK12" s="29"/>
      <c r="PJL12" s="45"/>
      <c r="PJN12" s="27"/>
      <c r="PJO12" s="1"/>
      <c r="PJP12" s="28"/>
      <c r="PJR12" s="28"/>
      <c r="PJS12" s="31"/>
      <c r="PJT12" s="28"/>
      <c r="PJV12" s="28"/>
      <c r="PJW12" s="28"/>
      <c r="PJX12" s="29"/>
      <c r="PJY12" s="30"/>
      <c r="PJZ12" s="31"/>
      <c r="PKA12" s="29"/>
      <c r="PKB12" s="45"/>
      <c r="PKD12" s="27"/>
      <c r="PKE12" s="1"/>
      <c r="PKF12" s="28"/>
      <c r="PKH12" s="28"/>
      <c r="PKI12" s="31"/>
      <c r="PKJ12" s="28"/>
      <c r="PKL12" s="28"/>
      <c r="PKM12" s="28"/>
      <c r="PKN12" s="29"/>
      <c r="PKO12" s="30"/>
      <c r="PKP12" s="31"/>
      <c r="PKQ12" s="29"/>
      <c r="PKR12" s="45"/>
      <c r="PKT12" s="27"/>
      <c r="PKU12" s="1"/>
      <c r="PKV12" s="28"/>
      <c r="PKX12" s="28"/>
      <c r="PKY12" s="31"/>
      <c r="PKZ12" s="28"/>
      <c r="PLB12" s="28"/>
      <c r="PLC12" s="28"/>
      <c r="PLD12" s="29"/>
      <c r="PLE12" s="30"/>
      <c r="PLF12" s="31"/>
      <c r="PLG12" s="29"/>
      <c r="PLH12" s="45"/>
      <c r="PLJ12" s="27"/>
      <c r="PLK12" s="1"/>
      <c r="PLL12" s="28"/>
      <c r="PLN12" s="28"/>
      <c r="PLO12" s="31"/>
      <c r="PLP12" s="28"/>
      <c r="PLR12" s="28"/>
      <c r="PLS12" s="28"/>
      <c r="PLT12" s="29"/>
      <c r="PLU12" s="30"/>
      <c r="PLV12" s="31"/>
      <c r="PLW12" s="29"/>
      <c r="PLX12" s="45"/>
      <c r="PLZ12" s="27"/>
      <c r="PMA12" s="1"/>
      <c r="PMB12" s="28"/>
      <c r="PMD12" s="28"/>
      <c r="PME12" s="31"/>
      <c r="PMF12" s="28"/>
      <c r="PMH12" s="28"/>
      <c r="PMI12" s="28"/>
      <c r="PMJ12" s="29"/>
      <c r="PMK12" s="30"/>
      <c r="PML12" s="31"/>
      <c r="PMM12" s="29"/>
      <c r="PMN12" s="45"/>
      <c r="PMP12" s="27"/>
      <c r="PMQ12" s="1"/>
      <c r="PMR12" s="28"/>
      <c r="PMT12" s="28"/>
      <c r="PMU12" s="31"/>
      <c r="PMV12" s="28"/>
      <c r="PMX12" s="28"/>
      <c r="PMY12" s="28"/>
      <c r="PMZ12" s="29"/>
      <c r="PNA12" s="30"/>
      <c r="PNB12" s="31"/>
      <c r="PNC12" s="29"/>
      <c r="PND12" s="45"/>
      <c r="PNF12" s="27"/>
      <c r="PNG12" s="1"/>
      <c r="PNH12" s="28"/>
      <c r="PNJ12" s="28"/>
      <c r="PNK12" s="31"/>
      <c r="PNL12" s="28"/>
      <c r="PNN12" s="28"/>
      <c r="PNO12" s="28"/>
      <c r="PNP12" s="29"/>
      <c r="PNQ12" s="30"/>
      <c r="PNR12" s="31"/>
      <c r="PNS12" s="29"/>
      <c r="PNT12" s="45"/>
      <c r="PNV12" s="27"/>
      <c r="PNW12" s="1"/>
      <c r="PNX12" s="28"/>
      <c r="PNZ12" s="28"/>
      <c r="POA12" s="31"/>
      <c r="POB12" s="28"/>
      <c r="POD12" s="28"/>
      <c r="POE12" s="28"/>
      <c r="POF12" s="29"/>
      <c r="POG12" s="30"/>
      <c r="POH12" s="31"/>
      <c r="POI12" s="29"/>
      <c r="POJ12" s="45"/>
      <c r="POL12" s="27"/>
      <c r="POM12" s="1"/>
      <c r="PON12" s="28"/>
      <c r="POP12" s="28"/>
      <c r="POQ12" s="31"/>
      <c r="POR12" s="28"/>
      <c r="POT12" s="28"/>
      <c r="POU12" s="28"/>
      <c r="POV12" s="29"/>
      <c r="POW12" s="30"/>
      <c r="POX12" s="31"/>
      <c r="POY12" s="29"/>
      <c r="POZ12" s="45"/>
      <c r="PPB12" s="27"/>
      <c r="PPC12" s="1"/>
      <c r="PPD12" s="28"/>
      <c r="PPF12" s="28"/>
      <c r="PPG12" s="31"/>
      <c r="PPH12" s="28"/>
      <c r="PPJ12" s="28"/>
      <c r="PPK12" s="28"/>
      <c r="PPL12" s="29"/>
      <c r="PPM12" s="30"/>
      <c r="PPN12" s="31"/>
      <c r="PPO12" s="29"/>
      <c r="PPP12" s="45"/>
      <c r="PPR12" s="27"/>
      <c r="PPS12" s="1"/>
      <c r="PPT12" s="28"/>
      <c r="PPV12" s="28"/>
      <c r="PPW12" s="31"/>
      <c r="PPX12" s="28"/>
      <c r="PPZ12" s="28"/>
      <c r="PQA12" s="28"/>
      <c r="PQB12" s="29"/>
      <c r="PQC12" s="30"/>
      <c r="PQD12" s="31"/>
      <c r="PQE12" s="29"/>
      <c r="PQF12" s="45"/>
      <c r="PQH12" s="27"/>
      <c r="PQI12" s="1"/>
      <c r="PQJ12" s="28"/>
      <c r="PQL12" s="28"/>
      <c r="PQM12" s="31"/>
      <c r="PQN12" s="28"/>
      <c r="PQP12" s="28"/>
      <c r="PQQ12" s="28"/>
      <c r="PQR12" s="29"/>
      <c r="PQS12" s="30"/>
      <c r="PQT12" s="31"/>
      <c r="PQU12" s="29"/>
      <c r="PQV12" s="45"/>
      <c r="PQX12" s="27"/>
      <c r="PQY12" s="1"/>
      <c r="PQZ12" s="28"/>
      <c r="PRB12" s="28"/>
      <c r="PRC12" s="31"/>
      <c r="PRD12" s="28"/>
      <c r="PRF12" s="28"/>
      <c r="PRG12" s="28"/>
      <c r="PRH12" s="29"/>
      <c r="PRI12" s="30"/>
      <c r="PRJ12" s="31"/>
      <c r="PRK12" s="29"/>
      <c r="PRL12" s="45"/>
      <c r="PRN12" s="27"/>
      <c r="PRO12" s="1"/>
      <c r="PRP12" s="28"/>
      <c r="PRR12" s="28"/>
      <c r="PRS12" s="31"/>
      <c r="PRT12" s="28"/>
      <c r="PRV12" s="28"/>
      <c r="PRW12" s="28"/>
      <c r="PRX12" s="29"/>
      <c r="PRY12" s="30"/>
      <c r="PRZ12" s="31"/>
      <c r="PSA12" s="29"/>
      <c r="PSB12" s="45"/>
      <c r="PSD12" s="27"/>
      <c r="PSE12" s="1"/>
      <c r="PSF12" s="28"/>
      <c r="PSH12" s="28"/>
      <c r="PSI12" s="31"/>
      <c r="PSJ12" s="28"/>
      <c r="PSL12" s="28"/>
      <c r="PSM12" s="28"/>
      <c r="PSN12" s="29"/>
      <c r="PSO12" s="30"/>
      <c r="PSP12" s="31"/>
      <c r="PSQ12" s="29"/>
      <c r="PSR12" s="45"/>
      <c r="PST12" s="27"/>
      <c r="PSU12" s="1"/>
      <c r="PSV12" s="28"/>
      <c r="PSX12" s="28"/>
      <c r="PSY12" s="31"/>
      <c r="PSZ12" s="28"/>
      <c r="PTB12" s="28"/>
      <c r="PTC12" s="28"/>
      <c r="PTD12" s="29"/>
      <c r="PTE12" s="30"/>
      <c r="PTF12" s="31"/>
      <c r="PTG12" s="29"/>
      <c r="PTH12" s="45"/>
      <c r="PTJ12" s="27"/>
      <c r="PTK12" s="1"/>
      <c r="PTL12" s="28"/>
      <c r="PTN12" s="28"/>
      <c r="PTO12" s="31"/>
      <c r="PTP12" s="28"/>
      <c r="PTR12" s="28"/>
      <c r="PTS12" s="28"/>
      <c r="PTT12" s="29"/>
      <c r="PTU12" s="30"/>
      <c r="PTV12" s="31"/>
      <c r="PTW12" s="29"/>
      <c r="PTX12" s="45"/>
      <c r="PTZ12" s="27"/>
      <c r="PUA12" s="1"/>
      <c r="PUB12" s="28"/>
      <c r="PUD12" s="28"/>
      <c r="PUE12" s="31"/>
      <c r="PUF12" s="28"/>
      <c r="PUH12" s="28"/>
      <c r="PUI12" s="28"/>
      <c r="PUJ12" s="29"/>
      <c r="PUK12" s="30"/>
      <c r="PUL12" s="31"/>
      <c r="PUM12" s="29"/>
      <c r="PUN12" s="45"/>
      <c r="PUP12" s="27"/>
      <c r="PUQ12" s="1"/>
      <c r="PUR12" s="28"/>
      <c r="PUT12" s="28"/>
      <c r="PUU12" s="31"/>
      <c r="PUV12" s="28"/>
      <c r="PUX12" s="28"/>
      <c r="PUY12" s="28"/>
      <c r="PUZ12" s="29"/>
      <c r="PVA12" s="30"/>
      <c r="PVB12" s="31"/>
      <c r="PVC12" s="29"/>
      <c r="PVD12" s="45"/>
      <c r="PVF12" s="27"/>
      <c r="PVG12" s="1"/>
      <c r="PVH12" s="28"/>
      <c r="PVJ12" s="28"/>
      <c r="PVK12" s="31"/>
      <c r="PVL12" s="28"/>
      <c r="PVN12" s="28"/>
      <c r="PVO12" s="28"/>
      <c r="PVP12" s="29"/>
      <c r="PVQ12" s="30"/>
      <c r="PVR12" s="31"/>
      <c r="PVS12" s="29"/>
      <c r="PVT12" s="45"/>
      <c r="PVV12" s="27"/>
      <c r="PVW12" s="1"/>
      <c r="PVX12" s="28"/>
      <c r="PVZ12" s="28"/>
      <c r="PWA12" s="31"/>
      <c r="PWB12" s="28"/>
      <c r="PWD12" s="28"/>
      <c r="PWE12" s="28"/>
      <c r="PWF12" s="29"/>
      <c r="PWG12" s="30"/>
      <c r="PWH12" s="31"/>
      <c r="PWI12" s="29"/>
      <c r="PWJ12" s="45"/>
      <c r="PWL12" s="27"/>
      <c r="PWM12" s="1"/>
      <c r="PWN12" s="28"/>
      <c r="PWP12" s="28"/>
      <c r="PWQ12" s="31"/>
      <c r="PWR12" s="28"/>
      <c r="PWT12" s="28"/>
      <c r="PWU12" s="28"/>
      <c r="PWV12" s="29"/>
      <c r="PWW12" s="30"/>
      <c r="PWX12" s="31"/>
      <c r="PWY12" s="29"/>
      <c r="PWZ12" s="45"/>
      <c r="PXB12" s="27"/>
      <c r="PXC12" s="1"/>
      <c r="PXD12" s="28"/>
      <c r="PXF12" s="28"/>
      <c r="PXG12" s="31"/>
      <c r="PXH12" s="28"/>
      <c r="PXJ12" s="28"/>
      <c r="PXK12" s="28"/>
      <c r="PXL12" s="29"/>
      <c r="PXM12" s="30"/>
      <c r="PXN12" s="31"/>
      <c r="PXO12" s="29"/>
      <c r="PXP12" s="45"/>
      <c r="PXR12" s="27"/>
      <c r="PXS12" s="1"/>
      <c r="PXT12" s="28"/>
      <c r="PXV12" s="28"/>
      <c r="PXW12" s="31"/>
      <c r="PXX12" s="28"/>
      <c r="PXZ12" s="28"/>
      <c r="PYA12" s="28"/>
      <c r="PYB12" s="29"/>
      <c r="PYC12" s="30"/>
      <c r="PYD12" s="31"/>
      <c r="PYE12" s="29"/>
      <c r="PYF12" s="45"/>
      <c r="PYH12" s="27"/>
      <c r="PYI12" s="1"/>
      <c r="PYJ12" s="28"/>
      <c r="PYL12" s="28"/>
      <c r="PYM12" s="31"/>
      <c r="PYN12" s="28"/>
      <c r="PYP12" s="28"/>
      <c r="PYQ12" s="28"/>
      <c r="PYR12" s="29"/>
      <c r="PYS12" s="30"/>
      <c r="PYT12" s="31"/>
      <c r="PYU12" s="29"/>
      <c r="PYV12" s="45"/>
      <c r="PYX12" s="27"/>
      <c r="PYY12" s="1"/>
      <c r="PYZ12" s="28"/>
      <c r="PZB12" s="28"/>
      <c r="PZC12" s="31"/>
      <c r="PZD12" s="28"/>
      <c r="PZF12" s="28"/>
      <c r="PZG12" s="28"/>
      <c r="PZH12" s="29"/>
      <c r="PZI12" s="30"/>
      <c r="PZJ12" s="31"/>
      <c r="PZK12" s="29"/>
      <c r="PZL12" s="45"/>
      <c r="PZN12" s="27"/>
      <c r="PZO12" s="1"/>
      <c r="PZP12" s="28"/>
      <c r="PZR12" s="28"/>
      <c r="PZS12" s="31"/>
      <c r="PZT12" s="28"/>
      <c r="PZV12" s="28"/>
      <c r="PZW12" s="28"/>
      <c r="PZX12" s="29"/>
      <c r="PZY12" s="30"/>
      <c r="PZZ12" s="31"/>
      <c r="QAA12" s="29"/>
      <c r="QAB12" s="45"/>
      <c r="QAD12" s="27"/>
      <c r="QAE12" s="1"/>
      <c r="QAF12" s="28"/>
      <c r="QAH12" s="28"/>
      <c r="QAI12" s="31"/>
      <c r="QAJ12" s="28"/>
      <c r="QAL12" s="28"/>
      <c r="QAM12" s="28"/>
      <c r="QAN12" s="29"/>
      <c r="QAO12" s="30"/>
      <c r="QAP12" s="31"/>
      <c r="QAQ12" s="29"/>
      <c r="QAR12" s="45"/>
      <c r="QAT12" s="27"/>
      <c r="QAU12" s="1"/>
      <c r="QAV12" s="28"/>
      <c r="QAX12" s="28"/>
      <c r="QAY12" s="31"/>
      <c r="QAZ12" s="28"/>
      <c r="QBB12" s="28"/>
      <c r="QBC12" s="28"/>
      <c r="QBD12" s="29"/>
      <c r="QBE12" s="30"/>
      <c r="QBF12" s="31"/>
      <c r="QBG12" s="29"/>
      <c r="QBH12" s="45"/>
      <c r="QBJ12" s="27"/>
      <c r="QBK12" s="1"/>
      <c r="QBL12" s="28"/>
      <c r="QBN12" s="28"/>
      <c r="QBO12" s="31"/>
      <c r="QBP12" s="28"/>
      <c r="QBR12" s="28"/>
      <c r="QBS12" s="28"/>
      <c r="QBT12" s="29"/>
      <c r="QBU12" s="30"/>
      <c r="QBV12" s="31"/>
      <c r="QBW12" s="29"/>
      <c r="QBX12" s="45"/>
      <c r="QBZ12" s="27"/>
      <c r="QCA12" s="1"/>
      <c r="QCB12" s="28"/>
      <c r="QCD12" s="28"/>
      <c r="QCE12" s="31"/>
      <c r="QCF12" s="28"/>
      <c r="QCH12" s="28"/>
      <c r="QCI12" s="28"/>
      <c r="QCJ12" s="29"/>
      <c r="QCK12" s="30"/>
      <c r="QCL12" s="31"/>
      <c r="QCM12" s="29"/>
      <c r="QCN12" s="45"/>
      <c r="QCP12" s="27"/>
      <c r="QCQ12" s="1"/>
      <c r="QCR12" s="28"/>
      <c r="QCT12" s="28"/>
      <c r="QCU12" s="31"/>
      <c r="QCV12" s="28"/>
      <c r="QCX12" s="28"/>
      <c r="QCY12" s="28"/>
      <c r="QCZ12" s="29"/>
      <c r="QDA12" s="30"/>
      <c r="QDB12" s="31"/>
      <c r="QDC12" s="29"/>
      <c r="QDD12" s="45"/>
      <c r="QDF12" s="27"/>
      <c r="QDG12" s="1"/>
      <c r="QDH12" s="28"/>
      <c r="QDJ12" s="28"/>
      <c r="QDK12" s="31"/>
      <c r="QDL12" s="28"/>
      <c r="QDN12" s="28"/>
      <c r="QDO12" s="28"/>
      <c r="QDP12" s="29"/>
      <c r="QDQ12" s="30"/>
      <c r="QDR12" s="31"/>
      <c r="QDS12" s="29"/>
      <c r="QDT12" s="45"/>
      <c r="QDV12" s="27"/>
      <c r="QDW12" s="1"/>
      <c r="QDX12" s="28"/>
      <c r="QDZ12" s="28"/>
      <c r="QEA12" s="31"/>
      <c r="QEB12" s="28"/>
      <c r="QED12" s="28"/>
      <c r="QEE12" s="28"/>
      <c r="QEF12" s="29"/>
      <c r="QEG12" s="30"/>
      <c r="QEH12" s="31"/>
      <c r="QEI12" s="29"/>
      <c r="QEJ12" s="45"/>
      <c r="QEL12" s="27"/>
      <c r="QEM12" s="1"/>
      <c r="QEN12" s="28"/>
      <c r="QEP12" s="28"/>
      <c r="QEQ12" s="31"/>
      <c r="QER12" s="28"/>
      <c r="QET12" s="28"/>
      <c r="QEU12" s="28"/>
      <c r="QEV12" s="29"/>
      <c r="QEW12" s="30"/>
      <c r="QEX12" s="31"/>
      <c r="QEY12" s="29"/>
      <c r="QEZ12" s="45"/>
      <c r="QFB12" s="27"/>
      <c r="QFC12" s="1"/>
      <c r="QFD12" s="28"/>
      <c r="QFF12" s="28"/>
      <c r="QFG12" s="31"/>
      <c r="QFH12" s="28"/>
      <c r="QFJ12" s="28"/>
      <c r="QFK12" s="28"/>
      <c r="QFL12" s="29"/>
      <c r="QFM12" s="30"/>
      <c r="QFN12" s="31"/>
      <c r="QFO12" s="29"/>
      <c r="QFP12" s="45"/>
      <c r="QFR12" s="27"/>
      <c r="QFS12" s="1"/>
      <c r="QFT12" s="28"/>
      <c r="QFV12" s="28"/>
      <c r="QFW12" s="31"/>
      <c r="QFX12" s="28"/>
      <c r="QFZ12" s="28"/>
      <c r="QGA12" s="28"/>
      <c r="QGB12" s="29"/>
      <c r="QGC12" s="30"/>
      <c r="QGD12" s="31"/>
      <c r="QGE12" s="29"/>
      <c r="QGF12" s="45"/>
      <c r="QGH12" s="27"/>
      <c r="QGI12" s="1"/>
      <c r="QGJ12" s="28"/>
      <c r="QGL12" s="28"/>
      <c r="QGM12" s="31"/>
      <c r="QGN12" s="28"/>
      <c r="QGP12" s="28"/>
      <c r="QGQ12" s="28"/>
      <c r="QGR12" s="29"/>
      <c r="QGS12" s="30"/>
      <c r="QGT12" s="31"/>
      <c r="QGU12" s="29"/>
      <c r="QGV12" s="45"/>
      <c r="QGX12" s="27"/>
      <c r="QGY12" s="1"/>
      <c r="QGZ12" s="28"/>
      <c r="QHB12" s="28"/>
      <c r="QHC12" s="31"/>
      <c r="QHD12" s="28"/>
      <c r="QHF12" s="28"/>
      <c r="QHG12" s="28"/>
      <c r="QHH12" s="29"/>
      <c r="QHI12" s="30"/>
      <c r="QHJ12" s="31"/>
      <c r="QHK12" s="29"/>
      <c r="QHL12" s="45"/>
      <c r="QHN12" s="27"/>
      <c r="QHO12" s="1"/>
      <c r="QHP12" s="28"/>
      <c r="QHR12" s="28"/>
      <c r="QHS12" s="31"/>
      <c r="QHT12" s="28"/>
      <c r="QHV12" s="28"/>
      <c r="QHW12" s="28"/>
      <c r="QHX12" s="29"/>
      <c r="QHY12" s="30"/>
      <c r="QHZ12" s="31"/>
      <c r="QIA12" s="29"/>
      <c r="QIB12" s="45"/>
      <c r="QID12" s="27"/>
      <c r="QIE12" s="1"/>
      <c r="QIF12" s="28"/>
      <c r="QIH12" s="28"/>
      <c r="QII12" s="31"/>
      <c r="QIJ12" s="28"/>
      <c r="QIL12" s="28"/>
      <c r="QIM12" s="28"/>
      <c r="QIN12" s="29"/>
      <c r="QIO12" s="30"/>
      <c r="QIP12" s="31"/>
      <c r="QIQ12" s="29"/>
      <c r="QIR12" s="45"/>
      <c r="QIT12" s="27"/>
      <c r="QIU12" s="1"/>
      <c r="QIV12" s="28"/>
      <c r="QIX12" s="28"/>
      <c r="QIY12" s="31"/>
      <c r="QIZ12" s="28"/>
      <c r="QJB12" s="28"/>
      <c r="QJC12" s="28"/>
      <c r="QJD12" s="29"/>
      <c r="QJE12" s="30"/>
      <c r="QJF12" s="31"/>
      <c r="QJG12" s="29"/>
      <c r="QJH12" s="45"/>
      <c r="QJJ12" s="27"/>
      <c r="QJK12" s="1"/>
      <c r="QJL12" s="28"/>
      <c r="QJN12" s="28"/>
      <c r="QJO12" s="31"/>
      <c r="QJP12" s="28"/>
      <c r="QJR12" s="28"/>
      <c r="QJS12" s="28"/>
      <c r="QJT12" s="29"/>
      <c r="QJU12" s="30"/>
      <c r="QJV12" s="31"/>
      <c r="QJW12" s="29"/>
      <c r="QJX12" s="45"/>
      <c r="QJZ12" s="27"/>
      <c r="QKA12" s="1"/>
      <c r="QKB12" s="28"/>
      <c r="QKD12" s="28"/>
      <c r="QKE12" s="31"/>
      <c r="QKF12" s="28"/>
      <c r="QKH12" s="28"/>
      <c r="QKI12" s="28"/>
      <c r="QKJ12" s="29"/>
      <c r="QKK12" s="30"/>
      <c r="QKL12" s="31"/>
      <c r="QKM12" s="29"/>
      <c r="QKN12" s="45"/>
      <c r="QKP12" s="27"/>
      <c r="QKQ12" s="1"/>
      <c r="QKR12" s="28"/>
      <c r="QKT12" s="28"/>
      <c r="QKU12" s="31"/>
      <c r="QKV12" s="28"/>
      <c r="QKX12" s="28"/>
      <c r="QKY12" s="28"/>
      <c r="QKZ12" s="29"/>
      <c r="QLA12" s="30"/>
      <c r="QLB12" s="31"/>
      <c r="QLC12" s="29"/>
      <c r="QLD12" s="45"/>
      <c r="QLF12" s="27"/>
      <c r="QLG12" s="1"/>
      <c r="QLH12" s="28"/>
      <c r="QLJ12" s="28"/>
      <c r="QLK12" s="31"/>
      <c r="QLL12" s="28"/>
      <c r="QLN12" s="28"/>
      <c r="QLO12" s="28"/>
      <c r="QLP12" s="29"/>
      <c r="QLQ12" s="30"/>
      <c r="QLR12" s="31"/>
      <c r="QLS12" s="29"/>
      <c r="QLT12" s="45"/>
      <c r="QLV12" s="27"/>
      <c r="QLW12" s="1"/>
      <c r="QLX12" s="28"/>
      <c r="QLZ12" s="28"/>
      <c r="QMA12" s="31"/>
      <c r="QMB12" s="28"/>
      <c r="QMD12" s="28"/>
      <c r="QME12" s="28"/>
      <c r="QMF12" s="29"/>
      <c r="QMG12" s="30"/>
      <c r="QMH12" s="31"/>
      <c r="QMI12" s="29"/>
      <c r="QMJ12" s="45"/>
      <c r="QML12" s="27"/>
      <c r="QMM12" s="1"/>
      <c r="QMN12" s="28"/>
      <c r="QMP12" s="28"/>
      <c r="QMQ12" s="31"/>
      <c r="QMR12" s="28"/>
      <c r="QMT12" s="28"/>
      <c r="QMU12" s="28"/>
      <c r="QMV12" s="29"/>
      <c r="QMW12" s="30"/>
      <c r="QMX12" s="31"/>
      <c r="QMY12" s="29"/>
      <c r="QMZ12" s="45"/>
      <c r="QNB12" s="27"/>
      <c r="QNC12" s="1"/>
      <c r="QND12" s="28"/>
      <c r="QNF12" s="28"/>
      <c r="QNG12" s="31"/>
      <c r="QNH12" s="28"/>
      <c r="QNJ12" s="28"/>
      <c r="QNK12" s="28"/>
      <c r="QNL12" s="29"/>
      <c r="QNM12" s="30"/>
      <c r="QNN12" s="31"/>
      <c r="QNO12" s="29"/>
      <c r="QNP12" s="45"/>
      <c r="QNR12" s="27"/>
      <c r="QNS12" s="1"/>
      <c r="QNT12" s="28"/>
      <c r="QNV12" s="28"/>
      <c r="QNW12" s="31"/>
      <c r="QNX12" s="28"/>
      <c r="QNZ12" s="28"/>
      <c r="QOA12" s="28"/>
      <c r="QOB12" s="29"/>
      <c r="QOC12" s="30"/>
      <c r="QOD12" s="31"/>
      <c r="QOE12" s="29"/>
      <c r="QOF12" s="45"/>
      <c r="QOH12" s="27"/>
      <c r="QOI12" s="1"/>
      <c r="QOJ12" s="28"/>
      <c r="QOL12" s="28"/>
      <c r="QOM12" s="31"/>
      <c r="QON12" s="28"/>
      <c r="QOP12" s="28"/>
      <c r="QOQ12" s="28"/>
      <c r="QOR12" s="29"/>
      <c r="QOS12" s="30"/>
      <c r="QOT12" s="31"/>
      <c r="QOU12" s="29"/>
      <c r="QOV12" s="45"/>
      <c r="QOX12" s="27"/>
      <c r="QOY12" s="1"/>
      <c r="QOZ12" s="28"/>
      <c r="QPB12" s="28"/>
      <c r="QPC12" s="31"/>
      <c r="QPD12" s="28"/>
      <c r="QPF12" s="28"/>
      <c r="QPG12" s="28"/>
      <c r="QPH12" s="29"/>
      <c r="QPI12" s="30"/>
      <c r="QPJ12" s="31"/>
      <c r="QPK12" s="29"/>
      <c r="QPL12" s="45"/>
      <c r="QPN12" s="27"/>
      <c r="QPO12" s="1"/>
      <c r="QPP12" s="28"/>
      <c r="QPR12" s="28"/>
      <c r="QPS12" s="31"/>
      <c r="QPT12" s="28"/>
      <c r="QPV12" s="28"/>
      <c r="QPW12" s="28"/>
      <c r="QPX12" s="29"/>
      <c r="QPY12" s="30"/>
      <c r="QPZ12" s="31"/>
      <c r="QQA12" s="29"/>
      <c r="QQB12" s="45"/>
      <c r="QQD12" s="27"/>
      <c r="QQE12" s="1"/>
      <c r="QQF12" s="28"/>
      <c r="QQH12" s="28"/>
      <c r="QQI12" s="31"/>
      <c r="QQJ12" s="28"/>
      <c r="QQL12" s="28"/>
      <c r="QQM12" s="28"/>
      <c r="QQN12" s="29"/>
      <c r="QQO12" s="30"/>
      <c r="QQP12" s="31"/>
      <c r="QQQ12" s="29"/>
      <c r="QQR12" s="45"/>
      <c r="QQT12" s="27"/>
      <c r="QQU12" s="1"/>
      <c r="QQV12" s="28"/>
      <c r="QQX12" s="28"/>
      <c r="QQY12" s="31"/>
      <c r="QQZ12" s="28"/>
      <c r="QRB12" s="28"/>
      <c r="QRC12" s="28"/>
      <c r="QRD12" s="29"/>
      <c r="QRE12" s="30"/>
      <c r="QRF12" s="31"/>
      <c r="QRG12" s="29"/>
      <c r="QRH12" s="45"/>
      <c r="QRJ12" s="27"/>
      <c r="QRK12" s="1"/>
      <c r="QRL12" s="28"/>
      <c r="QRN12" s="28"/>
      <c r="QRO12" s="31"/>
      <c r="QRP12" s="28"/>
      <c r="QRR12" s="28"/>
      <c r="QRS12" s="28"/>
      <c r="QRT12" s="29"/>
      <c r="QRU12" s="30"/>
      <c r="QRV12" s="31"/>
      <c r="QRW12" s="29"/>
      <c r="QRX12" s="45"/>
      <c r="QRZ12" s="27"/>
      <c r="QSA12" s="1"/>
      <c r="QSB12" s="28"/>
      <c r="QSD12" s="28"/>
      <c r="QSE12" s="31"/>
      <c r="QSF12" s="28"/>
      <c r="QSH12" s="28"/>
      <c r="QSI12" s="28"/>
      <c r="QSJ12" s="29"/>
      <c r="QSK12" s="30"/>
      <c r="QSL12" s="31"/>
      <c r="QSM12" s="29"/>
      <c r="QSN12" s="45"/>
      <c r="QSP12" s="27"/>
      <c r="QSQ12" s="1"/>
      <c r="QSR12" s="28"/>
      <c r="QST12" s="28"/>
      <c r="QSU12" s="31"/>
      <c r="QSV12" s="28"/>
      <c r="QSX12" s="28"/>
      <c r="QSY12" s="28"/>
      <c r="QSZ12" s="29"/>
      <c r="QTA12" s="30"/>
      <c r="QTB12" s="31"/>
      <c r="QTC12" s="29"/>
      <c r="QTD12" s="45"/>
      <c r="QTF12" s="27"/>
      <c r="QTG12" s="1"/>
      <c r="QTH12" s="28"/>
      <c r="QTJ12" s="28"/>
      <c r="QTK12" s="31"/>
      <c r="QTL12" s="28"/>
      <c r="QTN12" s="28"/>
      <c r="QTO12" s="28"/>
      <c r="QTP12" s="29"/>
      <c r="QTQ12" s="30"/>
      <c r="QTR12" s="31"/>
      <c r="QTS12" s="29"/>
      <c r="QTT12" s="45"/>
      <c r="QTV12" s="27"/>
      <c r="QTW12" s="1"/>
      <c r="QTX12" s="28"/>
      <c r="QTZ12" s="28"/>
      <c r="QUA12" s="31"/>
      <c r="QUB12" s="28"/>
      <c r="QUD12" s="28"/>
      <c r="QUE12" s="28"/>
      <c r="QUF12" s="29"/>
      <c r="QUG12" s="30"/>
      <c r="QUH12" s="31"/>
      <c r="QUI12" s="29"/>
      <c r="QUJ12" s="45"/>
      <c r="QUL12" s="27"/>
      <c r="QUM12" s="1"/>
      <c r="QUN12" s="28"/>
      <c r="QUP12" s="28"/>
      <c r="QUQ12" s="31"/>
      <c r="QUR12" s="28"/>
      <c r="QUT12" s="28"/>
      <c r="QUU12" s="28"/>
      <c r="QUV12" s="29"/>
      <c r="QUW12" s="30"/>
      <c r="QUX12" s="31"/>
      <c r="QUY12" s="29"/>
      <c r="QUZ12" s="45"/>
      <c r="QVB12" s="27"/>
      <c r="QVC12" s="1"/>
      <c r="QVD12" s="28"/>
      <c r="QVF12" s="28"/>
      <c r="QVG12" s="31"/>
      <c r="QVH12" s="28"/>
      <c r="QVJ12" s="28"/>
      <c r="QVK12" s="28"/>
      <c r="QVL12" s="29"/>
      <c r="QVM12" s="30"/>
      <c r="QVN12" s="31"/>
      <c r="QVO12" s="29"/>
      <c r="QVP12" s="45"/>
      <c r="QVR12" s="27"/>
      <c r="QVS12" s="1"/>
      <c r="QVT12" s="28"/>
      <c r="QVV12" s="28"/>
      <c r="QVW12" s="31"/>
      <c r="QVX12" s="28"/>
      <c r="QVZ12" s="28"/>
      <c r="QWA12" s="28"/>
      <c r="QWB12" s="29"/>
      <c r="QWC12" s="30"/>
      <c r="QWD12" s="31"/>
      <c r="QWE12" s="29"/>
      <c r="QWF12" s="45"/>
      <c r="QWH12" s="27"/>
      <c r="QWI12" s="1"/>
      <c r="QWJ12" s="28"/>
      <c r="QWL12" s="28"/>
      <c r="QWM12" s="31"/>
      <c r="QWN12" s="28"/>
      <c r="QWP12" s="28"/>
      <c r="QWQ12" s="28"/>
      <c r="QWR12" s="29"/>
      <c r="QWS12" s="30"/>
      <c r="QWT12" s="31"/>
      <c r="QWU12" s="29"/>
      <c r="QWV12" s="45"/>
      <c r="QWX12" s="27"/>
      <c r="QWY12" s="1"/>
      <c r="QWZ12" s="28"/>
      <c r="QXB12" s="28"/>
      <c r="QXC12" s="31"/>
      <c r="QXD12" s="28"/>
      <c r="QXF12" s="28"/>
      <c r="QXG12" s="28"/>
      <c r="QXH12" s="29"/>
      <c r="QXI12" s="30"/>
      <c r="QXJ12" s="31"/>
      <c r="QXK12" s="29"/>
      <c r="QXL12" s="45"/>
      <c r="QXN12" s="27"/>
      <c r="QXO12" s="1"/>
      <c r="QXP12" s="28"/>
      <c r="QXR12" s="28"/>
      <c r="QXS12" s="31"/>
      <c r="QXT12" s="28"/>
      <c r="QXV12" s="28"/>
      <c r="QXW12" s="28"/>
      <c r="QXX12" s="29"/>
      <c r="QXY12" s="30"/>
      <c r="QXZ12" s="31"/>
      <c r="QYA12" s="29"/>
      <c r="QYB12" s="45"/>
      <c r="QYD12" s="27"/>
      <c r="QYE12" s="1"/>
      <c r="QYF12" s="28"/>
      <c r="QYH12" s="28"/>
      <c r="QYI12" s="31"/>
      <c r="QYJ12" s="28"/>
      <c r="QYL12" s="28"/>
      <c r="QYM12" s="28"/>
      <c r="QYN12" s="29"/>
      <c r="QYO12" s="30"/>
      <c r="QYP12" s="31"/>
      <c r="QYQ12" s="29"/>
      <c r="QYR12" s="45"/>
      <c r="QYT12" s="27"/>
      <c r="QYU12" s="1"/>
      <c r="QYV12" s="28"/>
      <c r="QYX12" s="28"/>
      <c r="QYY12" s="31"/>
      <c r="QYZ12" s="28"/>
      <c r="QZB12" s="28"/>
      <c r="QZC12" s="28"/>
      <c r="QZD12" s="29"/>
      <c r="QZE12" s="30"/>
      <c r="QZF12" s="31"/>
      <c r="QZG12" s="29"/>
      <c r="QZH12" s="45"/>
      <c r="QZJ12" s="27"/>
      <c r="QZK12" s="1"/>
      <c r="QZL12" s="28"/>
      <c r="QZN12" s="28"/>
      <c r="QZO12" s="31"/>
      <c r="QZP12" s="28"/>
      <c r="QZR12" s="28"/>
      <c r="QZS12" s="28"/>
      <c r="QZT12" s="29"/>
      <c r="QZU12" s="30"/>
      <c r="QZV12" s="31"/>
      <c r="QZW12" s="29"/>
      <c r="QZX12" s="45"/>
      <c r="QZZ12" s="27"/>
      <c r="RAA12" s="1"/>
      <c r="RAB12" s="28"/>
      <c r="RAD12" s="28"/>
      <c r="RAE12" s="31"/>
      <c r="RAF12" s="28"/>
      <c r="RAH12" s="28"/>
      <c r="RAI12" s="28"/>
      <c r="RAJ12" s="29"/>
      <c r="RAK12" s="30"/>
      <c r="RAL12" s="31"/>
      <c r="RAM12" s="29"/>
      <c r="RAN12" s="45"/>
      <c r="RAP12" s="27"/>
      <c r="RAQ12" s="1"/>
      <c r="RAR12" s="28"/>
      <c r="RAT12" s="28"/>
      <c r="RAU12" s="31"/>
      <c r="RAV12" s="28"/>
      <c r="RAX12" s="28"/>
      <c r="RAY12" s="28"/>
      <c r="RAZ12" s="29"/>
      <c r="RBA12" s="30"/>
      <c r="RBB12" s="31"/>
      <c r="RBC12" s="29"/>
      <c r="RBD12" s="45"/>
      <c r="RBF12" s="27"/>
      <c r="RBG12" s="1"/>
      <c r="RBH12" s="28"/>
      <c r="RBJ12" s="28"/>
      <c r="RBK12" s="31"/>
      <c r="RBL12" s="28"/>
      <c r="RBN12" s="28"/>
      <c r="RBO12" s="28"/>
      <c r="RBP12" s="29"/>
      <c r="RBQ12" s="30"/>
      <c r="RBR12" s="31"/>
      <c r="RBS12" s="29"/>
      <c r="RBT12" s="45"/>
      <c r="RBV12" s="27"/>
      <c r="RBW12" s="1"/>
      <c r="RBX12" s="28"/>
      <c r="RBZ12" s="28"/>
      <c r="RCA12" s="31"/>
      <c r="RCB12" s="28"/>
      <c r="RCD12" s="28"/>
      <c r="RCE12" s="28"/>
      <c r="RCF12" s="29"/>
      <c r="RCG12" s="30"/>
      <c r="RCH12" s="31"/>
      <c r="RCI12" s="29"/>
      <c r="RCJ12" s="45"/>
      <c r="RCL12" s="27"/>
      <c r="RCM12" s="1"/>
      <c r="RCN12" s="28"/>
      <c r="RCP12" s="28"/>
      <c r="RCQ12" s="31"/>
      <c r="RCR12" s="28"/>
      <c r="RCT12" s="28"/>
      <c r="RCU12" s="28"/>
      <c r="RCV12" s="29"/>
      <c r="RCW12" s="30"/>
      <c r="RCX12" s="31"/>
      <c r="RCY12" s="29"/>
      <c r="RCZ12" s="45"/>
      <c r="RDB12" s="27"/>
      <c r="RDC12" s="1"/>
      <c r="RDD12" s="28"/>
      <c r="RDF12" s="28"/>
      <c r="RDG12" s="31"/>
      <c r="RDH12" s="28"/>
      <c r="RDJ12" s="28"/>
      <c r="RDK12" s="28"/>
      <c r="RDL12" s="29"/>
      <c r="RDM12" s="30"/>
      <c r="RDN12" s="31"/>
      <c r="RDO12" s="29"/>
      <c r="RDP12" s="45"/>
      <c r="RDR12" s="27"/>
      <c r="RDS12" s="1"/>
      <c r="RDT12" s="28"/>
      <c r="RDV12" s="28"/>
      <c r="RDW12" s="31"/>
      <c r="RDX12" s="28"/>
      <c r="RDZ12" s="28"/>
      <c r="REA12" s="28"/>
      <c r="REB12" s="29"/>
      <c r="REC12" s="30"/>
      <c r="RED12" s="31"/>
      <c r="REE12" s="29"/>
      <c r="REF12" s="45"/>
      <c r="REH12" s="27"/>
      <c r="REI12" s="1"/>
      <c r="REJ12" s="28"/>
      <c r="REL12" s="28"/>
      <c r="REM12" s="31"/>
      <c r="REN12" s="28"/>
      <c r="REP12" s="28"/>
      <c r="REQ12" s="28"/>
      <c r="RER12" s="29"/>
      <c r="RES12" s="30"/>
      <c r="RET12" s="31"/>
      <c r="REU12" s="29"/>
      <c r="REV12" s="45"/>
      <c r="REX12" s="27"/>
      <c r="REY12" s="1"/>
      <c r="REZ12" s="28"/>
      <c r="RFB12" s="28"/>
      <c r="RFC12" s="31"/>
      <c r="RFD12" s="28"/>
      <c r="RFF12" s="28"/>
      <c r="RFG12" s="28"/>
      <c r="RFH12" s="29"/>
      <c r="RFI12" s="30"/>
      <c r="RFJ12" s="31"/>
      <c r="RFK12" s="29"/>
      <c r="RFL12" s="45"/>
      <c r="RFN12" s="27"/>
      <c r="RFO12" s="1"/>
      <c r="RFP12" s="28"/>
      <c r="RFR12" s="28"/>
      <c r="RFS12" s="31"/>
      <c r="RFT12" s="28"/>
      <c r="RFV12" s="28"/>
      <c r="RFW12" s="28"/>
      <c r="RFX12" s="29"/>
      <c r="RFY12" s="30"/>
      <c r="RFZ12" s="31"/>
      <c r="RGA12" s="29"/>
      <c r="RGB12" s="45"/>
      <c r="RGD12" s="27"/>
      <c r="RGE12" s="1"/>
      <c r="RGF12" s="28"/>
      <c r="RGH12" s="28"/>
      <c r="RGI12" s="31"/>
      <c r="RGJ12" s="28"/>
      <c r="RGL12" s="28"/>
      <c r="RGM12" s="28"/>
      <c r="RGN12" s="29"/>
      <c r="RGO12" s="30"/>
      <c r="RGP12" s="31"/>
      <c r="RGQ12" s="29"/>
      <c r="RGR12" s="45"/>
      <c r="RGT12" s="27"/>
      <c r="RGU12" s="1"/>
      <c r="RGV12" s="28"/>
      <c r="RGX12" s="28"/>
      <c r="RGY12" s="31"/>
      <c r="RGZ12" s="28"/>
      <c r="RHB12" s="28"/>
      <c r="RHC12" s="28"/>
      <c r="RHD12" s="29"/>
      <c r="RHE12" s="30"/>
      <c r="RHF12" s="31"/>
      <c r="RHG12" s="29"/>
      <c r="RHH12" s="45"/>
      <c r="RHJ12" s="27"/>
      <c r="RHK12" s="1"/>
      <c r="RHL12" s="28"/>
      <c r="RHN12" s="28"/>
      <c r="RHO12" s="31"/>
      <c r="RHP12" s="28"/>
      <c r="RHR12" s="28"/>
      <c r="RHS12" s="28"/>
      <c r="RHT12" s="29"/>
      <c r="RHU12" s="30"/>
      <c r="RHV12" s="31"/>
      <c r="RHW12" s="29"/>
      <c r="RHX12" s="45"/>
      <c r="RHZ12" s="27"/>
      <c r="RIA12" s="1"/>
      <c r="RIB12" s="28"/>
      <c r="RID12" s="28"/>
      <c r="RIE12" s="31"/>
      <c r="RIF12" s="28"/>
      <c r="RIH12" s="28"/>
      <c r="RII12" s="28"/>
      <c r="RIJ12" s="29"/>
      <c r="RIK12" s="30"/>
      <c r="RIL12" s="31"/>
      <c r="RIM12" s="29"/>
      <c r="RIN12" s="45"/>
      <c r="RIP12" s="27"/>
      <c r="RIQ12" s="1"/>
      <c r="RIR12" s="28"/>
      <c r="RIT12" s="28"/>
      <c r="RIU12" s="31"/>
      <c r="RIV12" s="28"/>
      <c r="RIX12" s="28"/>
      <c r="RIY12" s="28"/>
      <c r="RIZ12" s="29"/>
      <c r="RJA12" s="30"/>
      <c r="RJB12" s="31"/>
      <c r="RJC12" s="29"/>
      <c r="RJD12" s="45"/>
      <c r="RJF12" s="27"/>
      <c r="RJG12" s="1"/>
      <c r="RJH12" s="28"/>
      <c r="RJJ12" s="28"/>
      <c r="RJK12" s="31"/>
      <c r="RJL12" s="28"/>
      <c r="RJN12" s="28"/>
      <c r="RJO12" s="28"/>
      <c r="RJP12" s="29"/>
      <c r="RJQ12" s="30"/>
      <c r="RJR12" s="31"/>
      <c r="RJS12" s="29"/>
      <c r="RJT12" s="45"/>
      <c r="RJV12" s="27"/>
      <c r="RJW12" s="1"/>
      <c r="RJX12" s="28"/>
      <c r="RJZ12" s="28"/>
      <c r="RKA12" s="31"/>
      <c r="RKB12" s="28"/>
      <c r="RKD12" s="28"/>
      <c r="RKE12" s="28"/>
      <c r="RKF12" s="29"/>
      <c r="RKG12" s="30"/>
      <c r="RKH12" s="31"/>
      <c r="RKI12" s="29"/>
      <c r="RKJ12" s="45"/>
      <c r="RKL12" s="27"/>
      <c r="RKM12" s="1"/>
      <c r="RKN12" s="28"/>
      <c r="RKP12" s="28"/>
      <c r="RKQ12" s="31"/>
      <c r="RKR12" s="28"/>
      <c r="RKT12" s="28"/>
      <c r="RKU12" s="28"/>
      <c r="RKV12" s="29"/>
      <c r="RKW12" s="30"/>
      <c r="RKX12" s="31"/>
      <c r="RKY12" s="29"/>
      <c r="RKZ12" s="45"/>
      <c r="RLB12" s="27"/>
      <c r="RLC12" s="1"/>
      <c r="RLD12" s="28"/>
      <c r="RLF12" s="28"/>
      <c r="RLG12" s="31"/>
      <c r="RLH12" s="28"/>
      <c r="RLJ12" s="28"/>
      <c r="RLK12" s="28"/>
      <c r="RLL12" s="29"/>
      <c r="RLM12" s="30"/>
      <c r="RLN12" s="31"/>
      <c r="RLO12" s="29"/>
      <c r="RLP12" s="45"/>
      <c r="RLR12" s="27"/>
      <c r="RLS12" s="1"/>
      <c r="RLT12" s="28"/>
      <c r="RLV12" s="28"/>
      <c r="RLW12" s="31"/>
      <c r="RLX12" s="28"/>
      <c r="RLZ12" s="28"/>
      <c r="RMA12" s="28"/>
      <c r="RMB12" s="29"/>
      <c r="RMC12" s="30"/>
      <c r="RMD12" s="31"/>
      <c r="RME12" s="29"/>
      <c r="RMF12" s="45"/>
      <c r="RMH12" s="27"/>
      <c r="RMI12" s="1"/>
      <c r="RMJ12" s="28"/>
      <c r="RML12" s="28"/>
      <c r="RMM12" s="31"/>
      <c r="RMN12" s="28"/>
      <c r="RMP12" s="28"/>
      <c r="RMQ12" s="28"/>
      <c r="RMR12" s="29"/>
      <c r="RMS12" s="30"/>
      <c r="RMT12" s="31"/>
      <c r="RMU12" s="29"/>
      <c r="RMV12" s="45"/>
      <c r="RMX12" s="27"/>
      <c r="RMY12" s="1"/>
      <c r="RMZ12" s="28"/>
      <c r="RNB12" s="28"/>
      <c r="RNC12" s="31"/>
      <c r="RND12" s="28"/>
      <c r="RNF12" s="28"/>
      <c r="RNG12" s="28"/>
      <c r="RNH12" s="29"/>
      <c r="RNI12" s="30"/>
      <c r="RNJ12" s="31"/>
      <c r="RNK12" s="29"/>
      <c r="RNL12" s="45"/>
      <c r="RNN12" s="27"/>
      <c r="RNO12" s="1"/>
      <c r="RNP12" s="28"/>
      <c r="RNR12" s="28"/>
      <c r="RNS12" s="31"/>
      <c r="RNT12" s="28"/>
      <c r="RNV12" s="28"/>
      <c r="RNW12" s="28"/>
      <c r="RNX12" s="29"/>
      <c r="RNY12" s="30"/>
      <c r="RNZ12" s="31"/>
      <c r="ROA12" s="29"/>
      <c r="ROB12" s="45"/>
      <c r="ROD12" s="27"/>
      <c r="ROE12" s="1"/>
      <c r="ROF12" s="28"/>
      <c r="ROH12" s="28"/>
      <c r="ROI12" s="31"/>
      <c r="ROJ12" s="28"/>
      <c r="ROL12" s="28"/>
      <c r="ROM12" s="28"/>
      <c r="RON12" s="29"/>
      <c r="ROO12" s="30"/>
      <c r="ROP12" s="31"/>
      <c r="ROQ12" s="29"/>
      <c r="ROR12" s="45"/>
      <c r="ROT12" s="27"/>
      <c r="ROU12" s="1"/>
      <c r="ROV12" s="28"/>
      <c r="ROX12" s="28"/>
      <c r="ROY12" s="31"/>
      <c r="ROZ12" s="28"/>
      <c r="RPB12" s="28"/>
      <c r="RPC12" s="28"/>
      <c r="RPD12" s="29"/>
      <c r="RPE12" s="30"/>
      <c r="RPF12" s="31"/>
      <c r="RPG12" s="29"/>
      <c r="RPH12" s="45"/>
      <c r="RPJ12" s="27"/>
      <c r="RPK12" s="1"/>
      <c r="RPL12" s="28"/>
      <c r="RPN12" s="28"/>
      <c r="RPO12" s="31"/>
      <c r="RPP12" s="28"/>
      <c r="RPR12" s="28"/>
      <c r="RPS12" s="28"/>
      <c r="RPT12" s="29"/>
      <c r="RPU12" s="30"/>
      <c r="RPV12" s="31"/>
      <c r="RPW12" s="29"/>
      <c r="RPX12" s="45"/>
      <c r="RPZ12" s="27"/>
      <c r="RQA12" s="1"/>
      <c r="RQB12" s="28"/>
      <c r="RQD12" s="28"/>
      <c r="RQE12" s="31"/>
      <c r="RQF12" s="28"/>
      <c r="RQH12" s="28"/>
      <c r="RQI12" s="28"/>
      <c r="RQJ12" s="29"/>
      <c r="RQK12" s="30"/>
      <c r="RQL12" s="31"/>
      <c r="RQM12" s="29"/>
      <c r="RQN12" s="45"/>
      <c r="RQP12" s="27"/>
      <c r="RQQ12" s="1"/>
      <c r="RQR12" s="28"/>
      <c r="RQT12" s="28"/>
      <c r="RQU12" s="31"/>
      <c r="RQV12" s="28"/>
      <c r="RQX12" s="28"/>
      <c r="RQY12" s="28"/>
      <c r="RQZ12" s="29"/>
      <c r="RRA12" s="30"/>
      <c r="RRB12" s="31"/>
      <c r="RRC12" s="29"/>
      <c r="RRD12" s="45"/>
      <c r="RRF12" s="27"/>
      <c r="RRG12" s="1"/>
      <c r="RRH12" s="28"/>
      <c r="RRJ12" s="28"/>
      <c r="RRK12" s="31"/>
      <c r="RRL12" s="28"/>
      <c r="RRN12" s="28"/>
      <c r="RRO12" s="28"/>
      <c r="RRP12" s="29"/>
      <c r="RRQ12" s="30"/>
      <c r="RRR12" s="31"/>
      <c r="RRS12" s="29"/>
      <c r="RRT12" s="45"/>
      <c r="RRV12" s="27"/>
      <c r="RRW12" s="1"/>
      <c r="RRX12" s="28"/>
      <c r="RRZ12" s="28"/>
      <c r="RSA12" s="31"/>
      <c r="RSB12" s="28"/>
      <c r="RSD12" s="28"/>
      <c r="RSE12" s="28"/>
      <c r="RSF12" s="29"/>
      <c r="RSG12" s="30"/>
      <c r="RSH12" s="31"/>
      <c r="RSI12" s="29"/>
      <c r="RSJ12" s="45"/>
      <c r="RSL12" s="27"/>
      <c r="RSM12" s="1"/>
      <c r="RSN12" s="28"/>
      <c r="RSP12" s="28"/>
      <c r="RSQ12" s="31"/>
      <c r="RSR12" s="28"/>
      <c r="RST12" s="28"/>
      <c r="RSU12" s="28"/>
      <c r="RSV12" s="29"/>
      <c r="RSW12" s="30"/>
      <c r="RSX12" s="31"/>
      <c r="RSY12" s="29"/>
      <c r="RSZ12" s="45"/>
      <c r="RTB12" s="27"/>
      <c r="RTC12" s="1"/>
      <c r="RTD12" s="28"/>
      <c r="RTF12" s="28"/>
      <c r="RTG12" s="31"/>
      <c r="RTH12" s="28"/>
      <c r="RTJ12" s="28"/>
      <c r="RTK12" s="28"/>
      <c r="RTL12" s="29"/>
      <c r="RTM12" s="30"/>
      <c r="RTN12" s="31"/>
      <c r="RTO12" s="29"/>
      <c r="RTP12" s="45"/>
      <c r="RTR12" s="27"/>
      <c r="RTS12" s="1"/>
      <c r="RTT12" s="28"/>
      <c r="RTV12" s="28"/>
      <c r="RTW12" s="31"/>
      <c r="RTX12" s="28"/>
      <c r="RTZ12" s="28"/>
      <c r="RUA12" s="28"/>
      <c r="RUB12" s="29"/>
      <c r="RUC12" s="30"/>
      <c r="RUD12" s="31"/>
      <c r="RUE12" s="29"/>
      <c r="RUF12" s="45"/>
      <c r="RUH12" s="27"/>
      <c r="RUI12" s="1"/>
      <c r="RUJ12" s="28"/>
      <c r="RUL12" s="28"/>
      <c r="RUM12" s="31"/>
      <c r="RUN12" s="28"/>
      <c r="RUP12" s="28"/>
      <c r="RUQ12" s="28"/>
      <c r="RUR12" s="29"/>
      <c r="RUS12" s="30"/>
      <c r="RUT12" s="31"/>
      <c r="RUU12" s="29"/>
      <c r="RUV12" s="45"/>
      <c r="RUX12" s="27"/>
      <c r="RUY12" s="1"/>
      <c r="RUZ12" s="28"/>
      <c r="RVB12" s="28"/>
      <c r="RVC12" s="31"/>
      <c r="RVD12" s="28"/>
      <c r="RVF12" s="28"/>
      <c r="RVG12" s="28"/>
      <c r="RVH12" s="29"/>
      <c r="RVI12" s="30"/>
      <c r="RVJ12" s="31"/>
      <c r="RVK12" s="29"/>
      <c r="RVL12" s="45"/>
      <c r="RVN12" s="27"/>
      <c r="RVO12" s="1"/>
      <c r="RVP12" s="28"/>
      <c r="RVR12" s="28"/>
      <c r="RVS12" s="31"/>
      <c r="RVT12" s="28"/>
      <c r="RVV12" s="28"/>
      <c r="RVW12" s="28"/>
      <c r="RVX12" s="29"/>
      <c r="RVY12" s="30"/>
      <c r="RVZ12" s="31"/>
      <c r="RWA12" s="29"/>
      <c r="RWB12" s="45"/>
      <c r="RWD12" s="27"/>
      <c r="RWE12" s="1"/>
      <c r="RWF12" s="28"/>
      <c r="RWH12" s="28"/>
      <c r="RWI12" s="31"/>
      <c r="RWJ12" s="28"/>
      <c r="RWL12" s="28"/>
      <c r="RWM12" s="28"/>
      <c r="RWN12" s="29"/>
      <c r="RWO12" s="30"/>
      <c r="RWP12" s="31"/>
      <c r="RWQ12" s="29"/>
      <c r="RWR12" s="45"/>
      <c r="RWT12" s="27"/>
      <c r="RWU12" s="1"/>
      <c r="RWV12" s="28"/>
      <c r="RWX12" s="28"/>
      <c r="RWY12" s="31"/>
      <c r="RWZ12" s="28"/>
      <c r="RXB12" s="28"/>
      <c r="RXC12" s="28"/>
      <c r="RXD12" s="29"/>
      <c r="RXE12" s="30"/>
      <c r="RXF12" s="31"/>
      <c r="RXG12" s="29"/>
      <c r="RXH12" s="45"/>
      <c r="RXJ12" s="27"/>
      <c r="RXK12" s="1"/>
      <c r="RXL12" s="28"/>
      <c r="RXN12" s="28"/>
      <c r="RXO12" s="31"/>
      <c r="RXP12" s="28"/>
      <c r="RXR12" s="28"/>
      <c r="RXS12" s="28"/>
      <c r="RXT12" s="29"/>
      <c r="RXU12" s="30"/>
      <c r="RXV12" s="31"/>
      <c r="RXW12" s="29"/>
      <c r="RXX12" s="45"/>
      <c r="RXZ12" s="27"/>
      <c r="RYA12" s="1"/>
      <c r="RYB12" s="28"/>
      <c r="RYD12" s="28"/>
      <c r="RYE12" s="31"/>
      <c r="RYF12" s="28"/>
      <c r="RYH12" s="28"/>
      <c r="RYI12" s="28"/>
      <c r="RYJ12" s="29"/>
      <c r="RYK12" s="30"/>
      <c r="RYL12" s="31"/>
      <c r="RYM12" s="29"/>
      <c r="RYN12" s="45"/>
      <c r="RYP12" s="27"/>
      <c r="RYQ12" s="1"/>
      <c r="RYR12" s="28"/>
      <c r="RYT12" s="28"/>
      <c r="RYU12" s="31"/>
      <c r="RYV12" s="28"/>
      <c r="RYX12" s="28"/>
      <c r="RYY12" s="28"/>
      <c r="RYZ12" s="29"/>
      <c r="RZA12" s="30"/>
      <c r="RZB12" s="31"/>
      <c r="RZC12" s="29"/>
      <c r="RZD12" s="45"/>
      <c r="RZF12" s="27"/>
      <c r="RZG12" s="1"/>
      <c r="RZH12" s="28"/>
      <c r="RZJ12" s="28"/>
      <c r="RZK12" s="31"/>
      <c r="RZL12" s="28"/>
      <c r="RZN12" s="28"/>
      <c r="RZO12" s="28"/>
      <c r="RZP12" s="29"/>
      <c r="RZQ12" s="30"/>
      <c r="RZR12" s="31"/>
      <c r="RZS12" s="29"/>
      <c r="RZT12" s="45"/>
      <c r="RZV12" s="27"/>
      <c r="RZW12" s="1"/>
      <c r="RZX12" s="28"/>
      <c r="RZZ12" s="28"/>
      <c r="SAA12" s="31"/>
      <c r="SAB12" s="28"/>
      <c r="SAD12" s="28"/>
      <c r="SAE12" s="28"/>
      <c r="SAF12" s="29"/>
      <c r="SAG12" s="30"/>
      <c r="SAH12" s="31"/>
      <c r="SAI12" s="29"/>
      <c r="SAJ12" s="45"/>
      <c r="SAL12" s="27"/>
      <c r="SAM12" s="1"/>
      <c r="SAN12" s="28"/>
      <c r="SAP12" s="28"/>
      <c r="SAQ12" s="31"/>
      <c r="SAR12" s="28"/>
      <c r="SAT12" s="28"/>
      <c r="SAU12" s="28"/>
      <c r="SAV12" s="29"/>
      <c r="SAW12" s="30"/>
      <c r="SAX12" s="31"/>
      <c r="SAY12" s="29"/>
      <c r="SAZ12" s="45"/>
      <c r="SBB12" s="27"/>
      <c r="SBC12" s="1"/>
      <c r="SBD12" s="28"/>
      <c r="SBF12" s="28"/>
      <c r="SBG12" s="31"/>
      <c r="SBH12" s="28"/>
      <c r="SBJ12" s="28"/>
      <c r="SBK12" s="28"/>
      <c r="SBL12" s="29"/>
      <c r="SBM12" s="30"/>
      <c r="SBN12" s="31"/>
      <c r="SBO12" s="29"/>
      <c r="SBP12" s="45"/>
      <c r="SBR12" s="27"/>
      <c r="SBS12" s="1"/>
      <c r="SBT12" s="28"/>
      <c r="SBV12" s="28"/>
      <c r="SBW12" s="31"/>
      <c r="SBX12" s="28"/>
      <c r="SBZ12" s="28"/>
      <c r="SCA12" s="28"/>
      <c r="SCB12" s="29"/>
      <c r="SCC12" s="30"/>
      <c r="SCD12" s="31"/>
      <c r="SCE12" s="29"/>
      <c r="SCF12" s="45"/>
      <c r="SCH12" s="27"/>
      <c r="SCI12" s="1"/>
      <c r="SCJ12" s="28"/>
      <c r="SCL12" s="28"/>
      <c r="SCM12" s="31"/>
      <c r="SCN12" s="28"/>
      <c r="SCP12" s="28"/>
      <c r="SCQ12" s="28"/>
      <c r="SCR12" s="29"/>
      <c r="SCS12" s="30"/>
      <c r="SCT12" s="31"/>
      <c r="SCU12" s="29"/>
      <c r="SCV12" s="45"/>
      <c r="SCX12" s="27"/>
      <c r="SCY12" s="1"/>
      <c r="SCZ12" s="28"/>
      <c r="SDB12" s="28"/>
      <c r="SDC12" s="31"/>
      <c r="SDD12" s="28"/>
      <c r="SDF12" s="28"/>
      <c r="SDG12" s="28"/>
      <c r="SDH12" s="29"/>
      <c r="SDI12" s="30"/>
      <c r="SDJ12" s="31"/>
      <c r="SDK12" s="29"/>
      <c r="SDL12" s="45"/>
      <c r="SDN12" s="27"/>
      <c r="SDO12" s="1"/>
      <c r="SDP12" s="28"/>
      <c r="SDR12" s="28"/>
      <c r="SDS12" s="31"/>
      <c r="SDT12" s="28"/>
      <c r="SDV12" s="28"/>
      <c r="SDW12" s="28"/>
      <c r="SDX12" s="29"/>
      <c r="SDY12" s="30"/>
      <c r="SDZ12" s="31"/>
      <c r="SEA12" s="29"/>
      <c r="SEB12" s="45"/>
      <c r="SED12" s="27"/>
      <c r="SEE12" s="1"/>
      <c r="SEF12" s="28"/>
      <c r="SEH12" s="28"/>
      <c r="SEI12" s="31"/>
      <c r="SEJ12" s="28"/>
      <c r="SEL12" s="28"/>
      <c r="SEM12" s="28"/>
      <c r="SEN12" s="29"/>
      <c r="SEO12" s="30"/>
      <c r="SEP12" s="31"/>
      <c r="SEQ12" s="29"/>
      <c r="SER12" s="45"/>
      <c r="SET12" s="27"/>
      <c r="SEU12" s="1"/>
      <c r="SEV12" s="28"/>
      <c r="SEX12" s="28"/>
      <c r="SEY12" s="31"/>
      <c r="SEZ12" s="28"/>
      <c r="SFB12" s="28"/>
      <c r="SFC12" s="28"/>
      <c r="SFD12" s="29"/>
      <c r="SFE12" s="30"/>
      <c r="SFF12" s="31"/>
      <c r="SFG12" s="29"/>
      <c r="SFH12" s="45"/>
      <c r="SFJ12" s="27"/>
      <c r="SFK12" s="1"/>
      <c r="SFL12" s="28"/>
      <c r="SFN12" s="28"/>
      <c r="SFO12" s="31"/>
      <c r="SFP12" s="28"/>
      <c r="SFR12" s="28"/>
      <c r="SFS12" s="28"/>
      <c r="SFT12" s="29"/>
      <c r="SFU12" s="30"/>
      <c r="SFV12" s="31"/>
      <c r="SFW12" s="29"/>
      <c r="SFX12" s="45"/>
      <c r="SFZ12" s="27"/>
      <c r="SGA12" s="1"/>
      <c r="SGB12" s="28"/>
      <c r="SGD12" s="28"/>
      <c r="SGE12" s="31"/>
      <c r="SGF12" s="28"/>
      <c r="SGH12" s="28"/>
      <c r="SGI12" s="28"/>
      <c r="SGJ12" s="29"/>
      <c r="SGK12" s="30"/>
      <c r="SGL12" s="31"/>
      <c r="SGM12" s="29"/>
      <c r="SGN12" s="45"/>
      <c r="SGP12" s="27"/>
      <c r="SGQ12" s="1"/>
      <c r="SGR12" s="28"/>
      <c r="SGT12" s="28"/>
      <c r="SGU12" s="31"/>
      <c r="SGV12" s="28"/>
      <c r="SGX12" s="28"/>
      <c r="SGY12" s="28"/>
      <c r="SGZ12" s="29"/>
      <c r="SHA12" s="30"/>
      <c r="SHB12" s="31"/>
      <c r="SHC12" s="29"/>
      <c r="SHD12" s="45"/>
      <c r="SHF12" s="27"/>
      <c r="SHG12" s="1"/>
      <c r="SHH12" s="28"/>
      <c r="SHJ12" s="28"/>
      <c r="SHK12" s="31"/>
      <c r="SHL12" s="28"/>
      <c r="SHN12" s="28"/>
      <c r="SHO12" s="28"/>
      <c r="SHP12" s="29"/>
      <c r="SHQ12" s="30"/>
      <c r="SHR12" s="31"/>
      <c r="SHS12" s="29"/>
      <c r="SHT12" s="45"/>
      <c r="SHV12" s="27"/>
      <c r="SHW12" s="1"/>
      <c r="SHX12" s="28"/>
      <c r="SHZ12" s="28"/>
      <c r="SIA12" s="31"/>
      <c r="SIB12" s="28"/>
      <c r="SID12" s="28"/>
      <c r="SIE12" s="28"/>
      <c r="SIF12" s="29"/>
      <c r="SIG12" s="30"/>
      <c r="SIH12" s="31"/>
      <c r="SII12" s="29"/>
      <c r="SIJ12" s="45"/>
      <c r="SIL12" s="27"/>
      <c r="SIM12" s="1"/>
      <c r="SIN12" s="28"/>
      <c r="SIP12" s="28"/>
      <c r="SIQ12" s="31"/>
      <c r="SIR12" s="28"/>
      <c r="SIT12" s="28"/>
      <c r="SIU12" s="28"/>
      <c r="SIV12" s="29"/>
      <c r="SIW12" s="30"/>
      <c r="SIX12" s="31"/>
      <c r="SIY12" s="29"/>
      <c r="SIZ12" s="45"/>
      <c r="SJB12" s="27"/>
      <c r="SJC12" s="1"/>
      <c r="SJD12" s="28"/>
      <c r="SJF12" s="28"/>
      <c r="SJG12" s="31"/>
      <c r="SJH12" s="28"/>
      <c r="SJJ12" s="28"/>
      <c r="SJK12" s="28"/>
      <c r="SJL12" s="29"/>
      <c r="SJM12" s="30"/>
      <c r="SJN12" s="31"/>
      <c r="SJO12" s="29"/>
      <c r="SJP12" s="45"/>
      <c r="SJR12" s="27"/>
      <c r="SJS12" s="1"/>
      <c r="SJT12" s="28"/>
      <c r="SJV12" s="28"/>
      <c r="SJW12" s="31"/>
      <c r="SJX12" s="28"/>
      <c r="SJZ12" s="28"/>
      <c r="SKA12" s="28"/>
      <c r="SKB12" s="29"/>
      <c r="SKC12" s="30"/>
      <c r="SKD12" s="31"/>
      <c r="SKE12" s="29"/>
      <c r="SKF12" s="45"/>
      <c r="SKH12" s="27"/>
      <c r="SKI12" s="1"/>
      <c r="SKJ12" s="28"/>
      <c r="SKL12" s="28"/>
      <c r="SKM12" s="31"/>
      <c r="SKN12" s="28"/>
      <c r="SKP12" s="28"/>
      <c r="SKQ12" s="28"/>
      <c r="SKR12" s="29"/>
      <c r="SKS12" s="30"/>
      <c r="SKT12" s="31"/>
      <c r="SKU12" s="29"/>
      <c r="SKV12" s="45"/>
      <c r="SKX12" s="27"/>
      <c r="SKY12" s="1"/>
      <c r="SKZ12" s="28"/>
      <c r="SLB12" s="28"/>
      <c r="SLC12" s="31"/>
      <c r="SLD12" s="28"/>
      <c r="SLF12" s="28"/>
      <c r="SLG12" s="28"/>
      <c r="SLH12" s="29"/>
      <c r="SLI12" s="30"/>
      <c r="SLJ12" s="31"/>
      <c r="SLK12" s="29"/>
      <c r="SLL12" s="45"/>
      <c r="SLN12" s="27"/>
      <c r="SLO12" s="1"/>
      <c r="SLP12" s="28"/>
      <c r="SLR12" s="28"/>
      <c r="SLS12" s="31"/>
      <c r="SLT12" s="28"/>
      <c r="SLV12" s="28"/>
      <c r="SLW12" s="28"/>
      <c r="SLX12" s="29"/>
      <c r="SLY12" s="30"/>
      <c r="SLZ12" s="31"/>
      <c r="SMA12" s="29"/>
      <c r="SMB12" s="45"/>
      <c r="SMD12" s="27"/>
      <c r="SME12" s="1"/>
      <c r="SMF12" s="28"/>
      <c r="SMH12" s="28"/>
      <c r="SMI12" s="31"/>
      <c r="SMJ12" s="28"/>
      <c r="SML12" s="28"/>
      <c r="SMM12" s="28"/>
      <c r="SMN12" s="29"/>
      <c r="SMO12" s="30"/>
      <c r="SMP12" s="31"/>
      <c r="SMQ12" s="29"/>
      <c r="SMR12" s="45"/>
      <c r="SMT12" s="27"/>
      <c r="SMU12" s="1"/>
      <c r="SMV12" s="28"/>
      <c r="SMX12" s="28"/>
      <c r="SMY12" s="31"/>
      <c r="SMZ12" s="28"/>
      <c r="SNB12" s="28"/>
      <c r="SNC12" s="28"/>
      <c r="SND12" s="29"/>
      <c r="SNE12" s="30"/>
      <c r="SNF12" s="31"/>
      <c r="SNG12" s="29"/>
      <c r="SNH12" s="45"/>
      <c r="SNJ12" s="27"/>
      <c r="SNK12" s="1"/>
      <c r="SNL12" s="28"/>
      <c r="SNN12" s="28"/>
      <c r="SNO12" s="31"/>
      <c r="SNP12" s="28"/>
      <c r="SNR12" s="28"/>
      <c r="SNS12" s="28"/>
      <c r="SNT12" s="29"/>
      <c r="SNU12" s="30"/>
      <c r="SNV12" s="31"/>
      <c r="SNW12" s="29"/>
      <c r="SNX12" s="45"/>
      <c r="SNZ12" s="27"/>
      <c r="SOA12" s="1"/>
      <c r="SOB12" s="28"/>
      <c r="SOD12" s="28"/>
      <c r="SOE12" s="31"/>
      <c r="SOF12" s="28"/>
      <c r="SOH12" s="28"/>
      <c r="SOI12" s="28"/>
      <c r="SOJ12" s="29"/>
      <c r="SOK12" s="30"/>
      <c r="SOL12" s="31"/>
      <c r="SOM12" s="29"/>
      <c r="SON12" s="45"/>
      <c r="SOP12" s="27"/>
      <c r="SOQ12" s="1"/>
      <c r="SOR12" s="28"/>
      <c r="SOT12" s="28"/>
      <c r="SOU12" s="31"/>
      <c r="SOV12" s="28"/>
      <c r="SOX12" s="28"/>
      <c r="SOY12" s="28"/>
      <c r="SOZ12" s="29"/>
      <c r="SPA12" s="30"/>
      <c r="SPB12" s="31"/>
      <c r="SPC12" s="29"/>
      <c r="SPD12" s="45"/>
      <c r="SPF12" s="27"/>
      <c r="SPG12" s="1"/>
      <c r="SPH12" s="28"/>
      <c r="SPJ12" s="28"/>
      <c r="SPK12" s="31"/>
      <c r="SPL12" s="28"/>
      <c r="SPN12" s="28"/>
      <c r="SPO12" s="28"/>
      <c r="SPP12" s="29"/>
      <c r="SPQ12" s="30"/>
      <c r="SPR12" s="31"/>
      <c r="SPS12" s="29"/>
      <c r="SPT12" s="45"/>
      <c r="SPV12" s="27"/>
      <c r="SPW12" s="1"/>
      <c r="SPX12" s="28"/>
      <c r="SPZ12" s="28"/>
      <c r="SQA12" s="31"/>
      <c r="SQB12" s="28"/>
      <c r="SQD12" s="28"/>
      <c r="SQE12" s="28"/>
      <c r="SQF12" s="29"/>
      <c r="SQG12" s="30"/>
      <c r="SQH12" s="31"/>
      <c r="SQI12" s="29"/>
      <c r="SQJ12" s="45"/>
      <c r="SQL12" s="27"/>
      <c r="SQM12" s="1"/>
      <c r="SQN12" s="28"/>
      <c r="SQP12" s="28"/>
      <c r="SQQ12" s="31"/>
      <c r="SQR12" s="28"/>
      <c r="SQT12" s="28"/>
      <c r="SQU12" s="28"/>
      <c r="SQV12" s="29"/>
      <c r="SQW12" s="30"/>
      <c r="SQX12" s="31"/>
      <c r="SQY12" s="29"/>
      <c r="SQZ12" s="45"/>
      <c r="SRB12" s="27"/>
      <c r="SRC12" s="1"/>
      <c r="SRD12" s="28"/>
      <c r="SRF12" s="28"/>
      <c r="SRG12" s="31"/>
      <c r="SRH12" s="28"/>
      <c r="SRJ12" s="28"/>
      <c r="SRK12" s="28"/>
      <c r="SRL12" s="29"/>
      <c r="SRM12" s="30"/>
      <c r="SRN12" s="31"/>
      <c r="SRO12" s="29"/>
      <c r="SRP12" s="45"/>
      <c r="SRR12" s="27"/>
      <c r="SRS12" s="1"/>
      <c r="SRT12" s="28"/>
      <c r="SRV12" s="28"/>
      <c r="SRW12" s="31"/>
      <c r="SRX12" s="28"/>
      <c r="SRZ12" s="28"/>
      <c r="SSA12" s="28"/>
      <c r="SSB12" s="29"/>
      <c r="SSC12" s="30"/>
      <c r="SSD12" s="31"/>
      <c r="SSE12" s="29"/>
      <c r="SSF12" s="45"/>
      <c r="SSH12" s="27"/>
      <c r="SSI12" s="1"/>
      <c r="SSJ12" s="28"/>
      <c r="SSL12" s="28"/>
      <c r="SSM12" s="31"/>
      <c r="SSN12" s="28"/>
      <c r="SSP12" s="28"/>
      <c r="SSQ12" s="28"/>
      <c r="SSR12" s="29"/>
      <c r="SSS12" s="30"/>
      <c r="SST12" s="31"/>
      <c r="SSU12" s="29"/>
      <c r="SSV12" s="45"/>
      <c r="SSX12" s="27"/>
      <c r="SSY12" s="1"/>
      <c r="SSZ12" s="28"/>
      <c r="STB12" s="28"/>
      <c r="STC12" s="31"/>
      <c r="STD12" s="28"/>
      <c r="STF12" s="28"/>
      <c r="STG12" s="28"/>
      <c r="STH12" s="29"/>
      <c r="STI12" s="30"/>
      <c r="STJ12" s="31"/>
      <c r="STK12" s="29"/>
      <c r="STL12" s="45"/>
      <c r="STN12" s="27"/>
      <c r="STO12" s="1"/>
      <c r="STP12" s="28"/>
      <c r="STR12" s="28"/>
      <c r="STS12" s="31"/>
      <c r="STT12" s="28"/>
      <c r="STV12" s="28"/>
      <c r="STW12" s="28"/>
      <c r="STX12" s="29"/>
      <c r="STY12" s="30"/>
      <c r="STZ12" s="31"/>
      <c r="SUA12" s="29"/>
      <c r="SUB12" s="45"/>
      <c r="SUD12" s="27"/>
      <c r="SUE12" s="1"/>
      <c r="SUF12" s="28"/>
      <c r="SUH12" s="28"/>
      <c r="SUI12" s="31"/>
      <c r="SUJ12" s="28"/>
      <c r="SUL12" s="28"/>
      <c r="SUM12" s="28"/>
      <c r="SUN12" s="29"/>
      <c r="SUO12" s="30"/>
      <c r="SUP12" s="31"/>
      <c r="SUQ12" s="29"/>
      <c r="SUR12" s="45"/>
      <c r="SUT12" s="27"/>
      <c r="SUU12" s="1"/>
      <c r="SUV12" s="28"/>
      <c r="SUX12" s="28"/>
      <c r="SUY12" s="31"/>
      <c r="SUZ12" s="28"/>
      <c r="SVB12" s="28"/>
      <c r="SVC12" s="28"/>
      <c r="SVD12" s="29"/>
      <c r="SVE12" s="30"/>
      <c r="SVF12" s="31"/>
      <c r="SVG12" s="29"/>
      <c r="SVH12" s="45"/>
      <c r="SVJ12" s="27"/>
      <c r="SVK12" s="1"/>
      <c r="SVL12" s="28"/>
      <c r="SVN12" s="28"/>
      <c r="SVO12" s="31"/>
      <c r="SVP12" s="28"/>
      <c r="SVR12" s="28"/>
      <c r="SVS12" s="28"/>
      <c r="SVT12" s="29"/>
      <c r="SVU12" s="30"/>
      <c r="SVV12" s="31"/>
      <c r="SVW12" s="29"/>
      <c r="SVX12" s="45"/>
      <c r="SVZ12" s="27"/>
      <c r="SWA12" s="1"/>
      <c r="SWB12" s="28"/>
      <c r="SWD12" s="28"/>
      <c r="SWE12" s="31"/>
      <c r="SWF12" s="28"/>
      <c r="SWH12" s="28"/>
      <c r="SWI12" s="28"/>
      <c r="SWJ12" s="29"/>
      <c r="SWK12" s="30"/>
      <c r="SWL12" s="31"/>
      <c r="SWM12" s="29"/>
      <c r="SWN12" s="45"/>
      <c r="SWP12" s="27"/>
      <c r="SWQ12" s="1"/>
      <c r="SWR12" s="28"/>
      <c r="SWT12" s="28"/>
      <c r="SWU12" s="31"/>
      <c r="SWV12" s="28"/>
      <c r="SWX12" s="28"/>
      <c r="SWY12" s="28"/>
      <c r="SWZ12" s="29"/>
      <c r="SXA12" s="30"/>
      <c r="SXB12" s="31"/>
      <c r="SXC12" s="29"/>
      <c r="SXD12" s="45"/>
      <c r="SXF12" s="27"/>
      <c r="SXG12" s="1"/>
      <c r="SXH12" s="28"/>
      <c r="SXJ12" s="28"/>
      <c r="SXK12" s="31"/>
      <c r="SXL12" s="28"/>
      <c r="SXN12" s="28"/>
      <c r="SXO12" s="28"/>
      <c r="SXP12" s="29"/>
      <c r="SXQ12" s="30"/>
      <c r="SXR12" s="31"/>
      <c r="SXS12" s="29"/>
      <c r="SXT12" s="45"/>
      <c r="SXV12" s="27"/>
      <c r="SXW12" s="1"/>
      <c r="SXX12" s="28"/>
      <c r="SXZ12" s="28"/>
      <c r="SYA12" s="31"/>
      <c r="SYB12" s="28"/>
      <c r="SYD12" s="28"/>
      <c r="SYE12" s="28"/>
      <c r="SYF12" s="29"/>
      <c r="SYG12" s="30"/>
      <c r="SYH12" s="31"/>
      <c r="SYI12" s="29"/>
      <c r="SYJ12" s="45"/>
      <c r="SYL12" s="27"/>
      <c r="SYM12" s="1"/>
      <c r="SYN12" s="28"/>
      <c r="SYP12" s="28"/>
      <c r="SYQ12" s="31"/>
      <c r="SYR12" s="28"/>
      <c r="SYT12" s="28"/>
      <c r="SYU12" s="28"/>
      <c r="SYV12" s="29"/>
      <c r="SYW12" s="30"/>
      <c r="SYX12" s="31"/>
      <c r="SYY12" s="29"/>
      <c r="SYZ12" s="45"/>
      <c r="SZB12" s="27"/>
      <c r="SZC12" s="1"/>
      <c r="SZD12" s="28"/>
      <c r="SZF12" s="28"/>
      <c r="SZG12" s="31"/>
      <c r="SZH12" s="28"/>
      <c r="SZJ12" s="28"/>
      <c r="SZK12" s="28"/>
      <c r="SZL12" s="29"/>
      <c r="SZM12" s="30"/>
      <c r="SZN12" s="31"/>
      <c r="SZO12" s="29"/>
      <c r="SZP12" s="45"/>
      <c r="SZR12" s="27"/>
      <c r="SZS12" s="1"/>
      <c r="SZT12" s="28"/>
      <c r="SZV12" s="28"/>
      <c r="SZW12" s="31"/>
      <c r="SZX12" s="28"/>
      <c r="SZZ12" s="28"/>
      <c r="TAA12" s="28"/>
      <c r="TAB12" s="29"/>
      <c r="TAC12" s="30"/>
      <c r="TAD12" s="31"/>
      <c r="TAE12" s="29"/>
      <c r="TAF12" s="45"/>
      <c r="TAH12" s="27"/>
      <c r="TAI12" s="1"/>
      <c r="TAJ12" s="28"/>
      <c r="TAL12" s="28"/>
      <c r="TAM12" s="31"/>
      <c r="TAN12" s="28"/>
      <c r="TAP12" s="28"/>
      <c r="TAQ12" s="28"/>
      <c r="TAR12" s="29"/>
      <c r="TAS12" s="30"/>
      <c r="TAT12" s="31"/>
      <c r="TAU12" s="29"/>
      <c r="TAV12" s="45"/>
      <c r="TAX12" s="27"/>
      <c r="TAY12" s="1"/>
      <c r="TAZ12" s="28"/>
      <c r="TBB12" s="28"/>
      <c r="TBC12" s="31"/>
      <c r="TBD12" s="28"/>
      <c r="TBF12" s="28"/>
      <c r="TBG12" s="28"/>
      <c r="TBH12" s="29"/>
      <c r="TBI12" s="30"/>
      <c r="TBJ12" s="31"/>
      <c r="TBK12" s="29"/>
      <c r="TBL12" s="45"/>
      <c r="TBN12" s="27"/>
      <c r="TBO12" s="1"/>
      <c r="TBP12" s="28"/>
      <c r="TBR12" s="28"/>
      <c r="TBS12" s="31"/>
      <c r="TBT12" s="28"/>
      <c r="TBV12" s="28"/>
      <c r="TBW12" s="28"/>
      <c r="TBX12" s="29"/>
      <c r="TBY12" s="30"/>
      <c r="TBZ12" s="31"/>
      <c r="TCA12" s="29"/>
      <c r="TCB12" s="45"/>
      <c r="TCD12" s="27"/>
      <c r="TCE12" s="1"/>
      <c r="TCF12" s="28"/>
      <c r="TCH12" s="28"/>
      <c r="TCI12" s="31"/>
      <c r="TCJ12" s="28"/>
      <c r="TCL12" s="28"/>
      <c r="TCM12" s="28"/>
      <c r="TCN12" s="29"/>
      <c r="TCO12" s="30"/>
      <c r="TCP12" s="31"/>
      <c r="TCQ12" s="29"/>
      <c r="TCR12" s="45"/>
      <c r="TCT12" s="27"/>
      <c r="TCU12" s="1"/>
      <c r="TCV12" s="28"/>
      <c r="TCX12" s="28"/>
      <c r="TCY12" s="31"/>
      <c r="TCZ12" s="28"/>
      <c r="TDB12" s="28"/>
      <c r="TDC12" s="28"/>
      <c r="TDD12" s="29"/>
      <c r="TDE12" s="30"/>
      <c r="TDF12" s="31"/>
      <c r="TDG12" s="29"/>
      <c r="TDH12" s="45"/>
      <c r="TDJ12" s="27"/>
      <c r="TDK12" s="1"/>
      <c r="TDL12" s="28"/>
      <c r="TDN12" s="28"/>
      <c r="TDO12" s="31"/>
      <c r="TDP12" s="28"/>
      <c r="TDR12" s="28"/>
      <c r="TDS12" s="28"/>
      <c r="TDT12" s="29"/>
      <c r="TDU12" s="30"/>
      <c r="TDV12" s="31"/>
      <c r="TDW12" s="29"/>
      <c r="TDX12" s="45"/>
      <c r="TDZ12" s="27"/>
      <c r="TEA12" s="1"/>
      <c r="TEB12" s="28"/>
      <c r="TED12" s="28"/>
      <c r="TEE12" s="31"/>
      <c r="TEF12" s="28"/>
      <c r="TEH12" s="28"/>
      <c r="TEI12" s="28"/>
      <c r="TEJ12" s="29"/>
      <c r="TEK12" s="30"/>
      <c r="TEL12" s="31"/>
      <c r="TEM12" s="29"/>
      <c r="TEN12" s="45"/>
      <c r="TEP12" s="27"/>
      <c r="TEQ12" s="1"/>
      <c r="TER12" s="28"/>
      <c r="TET12" s="28"/>
      <c r="TEU12" s="31"/>
      <c r="TEV12" s="28"/>
      <c r="TEX12" s="28"/>
      <c r="TEY12" s="28"/>
      <c r="TEZ12" s="29"/>
      <c r="TFA12" s="30"/>
      <c r="TFB12" s="31"/>
      <c r="TFC12" s="29"/>
      <c r="TFD12" s="45"/>
      <c r="TFF12" s="27"/>
      <c r="TFG12" s="1"/>
      <c r="TFH12" s="28"/>
      <c r="TFJ12" s="28"/>
      <c r="TFK12" s="31"/>
      <c r="TFL12" s="28"/>
      <c r="TFN12" s="28"/>
      <c r="TFO12" s="28"/>
      <c r="TFP12" s="29"/>
      <c r="TFQ12" s="30"/>
      <c r="TFR12" s="31"/>
      <c r="TFS12" s="29"/>
      <c r="TFT12" s="45"/>
      <c r="TFV12" s="27"/>
      <c r="TFW12" s="1"/>
      <c r="TFX12" s="28"/>
      <c r="TFZ12" s="28"/>
      <c r="TGA12" s="31"/>
      <c r="TGB12" s="28"/>
      <c r="TGD12" s="28"/>
      <c r="TGE12" s="28"/>
      <c r="TGF12" s="29"/>
      <c r="TGG12" s="30"/>
      <c r="TGH12" s="31"/>
      <c r="TGI12" s="29"/>
      <c r="TGJ12" s="45"/>
      <c r="TGL12" s="27"/>
      <c r="TGM12" s="1"/>
      <c r="TGN12" s="28"/>
      <c r="TGP12" s="28"/>
      <c r="TGQ12" s="31"/>
      <c r="TGR12" s="28"/>
      <c r="TGT12" s="28"/>
      <c r="TGU12" s="28"/>
      <c r="TGV12" s="29"/>
      <c r="TGW12" s="30"/>
      <c r="TGX12" s="31"/>
      <c r="TGY12" s="29"/>
      <c r="TGZ12" s="45"/>
      <c r="THB12" s="27"/>
      <c r="THC12" s="1"/>
      <c r="THD12" s="28"/>
      <c r="THF12" s="28"/>
      <c r="THG12" s="31"/>
      <c r="THH12" s="28"/>
      <c r="THJ12" s="28"/>
      <c r="THK12" s="28"/>
      <c r="THL12" s="29"/>
      <c r="THM12" s="30"/>
      <c r="THN12" s="31"/>
      <c r="THO12" s="29"/>
      <c r="THP12" s="45"/>
      <c r="THR12" s="27"/>
      <c r="THS12" s="1"/>
      <c r="THT12" s="28"/>
      <c r="THV12" s="28"/>
      <c r="THW12" s="31"/>
      <c r="THX12" s="28"/>
      <c r="THZ12" s="28"/>
      <c r="TIA12" s="28"/>
      <c r="TIB12" s="29"/>
      <c r="TIC12" s="30"/>
      <c r="TID12" s="31"/>
      <c r="TIE12" s="29"/>
      <c r="TIF12" s="45"/>
      <c r="TIH12" s="27"/>
      <c r="TII12" s="1"/>
      <c r="TIJ12" s="28"/>
      <c r="TIL12" s="28"/>
      <c r="TIM12" s="31"/>
      <c r="TIN12" s="28"/>
      <c r="TIP12" s="28"/>
      <c r="TIQ12" s="28"/>
      <c r="TIR12" s="29"/>
      <c r="TIS12" s="30"/>
      <c r="TIT12" s="31"/>
      <c r="TIU12" s="29"/>
      <c r="TIV12" s="45"/>
      <c r="TIX12" s="27"/>
      <c r="TIY12" s="1"/>
      <c r="TIZ12" s="28"/>
      <c r="TJB12" s="28"/>
      <c r="TJC12" s="31"/>
      <c r="TJD12" s="28"/>
      <c r="TJF12" s="28"/>
      <c r="TJG12" s="28"/>
      <c r="TJH12" s="29"/>
      <c r="TJI12" s="30"/>
      <c r="TJJ12" s="31"/>
      <c r="TJK12" s="29"/>
      <c r="TJL12" s="45"/>
      <c r="TJN12" s="27"/>
      <c r="TJO12" s="1"/>
      <c r="TJP12" s="28"/>
      <c r="TJR12" s="28"/>
      <c r="TJS12" s="31"/>
      <c r="TJT12" s="28"/>
      <c r="TJV12" s="28"/>
      <c r="TJW12" s="28"/>
      <c r="TJX12" s="29"/>
      <c r="TJY12" s="30"/>
      <c r="TJZ12" s="31"/>
      <c r="TKA12" s="29"/>
      <c r="TKB12" s="45"/>
      <c r="TKD12" s="27"/>
      <c r="TKE12" s="1"/>
      <c r="TKF12" s="28"/>
      <c r="TKH12" s="28"/>
      <c r="TKI12" s="31"/>
      <c r="TKJ12" s="28"/>
      <c r="TKL12" s="28"/>
      <c r="TKM12" s="28"/>
      <c r="TKN12" s="29"/>
      <c r="TKO12" s="30"/>
      <c r="TKP12" s="31"/>
      <c r="TKQ12" s="29"/>
      <c r="TKR12" s="45"/>
      <c r="TKT12" s="27"/>
      <c r="TKU12" s="1"/>
      <c r="TKV12" s="28"/>
      <c r="TKX12" s="28"/>
      <c r="TKY12" s="31"/>
      <c r="TKZ12" s="28"/>
      <c r="TLB12" s="28"/>
      <c r="TLC12" s="28"/>
      <c r="TLD12" s="29"/>
      <c r="TLE12" s="30"/>
      <c r="TLF12" s="31"/>
      <c r="TLG12" s="29"/>
      <c r="TLH12" s="45"/>
      <c r="TLJ12" s="27"/>
      <c r="TLK12" s="1"/>
      <c r="TLL12" s="28"/>
      <c r="TLN12" s="28"/>
      <c r="TLO12" s="31"/>
      <c r="TLP12" s="28"/>
      <c r="TLR12" s="28"/>
      <c r="TLS12" s="28"/>
      <c r="TLT12" s="29"/>
      <c r="TLU12" s="30"/>
      <c r="TLV12" s="31"/>
      <c r="TLW12" s="29"/>
      <c r="TLX12" s="45"/>
      <c r="TLZ12" s="27"/>
      <c r="TMA12" s="1"/>
      <c r="TMB12" s="28"/>
      <c r="TMD12" s="28"/>
      <c r="TME12" s="31"/>
      <c r="TMF12" s="28"/>
      <c r="TMH12" s="28"/>
      <c r="TMI12" s="28"/>
      <c r="TMJ12" s="29"/>
      <c r="TMK12" s="30"/>
      <c r="TML12" s="31"/>
      <c r="TMM12" s="29"/>
      <c r="TMN12" s="45"/>
      <c r="TMP12" s="27"/>
      <c r="TMQ12" s="1"/>
      <c r="TMR12" s="28"/>
      <c r="TMT12" s="28"/>
      <c r="TMU12" s="31"/>
      <c r="TMV12" s="28"/>
      <c r="TMX12" s="28"/>
      <c r="TMY12" s="28"/>
      <c r="TMZ12" s="29"/>
      <c r="TNA12" s="30"/>
      <c r="TNB12" s="31"/>
      <c r="TNC12" s="29"/>
      <c r="TND12" s="45"/>
      <c r="TNF12" s="27"/>
      <c r="TNG12" s="1"/>
      <c r="TNH12" s="28"/>
      <c r="TNJ12" s="28"/>
      <c r="TNK12" s="31"/>
      <c r="TNL12" s="28"/>
      <c r="TNN12" s="28"/>
      <c r="TNO12" s="28"/>
      <c r="TNP12" s="29"/>
      <c r="TNQ12" s="30"/>
      <c r="TNR12" s="31"/>
      <c r="TNS12" s="29"/>
      <c r="TNT12" s="45"/>
      <c r="TNV12" s="27"/>
      <c r="TNW12" s="1"/>
      <c r="TNX12" s="28"/>
      <c r="TNZ12" s="28"/>
      <c r="TOA12" s="31"/>
      <c r="TOB12" s="28"/>
      <c r="TOD12" s="28"/>
      <c r="TOE12" s="28"/>
      <c r="TOF12" s="29"/>
      <c r="TOG12" s="30"/>
      <c r="TOH12" s="31"/>
      <c r="TOI12" s="29"/>
      <c r="TOJ12" s="45"/>
      <c r="TOL12" s="27"/>
      <c r="TOM12" s="1"/>
      <c r="TON12" s="28"/>
      <c r="TOP12" s="28"/>
      <c r="TOQ12" s="31"/>
      <c r="TOR12" s="28"/>
      <c r="TOT12" s="28"/>
      <c r="TOU12" s="28"/>
      <c r="TOV12" s="29"/>
      <c r="TOW12" s="30"/>
      <c r="TOX12" s="31"/>
      <c r="TOY12" s="29"/>
      <c r="TOZ12" s="45"/>
      <c r="TPB12" s="27"/>
      <c r="TPC12" s="1"/>
      <c r="TPD12" s="28"/>
      <c r="TPF12" s="28"/>
      <c r="TPG12" s="31"/>
      <c r="TPH12" s="28"/>
      <c r="TPJ12" s="28"/>
      <c r="TPK12" s="28"/>
      <c r="TPL12" s="29"/>
      <c r="TPM12" s="30"/>
      <c r="TPN12" s="31"/>
      <c r="TPO12" s="29"/>
      <c r="TPP12" s="45"/>
      <c r="TPR12" s="27"/>
      <c r="TPS12" s="1"/>
      <c r="TPT12" s="28"/>
      <c r="TPV12" s="28"/>
      <c r="TPW12" s="31"/>
      <c r="TPX12" s="28"/>
      <c r="TPZ12" s="28"/>
      <c r="TQA12" s="28"/>
      <c r="TQB12" s="29"/>
      <c r="TQC12" s="30"/>
      <c r="TQD12" s="31"/>
      <c r="TQE12" s="29"/>
      <c r="TQF12" s="45"/>
      <c r="TQH12" s="27"/>
      <c r="TQI12" s="1"/>
      <c r="TQJ12" s="28"/>
      <c r="TQL12" s="28"/>
      <c r="TQM12" s="31"/>
      <c r="TQN12" s="28"/>
      <c r="TQP12" s="28"/>
      <c r="TQQ12" s="28"/>
      <c r="TQR12" s="29"/>
      <c r="TQS12" s="30"/>
      <c r="TQT12" s="31"/>
      <c r="TQU12" s="29"/>
      <c r="TQV12" s="45"/>
      <c r="TQX12" s="27"/>
      <c r="TQY12" s="1"/>
      <c r="TQZ12" s="28"/>
      <c r="TRB12" s="28"/>
      <c r="TRC12" s="31"/>
      <c r="TRD12" s="28"/>
      <c r="TRF12" s="28"/>
      <c r="TRG12" s="28"/>
      <c r="TRH12" s="29"/>
      <c r="TRI12" s="30"/>
      <c r="TRJ12" s="31"/>
      <c r="TRK12" s="29"/>
      <c r="TRL12" s="45"/>
      <c r="TRN12" s="27"/>
      <c r="TRO12" s="1"/>
      <c r="TRP12" s="28"/>
      <c r="TRR12" s="28"/>
      <c r="TRS12" s="31"/>
      <c r="TRT12" s="28"/>
      <c r="TRV12" s="28"/>
      <c r="TRW12" s="28"/>
      <c r="TRX12" s="29"/>
      <c r="TRY12" s="30"/>
      <c r="TRZ12" s="31"/>
      <c r="TSA12" s="29"/>
      <c r="TSB12" s="45"/>
      <c r="TSD12" s="27"/>
      <c r="TSE12" s="1"/>
      <c r="TSF12" s="28"/>
      <c r="TSH12" s="28"/>
      <c r="TSI12" s="31"/>
      <c r="TSJ12" s="28"/>
      <c r="TSL12" s="28"/>
      <c r="TSM12" s="28"/>
      <c r="TSN12" s="29"/>
      <c r="TSO12" s="30"/>
      <c r="TSP12" s="31"/>
      <c r="TSQ12" s="29"/>
      <c r="TSR12" s="45"/>
      <c r="TST12" s="27"/>
      <c r="TSU12" s="1"/>
      <c r="TSV12" s="28"/>
      <c r="TSX12" s="28"/>
      <c r="TSY12" s="31"/>
      <c r="TSZ12" s="28"/>
      <c r="TTB12" s="28"/>
      <c r="TTC12" s="28"/>
      <c r="TTD12" s="29"/>
      <c r="TTE12" s="30"/>
      <c r="TTF12" s="31"/>
      <c r="TTG12" s="29"/>
      <c r="TTH12" s="45"/>
      <c r="TTJ12" s="27"/>
      <c r="TTK12" s="1"/>
      <c r="TTL12" s="28"/>
      <c r="TTN12" s="28"/>
      <c r="TTO12" s="31"/>
      <c r="TTP12" s="28"/>
      <c r="TTR12" s="28"/>
      <c r="TTS12" s="28"/>
      <c r="TTT12" s="29"/>
      <c r="TTU12" s="30"/>
      <c r="TTV12" s="31"/>
      <c r="TTW12" s="29"/>
      <c r="TTX12" s="45"/>
      <c r="TTZ12" s="27"/>
      <c r="TUA12" s="1"/>
      <c r="TUB12" s="28"/>
      <c r="TUD12" s="28"/>
      <c r="TUE12" s="31"/>
      <c r="TUF12" s="28"/>
      <c r="TUH12" s="28"/>
      <c r="TUI12" s="28"/>
      <c r="TUJ12" s="29"/>
      <c r="TUK12" s="30"/>
      <c r="TUL12" s="31"/>
      <c r="TUM12" s="29"/>
      <c r="TUN12" s="45"/>
      <c r="TUP12" s="27"/>
      <c r="TUQ12" s="1"/>
      <c r="TUR12" s="28"/>
      <c r="TUT12" s="28"/>
      <c r="TUU12" s="31"/>
      <c r="TUV12" s="28"/>
      <c r="TUX12" s="28"/>
      <c r="TUY12" s="28"/>
      <c r="TUZ12" s="29"/>
      <c r="TVA12" s="30"/>
      <c r="TVB12" s="31"/>
      <c r="TVC12" s="29"/>
      <c r="TVD12" s="45"/>
      <c r="TVF12" s="27"/>
      <c r="TVG12" s="1"/>
      <c r="TVH12" s="28"/>
      <c r="TVJ12" s="28"/>
      <c r="TVK12" s="31"/>
      <c r="TVL12" s="28"/>
      <c r="TVN12" s="28"/>
      <c r="TVO12" s="28"/>
      <c r="TVP12" s="29"/>
      <c r="TVQ12" s="30"/>
      <c r="TVR12" s="31"/>
      <c r="TVS12" s="29"/>
      <c r="TVT12" s="45"/>
      <c r="TVV12" s="27"/>
      <c r="TVW12" s="1"/>
      <c r="TVX12" s="28"/>
      <c r="TVZ12" s="28"/>
      <c r="TWA12" s="31"/>
      <c r="TWB12" s="28"/>
      <c r="TWD12" s="28"/>
      <c r="TWE12" s="28"/>
      <c r="TWF12" s="29"/>
      <c r="TWG12" s="30"/>
      <c r="TWH12" s="31"/>
      <c r="TWI12" s="29"/>
      <c r="TWJ12" s="45"/>
      <c r="TWL12" s="27"/>
      <c r="TWM12" s="1"/>
      <c r="TWN12" s="28"/>
      <c r="TWP12" s="28"/>
      <c r="TWQ12" s="31"/>
      <c r="TWR12" s="28"/>
      <c r="TWT12" s="28"/>
      <c r="TWU12" s="28"/>
      <c r="TWV12" s="29"/>
      <c r="TWW12" s="30"/>
      <c r="TWX12" s="31"/>
      <c r="TWY12" s="29"/>
      <c r="TWZ12" s="45"/>
      <c r="TXB12" s="27"/>
      <c r="TXC12" s="1"/>
      <c r="TXD12" s="28"/>
      <c r="TXF12" s="28"/>
      <c r="TXG12" s="31"/>
      <c r="TXH12" s="28"/>
      <c r="TXJ12" s="28"/>
      <c r="TXK12" s="28"/>
      <c r="TXL12" s="29"/>
      <c r="TXM12" s="30"/>
      <c r="TXN12" s="31"/>
      <c r="TXO12" s="29"/>
      <c r="TXP12" s="45"/>
      <c r="TXR12" s="27"/>
      <c r="TXS12" s="1"/>
      <c r="TXT12" s="28"/>
      <c r="TXV12" s="28"/>
      <c r="TXW12" s="31"/>
      <c r="TXX12" s="28"/>
      <c r="TXZ12" s="28"/>
      <c r="TYA12" s="28"/>
      <c r="TYB12" s="29"/>
      <c r="TYC12" s="30"/>
      <c r="TYD12" s="31"/>
      <c r="TYE12" s="29"/>
      <c r="TYF12" s="45"/>
      <c r="TYH12" s="27"/>
      <c r="TYI12" s="1"/>
      <c r="TYJ12" s="28"/>
      <c r="TYL12" s="28"/>
      <c r="TYM12" s="31"/>
      <c r="TYN12" s="28"/>
      <c r="TYP12" s="28"/>
      <c r="TYQ12" s="28"/>
      <c r="TYR12" s="29"/>
      <c r="TYS12" s="30"/>
      <c r="TYT12" s="31"/>
      <c r="TYU12" s="29"/>
      <c r="TYV12" s="45"/>
      <c r="TYX12" s="27"/>
      <c r="TYY12" s="1"/>
      <c r="TYZ12" s="28"/>
      <c r="TZB12" s="28"/>
      <c r="TZC12" s="31"/>
      <c r="TZD12" s="28"/>
      <c r="TZF12" s="28"/>
      <c r="TZG12" s="28"/>
      <c r="TZH12" s="29"/>
      <c r="TZI12" s="30"/>
      <c r="TZJ12" s="31"/>
      <c r="TZK12" s="29"/>
      <c r="TZL12" s="45"/>
      <c r="TZN12" s="27"/>
      <c r="TZO12" s="1"/>
      <c r="TZP12" s="28"/>
      <c r="TZR12" s="28"/>
      <c r="TZS12" s="31"/>
      <c r="TZT12" s="28"/>
      <c r="TZV12" s="28"/>
      <c r="TZW12" s="28"/>
      <c r="TZX12" s="29"/>
      <c r="TZY12" s="30"/>
      <c r="TZZ12" s="31"/>
      <c r="UAA12" s="29"/>
      <c r="UAB12" s="45"/>
      <c r="UAD12" s="27"/>
      <c r="UAE12" s="1"/>
      <c r="UAF12" s="28"/>
      <c r="UAH12" s="28"/>
      <c r="UAI12" s="31"/>
      <c r="UAJ12" s="28"/>
      <c r="UAL12" s="28"/>
      <c r="UAM12" s="28"/>
      <c r="UAN12" s="29"/>
      <c r="UAO12" s="30"/>
      <c r="UAP12" s="31"/>
      <c r="UAQ12" s="29"/>
      <c r="UAR12" s="45"/>
      <c r="UAT12" s="27"/>
      <c r="UAU12" s="1"/>
      <c r="UAV12" s="28"/>
      <c r="UAX12" s="28"/>
      <c r="UAY12" s="31"/>
      <c r="UAZ12" s="28"/>
      <c r="UBB12" s="28"/>
      <c r="UBC12" s="28"/>
      <c r="UBD12" s="29"/>
      <c r="UBE12" s="30"/>
      <c r="UBF12" s="31"/>
      <c r="UBG12" s="29"/>
      <c r="UBH12" s="45"/>
      <c r="UBJ12" s="27"/>
      <c r="UBK12" s="1"/>
      <c r="UBL12" s="28"/>
      <c r="UBN12" s="28"/>
      <c r="UBO12" s="31"/>
      <c r="UBP12" s="28"/>
      <c r="UBR12" s="28"/>
      <c r="UBS12" s="28"/>
      <c r="UBT12" s="29"/>
      <c r="UBU12" s="30"/>
      <c r="UBV12" s="31"/>
      <c r="UBW12" s="29"/>
      <c r="UBX12" s="45"/>
      <c r="UBZ12" s="27"/>
      <c r="UCA12" s="1"/>
      <c r="UCB12" s="28"/>
      <c r="UCD12" s="28"/>
      <c r="UCE12" s="31"/>
      <c r="UCF12" s="28"/>
      <c r="UCH12" s="28"/>
      <c r="UCI12" s="28"/>
      <c r="UCJ12" s="29"/>
      <c r="UCK12" s="30"/>
      <c r="UCL12" s="31"/>
      <c r="UCM12" s="29"/>
      <c r="UCN12" s="45"/>
      <c r="UCP12" s="27"/>
      <c r="UCQ12" s="1"/>
      <c r="UCR12" s="28"/>
      <c r="UCT12" s="28"/>
      <c r="UCU12" s="31"/>
      <c r="UCV12" s="28"/>
      <c r="UCX12" s="28"/>
      <c r="UCY12" s="28"/>
      <c r="UCZ12" s="29"/>
      <c r="UDA12" s="30"/>
      <c r="UDB12" s="31"/>
      <c r="UDC12" s="29"/>
      <c r="UDD12" s="45"/>
      <c r="UDF12" s="27"/>
      <c r="UDG12" s="1"/>
      <c r="UDH12" s="28"/>
      <c r="UDJ12" s="28"/>
      <c r="UDK12" s="31"/>
      <c r="UDL12" s="28"/>
      <c r="UDN12" s="28"/>
      <c r="UDO12" s="28"/>
      <c r="UDP12" s="29"/>
      <c r="UDQ12" s="30"/>
      <c r="UDR12" s="31"/>
      <c r="UDS12" s="29"/>
      <c r="UDT12" s="45"/>
      <c r="UDV12" s="27"/>
      <c r="UDW12" s="1"/>
      <c r="UDX12" s="28"/>
      <c r="UDZ12" s="28"/>
      <c r="UEA12" s="31"/>
      <c r="UEB12" s="28"/>
      <c r="UED12" s="28"/>
      <c r="UEE12" s="28"/>
      <c r="UEF12" s="29"/>
      <c r="UEG12" s="30"/>
      <c r="UEH12" s="31"/>
      <c r="UEI12" s="29"/>
      <c r="UEJ12" s="45"/>
      <c r="UEL12" s="27"/>
      <c r="UEM12" s="1"/>
      <c r="UEN12" s="28"/>
      <c r="UEP12" s="28"/>
      <c r="UEQ12" s="31"/>
      <c r="UER12" s="28"/>
      <c r="UET12" s="28"/>
      <c r="UEU12" s="28"/>
      <c r="UEV12" s="29"/>
      <c r="UEW12" s="30"/>
      <c r="UEX12" s="31"/>
      <c r="UEY12" s="29"/>
      <c r="UEZ12" s="45"/>
      <c r="UFB12" s="27"/>
      <c r="UFC12" s="1"/>
      <c r="UFD12" s="28"/>
      <c r="UFF12" s="28"/>
      <c r="UFG12" s="31"/>
      <c r="UFH12" s="28"/>
      <c r="UFJ12" s="28"/>
      <c r="UFK12" s="28"/>
      <c r="UFL12" s="29"/>
      <c r="UFM12" s="30"/>
      <c r="UFN12" s="31"/>
      <c r="UFO12" s="29"/>
      <c r="UFP12" s="45"/>
      <c r="UFR12" s="27"/>
      <c r="UFS12" s="1"/>
      <c r="UFT12" s="28"/>
      <c r="UFV12" s="28"/>
      <c r="UFW12" s="31"/>
      <c r="UFX12" s="28"/>
      <c r="UFZ12" s="28"/>
      <c r="UGA12" s="28"/>
      <c r="UGB12" s="29"/>
      <c r="UGC12" s="30"/>
      <c r="UGD12" s="31"/>
      <c r="UGE12" s="29"/>
      <c r="UGF12" s="45"/>
      <c r="UGH12" s="27"/>
      <c r="UGI12" s="1"/>
      <c r="UGJ12" s="28"/>
      <c r="UGL12" s="28"/>
      <c r="UGM12" s="31"/>
      <c r="UGN12" s="28"/>
      <c r="UGP12" s="28"/>
      <c r="UGQ12" s="28"/>
      <c r="UGR12" s="29"/>
      <c r="UGS12" s="30"/>
      <c r="UGT12" s="31"/>
      <c r="UGU12" s="29"/>
      <c r="UGV12" s="45"/>
      <c r="UGX12" s="27"/>
      <c r="UGY12" s="1"/>
      <c r="UGZ12" s="28"/>
      <c r="UHB12" s="28"/>
      <c r="UHC12" s="31"/>
      <c r="UHD12" s="28"/>
      <c r="UHF12" s="28"/>
      <c r="UHG12" s="28"/>
      <c r="UHH12" s="29"/>
      <c r="UHI12" s="30"/>
      <c r="UHJ12" s="31"/>
      <c r="UHK12" s="29"/>
      <c r="UHL12" s="45"/>
      <c r="UHN12" s="27"/>
      <c r="UHO12" s="1"/>
      <c r="UHP12" s="28"/>
      <c r="UHR12" s="28"/>
      <c r="UHS12" s="31"/>
      <c r="UHT12" s="28"/>
      <c r="UHV12" s="28"/>
      <c r="UHW12" s="28"/>
      <c r="UHX12" s="29"/>
      <c r="UHY12" s="30"/>
      <c r="UHZ12" s="31"/>
      <c r="UIA12" s="29"/>
      <c r="UIB12" s="45"/>
      <c r="UID12" s="27"/>
      <c r="UIE12" s="1"/>
      <c r="UIF12" s="28"/>
      <c r="UIH12" s="28"/>
      <c r="UII12" s="31"/>
      <c r="UIJ12" s="28"/>
      <c r="UIL12" s="28"/>
      <c r="UIM12" s="28"/>
      <c r="UIN12" s="29"/>
      <c r="UIO12" s="30"/>
      <c r="UIP12" s="31"/>
      <c r="UIQ12" s="29"/>
      <c r="UIR12" s="45"/>
      <c r="UIT12" s="27"/>
      <c r="UIU12" s="1"/>
      <c r="UIV12" s="28"/>
      <c r="UIX12" s="28"/>
      <c r="UIY12" s="31"/>
      <c r="UIZ12" s="28"/>
      <c r="UJB12" s="28"/>
      <c r="UJC12" s="28"/>
      <c r="UJD12" s="29"/>
      <c r="UJE12" s="30"/>
      <c r="UJF12" s="31"/>
      <c r="UJG12" s="29"/>
      <c r="UJH12" s="45"/>
      <c r="UJJ12" s="27"/>
      <c r="UJK12" s="1"/>
      <c r="UJL12" s="28"/>
      <c r="UJN12" s="28"/>
      <c r="UJO12" s="31"/>
      <c r="UJP12" s="28"/>
      <c r="UJR12" s="28"/>
      <c r="UJS12" s="28"/>
      <c r="UJT12" s="29"/>
      <c r="UJU12" s="30"/>
      <c r="UJV12" s="31"/>
      <c r="UJW12" s="29"/>
      <c r="UJX12" s="45"/>
      <c r="UJZ12" s="27"/>
      <c r="UKA12" s="1"/>
      <c r="UKB12" s="28"/>
      <c r="UKD12" s="28"/>
      <c r="UKE12" s="31"/>
      <c r="UKF12" s="28"/>
      <c r="UKH12" s="28"/>
      <c r="UKI12" s="28"/>
      <c r="UKJ12" s="29"/>
      <c r="UKK12" s="30"/>
      <c r="UKL12" s="31"/>
      <c r="UKM12" s="29"/>
      <c r="UKN12" s="45"/>
      <c r="UKP12" s="27"/>
      <c r="UKQ12" s="1"/>
      <c r="UKR12" s="28"/>
      <c r="UKT12" s="28"/>
      <c r="UKU12" s="31"/>
      <c r="UKV12" s="28"/>
      <c r="UKX12" s="28"/>
      <c r="UKY12" s="28"/>
      <c r="UKZ12" s="29"/>
      <c r="ULA12" s="30"/>
      <c r="ULB12" s="31"/>
      <c r="ULC12" s="29"/>
      <c r="ULD12" s="45"/>
      <c r="ULF12" s="27"/>
      <c r="ULG12" s="1"/>
      <c r="ULH12" s="28"/>
      <c r="ULJ12" s="28"/>
      <c r="ULK12" s="31"/>
      <c r="ULL12" s="28"/>
      <c r="ULN12" s="28"/>
      <c r="ULO12" s="28"/>
      <c r="ULP12" s="29"/>
      <c r="ULQ12" s="30"/>
      <c r="ULR12" s="31"/>
      <c r="ULS12" s="29"/>
      <c r="ULT12" s="45"/>
      <c r="ULV12" s="27"/>
      <c r="ULW12" s="1"/>
      <c r="ULX12" s="28"/>
      <c r="ULZ12" s="28"/>
      <c r="UMA12" s="31"/>
      <c r="UMB12" s="28"/>
      <c r="UMD12" s="28"/>
      <c r="UME12" s="28"/>
      <c r="UMF12" s="29"/>
      <c r="UMG12" s="30"/>
      <c r="UMH12" s="31"/>
      <c r="UMI12" s="29"/>
      <c r="UMJ12" s="45"/>
      <c r="UML12" s="27"/>
      <c r="UMM12" s="1"/>
      <c r="UMN12" s="28"/>
      <c r="UMP12" s="28"/>
      <c r="UMQ12" s="31"/>
      <c r="UMR12" s="28"/>
      <c r="UMT12" s="28"/>
      <c r="UMU12" s="28"/>
      <c r="UMV12" s="29"/>
      <c r="UMW12" s="30"/>
      <c r="UMX12" s="31"/>
      <c r="UMY12" s="29"/>
      <c r="UMZ12" s="45"/>
      <c r="UNB12" s="27"/>
      <c r="UNC12" s="1"/>
      <c r="UND12" s="28"/>
      <c r="UNF12" s="28"/>
      <c r="UNG12" s="31"/>
      <c r="UNH12" s="28"/>
      <c r="UNJ12" s="28"/>
      <c r="UNK12" s="28"/>
      <c r="UNL12" s="29"/>
      <c r="UNM12" s="30"/>
      <c r="UNN12" s="31"/>
      <c r="UNO12" s="29"/>
      <c r="UNP12" s="45"/>
      <c r="UNR12" s="27"/>
      <c r="UNS12" s="1"/>
      <c r="UNT12" s="28"/>
      <c r="UNV12" s="28"/>
      <c r="UNW12" s="31"/>
      <c r="UNX12" s="28"/>
      <c r="UNZ12" s="28"/>
      <c r="UOA12" s="28"/>
      <c r="UOB12" s="29"/>
      <c r="UOC12" s="30"/>
      <c r="UOD12" s="31"/>
      <c r="UOE12" s="29"/>
      <c r="UOF12" s="45"/>
      <c r="UOH12" s="27"/>
      <c r="UOI12" s="1"/>
      <c r="UOJ12" s="28"/>
      <c r="UOL12" s="28"/>
      <c r="UOM12" s="31"/>
      <c r="UON12" s="28"/>
      <c r="UOP12" s="28"/>
      <c r="UOQ12" s="28"/>
      <c r="UOR12" s="29"/>
      <c r="UOS12" s="30"/>
      <c r="UOT12" s="31"/>
      <c r="UOU12" s="29"/>
      <c r="UOV12" s="45"/>
      <c r="UOX12" s="27"/>
      <c r="UOY12" s="1"/>
      <c r="UOZ12" s="28"/>
      <c r="UPB12" s="28"/>
      <c r="UPC12" s="31"/>
      <c r="UPD12" s="28"/>
      <c r="UPF12" s="28"/>
      <c r="UPG12" s="28"/>
      <c r="UPH12" s="29"/>
      <c r="UPI12" s="30"/>
      <c r="UPJ12" s="31"/>
      <c r="UPK12" s="29"/>
      <c r="UPL12" s="45"/>
      <c r="UPN12" s="27"/>
      <c r="UPO12" s="1"/>
      <c r="UPP12" s="28"/>
      <c r="UPR12" s="28"/>
      <c r="UPS12" s="31"/>
      <c r="UPT12" s="28"/>
      <c r="UPV12" s="28"/>
      <c r="UPW12" s="28"/>
      <c r="UPX12" s="29"/>
      <c r="UPY12" s="30"/>
      <c r="UPZ12" s="31"/>
      <c r="UQA12" s="29"/>
      <c r="UQB12" s="45"/>
      <c r="UQD12" s="27"/>
      <c r="UQE12" s="1"/>
      <c r="UQF12" s="28"/>
      <c r="UQH12" s="28"/>
      <c r="UQI12" s="31"/>
      <c r="UQJ12" s="28"/>
      <c r="UQL12" s="28"/>
      <c r="UQM12" s="28"/>
      <c r="UQN12" s="29"/>
      <c r="UQO12" s="30"/>
      <c r="UQP12" s="31"/>
      <c r="UQQ12" s="29"/>
      <c r="UQR12" s="45"/>
      <c r="UQT12" s="27"/>
      <c r="UQU12" s="1"/>
      <c r="UQV12" s="28"/>
      <c r="UQX12" s="28"/>
      <c r="UQY12" s="31"/>
      <c r="UQZ12" s="28"/>
      <c r="URB12" s="28"/>
      <c r="URC12" s="28"/>
      <c r="URD12" s="29"/>
      <c r="URE12" s="30"/>
      <c r="URF12" s="31"/>
      <c r="URG12" s="29"/>
      <c r="URH12" s="45"/>
      <c r="URJ12" s="27"/>
      <c r="URK12" s="1"/>
      <c r="URL12" s="28"/>
      <c r="URN12" s="28"/>
      <c r="URO12" s="31"/>
      <c r="URP12" s="28"/>
      <c r="URR12" s="28"/>
      <c r="URS12" s="28"/>
      <c r="URT12" s="29"/>
      <c r="URU12" s="30"/>
      <c r="URV12" s="31"/>
      <c r="URW12" s="29"/>
      <c r="URX12" s="45"/>
      <c r="URZ12" s="27"/>
      <c r="USA12" s="1"/>
      <c r="USB12" s="28"/>
      <c r="USD12" s="28"/>
      <c r="USE12" s="31"/>
      <c r="USF12" s="28"/>
      <c r="USH12" s="28"/>
      <c r="USI12" s="28"/>
      <c r="USJ12" s="29"/>
      <c r="USK12" s="30"/>
      <c r="USL12" s="31"/>
      <c r="USM12" s="29"/>
      <c r="USN12" s="45"/>
      <c r="USP12" s="27"/>
      <c r="USQ12" s="1"/>
      <c r="USR12" s="28"/>
      <c r="UST12" s="28"/>
      <c r="USU12" s="31"/>
      <c r="USV12" s="28"/>
      <c r="USX12" s="28"/>
      <c r="USY12" s="28"/>
      <c r="USZ12" s="29"/>
      <c r="UTA12" s="30"/>
      <c r="UTB12" s="31"/>
      <c r="UTC12" s="29"/>
      <c r="UTD12" s="45"/>
      <c r="UTF12" s="27"/>
      <c r="UTG12" s="1"/>
      <c r="UTH12" s="28"/>
      <c r="UTJ12" s="28"/>
      <c r="UTK12" s="31"/>
      <c r="UTL12" s="28"/>
      <c r="UTN12" s="28"/>
      <c r="UTO12" s="28"/>
      <c r="UTP12" s="29"/>
      <c r="UTQ12" s="30"/>
      <c r="UTR12" s="31"/>
      <c r="UTS12" s="29"/>
      <c r="UTT12" s="45"/>
      <c r="UTV12" s="27"/>
      <c r="UTW12" s="1"/>
      <c r="UTX12" s="28"/>
      <c r="UTZ12" s="28"/>
      <c r="UUA12" s="31"/>
      <c r="UUB12" s="28"/>
      <c r="UUD12" s="28"/>
      <c r="UUE12" s="28"/>
      <c r="UUF12" s="29"/>
      <c r="UUG12" s="30"/>
      <c r="UUH12" s="31"/>
      <c r="UUI12" s="29"/>
      <c r="UUJ12" s="45"/>
      <c r="UUL12" s="27"/>
      <c r="UUM12" s="1"/>
      <c r="UUN12" s="28"/>
      <c r="UUP12" s="28"/>
      <c r="UUQ12" s="31"/>
      <c r="UUR12" s="28"/>
      <c r="UUT12" s="28"/>
      <c r="UUU12" s="28"/>
      <c r="UUV12" s="29"/>
      <c r="UUW12" s="30"/>
      <c r="UUX12" s="31"/>
      <c r="UUY12" s="29"/>
      <c r="UUZ12" s="45"/>
      <c r="UVB12" s="27"/>
      <c r="UVC12" s="1"/>
      <c r="UVD12" s="28"/>
      <c r="UVF12" s="28"/>
      <c r="UVG12" s="31"/>
      <c r="UVH12" s="28"/>
      <c r="UVJ12" s="28"/>
      <c r="UVK12" s="28"/>
      <c r="UVL12" s="29"/>
      <c r="UVM12" s="30"/>
      <c r="UVN12" s="31"/>
      <c r="UVO12" s="29"/>
      <c r="UVP12" s="45"/>
      <c r="UVR12" s="27"/>
      <c r="UVS12" s="1"/>
      <c r="UVT12" s="28"/>
      <c r="UVV12" s="28"/>
      <c r="UVW12" s="31"/>
      <c r="UVX12" s="28"/>
      <c r="UVZ12" s="28"/>
      <c r="UWA12" s="28"/>
      <c r="UWB12" s="29"/>
      <c r="UWC12" s="30"/>
      <c r="UWD12" s="31"/>
      <c r="UWE12" s="29"/>
      <c r="UWF12" s="45"/>
      <c r="UWH12" s="27"/>
      <c r="UWI12" s="1"/>
      <c r="UWJ12" s="28"/>
      <c r="UWL12" s="28"/>
      <c r="UWM12" s="31"/>
      <c r="UWN12" s="28"/>
      <c r="UWP12" s="28"/>
      <c r="UWQ12" s="28"/>
      <c r="UWR12" s="29"/>
      <c r="UWS12" s="30"/>
      <c r="UWT12" s="31"/>
      <c r="UWU12" s="29"/>
      <c r="UWV12" s="45"/>
      <c r="UWX12" s="27"/>
      <c r="UWY12" s="1"/>
      <c r="UWZ12" s="28"/>
      <c r="UXB12" s="28"/>
      <c r="UXC12" s="31"/>
      <c r="UXD12" s="28"/>
      <c r="UXF12" s="28"/>
      <c r="UXG12" s="28"/>
      <c r="UXH12" s="29"/>
      <c r="UXI12" s="30"/>
      <c r="UXJ12" s="31"/>
      <c r="UXK12" s="29"/>
      <c r="UXL12" s="45"/>
      <c r="UXN12" s="27"/>
      <c r="UXO12" s="1"/>
      <c r="UXP12" s="28"/>
      <c r="UXR12" s="28"/>
      <c r="UXS12" s="31"/>
      <c r="UXT12" s="28"/>
      <c r="UXV12" s="28"/>
      <c r="UXW12" s="28"/>
      <c r="UXX12" s="29"/>
      <c r="UXY12" s="30"/>
      <c r="UXZ12" s="31"/>
      <c r="UYA12" s="29"/>
      <c r="UYB12" s="45"/>
      <c r="UYD12" s="27"/>
      <c r="UYE12" s="1"/>
      <c r="UYF12" s="28"/>
      <c r="UYH12" s="28"/>
      <c r="UYI12" s="31"/>
      <c r="UYJ12" s="28"/>
      <c r="UYL12" s="28"/>
      <c r="UYM12" s="28"/>
      <c r="UYN12" s="29"/>
      <c r="UYO12" s="30"/>
      <c r="UYP12" s="31"/>
      <c r="UYQ12" s="29"/>
      <c r="UYR12" s="45"/>
      <c r="UYT12" s="27"/>
      <c r="UYU12" s="1"/>
      <c r="UYV12" s="28"/>
      <c r="UYX12" s="28"/>
      <c r="UYY12" s="31"/>
      <c r="UYZ12" s="28"/>
      <c r="UZB12" s="28"/>
      <c r="UZC12" s="28"/>
      <c r="UZD12" s="29"/>
      <c r="UZE12" s="30"/>
      <c r="UZF12" s="31"/>
      <c r="UZG12" s="29"/>
      <c r="UZH12" s="45"/>
      <c r="UZJ12" s="27"/>
      <c r="UZK12" s="1"/>
      <c r="UZL12" s="28"/>
      <c r="UZN12" s="28"/>
      <c r="UZO12" s="31"/>
      <c r="UZP12" s="28"/>
      <c r="UZR12" s="28"/>
      <c r="UZS12" s="28"/>
      <c r="UZT12" s="29"/>
      <c r="UZU12" s="30"/>
      <c r="UZV12" s="31"/>
      <c r="UZW12" s="29"/>
      <c r="UZX12" s="45"/>
      <c r="UZZ12" s="27"/>
      <c r="VAA12" s="1"/>
      <c r="VAB12" s="28"/>
      <c r="VAD12" s="28"/>
      <c r="VAE12" s="31"/>
      <c r="VAF12" s="28"/>
      <c r="VAH12" s="28"/>
      <c r="VAI12" s="28"/>
      <c r="VAJ12" s="29"/>
      <c r="VAK12" s="30"/>
      <c r="VAL12" s="31"/>
      <c r="VAM12" s="29"/>
      <c r="VAN12" s="45"/>
      <c r="VAP12" s="27"/>
      <c r="VAQ12" s="1"/>
      <c r="VAR12" s="28"/>
      <c r="VAT12" s="28"/>
      <c r="VAU12" s="31"/>
      <c r="VAV12" s="28"/>
      <c r="VAX12" s="28"/>
      <c r="VAY12" s="28"/>
      <c r="VAZ12" s="29"/>
      <c r="VBA12" s="30"/>
      <c r="VBB12" s="31"/>
      <c r="VBC12" s="29"/>
      <c r="VBD12" s="45"/>
      <c r="VBF12" s="27"/>
      <c r="VBG12" s="1"/>
      <c r="VBH12" s="28"/>
      <c r="VBJ12" s="28"/>
      <c r="VBK12" s="31"/>
      <c r="VBL12" s="28"/>
      <c r="VBN12" s="28"/>
      <c r="VBO12" s="28"/>
      <c r="VBP12" s="29"/>
      <c r="VBQ12" s="30"/>
      <c r="VBR12" s="31"/>
      <c r="VBS12" s="29"/>
      <c r="VBT12" s="45"/>
      <c r="VBV12" s="27"/>
      <c r="VBW12" s="1"/>
      <c r="VBX12" s="28"/>
      <c r="VBZ12" s="28"/>
      <c r="VCA12" s="31"/>
      <c r="VCB12" s="28"/>
      <c r="VCD12" s="28"/>
      <c r="VCE12" s="28"/>
      <c r="VCF12" s="29"/>
      <c r="VCG12" s="30"/>
      <c r="VCH12" s="31"/>
      <c r="VCI12" s="29"/>
      <c r="VCJ12" s="45"/>
      <c r="VCL12" s="27"/>
      <c r="VCM12" s="1"/>
      <c r="VCN12" s="28"/>
      <c r="VCP12" s="28"/>
      <c r="VCQ12" s="31"/>
      <c r="VCR12" s="28"/>
      <c r="VCT12" s="28"/>
      <c r="VCU12" s="28"/>
      <c r="VCV12" s="29"/>
      <c r="VCW12" s="30"/>
      <c r="VCX12" s="31"/>
      <c r="VCY12" s="29"/>
      <c r="VCZ12" s="45"/>
      <c r="VDB12" s="27"/>
      <c r="VDC12" s="1"/>
      <c r="VDD12" s="28"/>
      <c r="VDF12" s="28"/>
      <c r="VDG12" s="31"/>
      <c r="VDH12" s="28"/>
      <c r="VDJ12" s="28"/>
      <c r="VDK12" s="28"/>
      <c r="VDL12" s="29"/>
      <c r="VDM12" s="30"/>
      <c r="VDN12" s="31"/>
      <c r="VDO12" s="29"/>
      <c r="VDP12" s="45"/>
      <c r="VDR12" s="27"/>
      <c r="VDS12" s="1"/>
      <c r="VDT12" s="28"/>
      <c r="VDV12" s="28"/>
      <c r="VDW12" s="31"/>
      <c r="VDX12" s="28"/>
      <c r="VDZ12" s="28"/>
      <c r="VEA12" s="28"/>
      <c r="VEB12" s="29"/>
      <c r="VEC12" s="30"/>
      <c r="VED12" s="31"/>
      <c r="VEE12" s="29"/>
      <c r="VEF12" s="45"/>
      <c r="VEH12" s="27"/>
      <c r="VEI12" s="1"/>
      <c r="VEJ12" s="28"/>
      <c r="VEL12" s="28"/>
      <c r="VEM12" s="31"/>
      <c r="VEN12" s="28"/>
      <c r="VEP12" s="28"/>
      <c r="VEQ12" s="28"/>
      <c r="VER12" s="29"/>
      <c r="VES12" s="30"/>
      <c r="VET12" s="31"/>
      <c r="VEU12" s="29"/>
      <c r="VEV12" s="45"/>
      <c r="VEX12" s="27"/>
      <c r="VEY12" s="1"/>
      <c r="VEZ12" s="28"/>
      <c r="VFB12" s="28"/>
      <c r="VFC12" s="31"/>
      <c r="VFD12" s="28"/>
      <c r="VFF12" s="28"/>
      <c r="VFG12" s="28"/>
      <c r="VFH12" s="29"/>
      <c r="VFI12" s="30"/>
      <c r="VFJ12" s="31"/>
      <c r="VFK12" s="29"/>
      <c r="VFL12" s="45"/>
      <c r="VFN12" s="27"/>
      <c r="VFO12" s="1"/>
      <c r="VFP12" s="28"/>
      <c r="VFR12" s="28"/>
      <c r="VFS12" s="31"/>
      <c r="VFT12" s="28"/>
      <c r="VFV12" s="28"/>
      <c r="VFW12" s="28"/>
      <c r="VFX12" s="29"/>
      <c r="VFY12" s="30"/>
      <c r="VFZ12" s="31"/>
      <c r="VGA12" s="29"/>
      <c r="VGB12" s="45"/>
      <c r="VGD12" s="27"/>
      <c r="VGE12" s="1"/>
      <c r="VGF12" s="28"/>
      <c r="VGH12" s="28"/>
      <c r="VGI12" s="31"/>
      <c r="VGJ12" s="28"/>
      <c r="VGL12" s="28"/>
      <c r="VGM12" s="28"/>
      <c r="VGN12" s="29"/>
      <c r="VGO12" s="30"/>
      <c r="VGP12" s="31"/>
      <c r="VGQ12" s="29"/>
      <c r="VGR12" s="45"/>
      <c r="VGT12" s="27"/>
      <c r="VGU12" s="1"/>
      <c r="VGV12" s="28"/>
      <c r="VGX12" s="28"/>
      <c r="VGY12" s="31"/>
      <c r="VGZ12" s="28"/>
      <c r="VHB12" s="28"/>
      <c r="VHC12" s="28"/>
      <c r="VHD12" s="29"/>
      <c r="VHE12" s="30"/>
      <c r="VHF12" s="31"/>
      <c r="VHG12" s="29"/>
      <c r="VHH12" s="45"/>
      <c r="VHJ12" s="27"/>
      <c r="VHK12" s="1"/>
      <c r="VHL12" s="28"/>
      <c r="VHN12" s="28"/>
      <c r="VHO12" s="31"/>
      <c r="VHP12" s="28"/>
      <c r="VHR12" s="28"/>
      <c r="VHS12" s="28"/>
      <c r="VHT12" s="29"/>
      <c r="VHU12" s="30"/>
      <c r="VHV12" s="31"/>
      <c r="VHW12" s="29"/>
      <c r="VHX12" s="45"/>
      <c r="VHZ12" s="27"/>
      <c r="VIA12" s="1"/>
      <c r="VIB12" s="28"/>
      <c r="VID12" s="28"/>
      <c r="VIE12" s="31"/>
      <c r="VIF12" s="28"/>
      <c r="VIH12" s="28"/>
      <c r="VII12" s="28"/>
      <c r="VIJ12" s="29"/>
      <c r="VIK12" s="30"/>
      <c r="VIL12" s="31"/>
      <c r="VIM12" s="29"/>
      <c r="VIN12" s="45"/>
      <c r="VIP12" s="27"/>
      <c r="VIQ12" s="1"/>
      <c r="VIR12" s="28"/>
      <c r="VIT12" s="28"/>
      <c r="VIU12" s="31"/>
      <c r="VIV12" s="28"/>
      <c r="VIX12" s="28"/>
      <c r="VIY12" s="28"/>
      <c r="VIZ12" s="29"/>
      <c r="VJA12" s="30"/>
      <c r="VJB12" s="31"/>
      <c r="VJC12" s="29"/>
      <c r="VJD12" s="45"/>
      <c r="VJF12" s="27"/>
      <c r="VJG12" s="1"/>
      <c r="VJH12" s="28"/>
      <c r="VJJ12" s="28"/>
      <c r="VJK12" s="31"/>
      <c r="VJL12" s="28"/>
      <c r="VJN12" s="28"/>
      <c r="VJO12" s="28"/>
      <c r="VJP12" s="29"/>
      <c r="VJQ12" s="30"/>
      <c r="VJR12" s="31"/>
      <c r="VJS12" s="29"/>
      <c r="VJT12" s="45"/>
      <c r="VJV12" s="27"/>
      <c r="VJW12" s="1"/>
      <c r="VJX12" s="28"/>
      <c r="VJZ12" s="28"/>
      <c r="VKA12" s="31"/>
      <c r="VKB12" s="28"/>
      <c r="VKD12" s="28"/>
      <c r="VKE12" s="28"/>
      <c r="VKF12" s="29"/>
      <c r="VKG12" s="30"/>
      <c r="VKH12" s="31"/>
      <c r="VKI12" s="29"/>
      <c r="VKJ12" s="45"/>
      <c r="VKL12" s="27"/>
      <c r="VKM12" s="1"/>
      <c r="VKN12" s="28"/>
      <c r="VKP12" s="28"/>
      <c r="VKQ12" s="31"/>
      <c r="VKR12" s="28"/>
      <c r="VKT12" s="28"/>
      <c r="VKU12" s="28"/>
      <c r="VKV12" s="29"/>
      <c r="VKW12" s="30"/>
      <c r="VKX12" s="31"/>
      <c r="VKY12" s="29"/>
      <c r="VKZ12" s="45"/>
      <c r="VLB12" s="27"/>
      <c r="VLC12" s="1"/>
      <c r="VLD12" s="28"/>
      <c r="VLF12" s="28"/>
      <c r="VLG12" s="31"/>
      <c r="VLH12" s="28"/>
      <c r="VLJ12" s="28"/>
      <c r="VLK12" s="28"/>
      <c r="VLL12" s="29"/>
      <c r="VLM12" s="30"/>
      <c r="VLN12" s="31"/>
      <c r="VLO12" s="29"/>
      <c r="VLP12" s="45"/>
      <c r="VLR12" s="27"/>
      <c r="VLS12" s="1"/>
      <c r="VLT12" s="28"/>
      <c r="VLV12" s="28"/>
      <c r="VLW12" s="31"/>
      <c r="VLX12" s="28"/>
      <c r="VLZ12" s="28"/>
      <c r="VMA12" s="28"/>
      <c r="VMB12" s="29"/>
      <c r="VMC12" s="30"/>
      <c r="VMD12" s="31"/>
      <c r="VME12" s="29"/>
      <c r="VMF12" s="45"/>
      <c r="VMH12" s="27"/>
      <c r="VMI12" s="1"/>
      <c r="VMJ12" s="28"/>
      <c r="VML12" s="28"/>
      <c r="VMM12" s="31"/>
      <c r="VMN12" s="28"/>
      <c r="VMP12" s="28"/>
      <c r="VMQ12" s="28"/>
      <c r="VMR12" s="29"/>
      <c r="VMS12" s="30"/>
      <c r="VMT12" s="31"/>
      <c r="VMU12" s="29"/>
      <c r="VMV12" s="45"/>
      <c r="VMX12" s="27"/>
      <c r="VMY12" s="1"/>
      <c r="VMZ12" s="28"/>
      <c r="VNB12" s="28"/>
      <c r="VNC12" s="31"/>
      <c r="VND12" s="28"/>
      <c r="VNF12" s="28"/>
      <c r="VNG12" s="28"/>
      <c r="VNH12" s="29"/>
      <c r="VNI12" s="30"/>
      <c r="VNJ12" s="31"/>
      <c r="VNK12" s="29"/>
      <c r="VNL12" s="45"/>
      <c r="VNN12" s="27"/>
      <c r="VNO12" s="1"/>
      <c r="VNP12" s="28"/>
      <c r="VNR12" s="28"/>
      <c r="VNS12" s="31"/>
      <c r="VNT12" s="28"/>
      <c r="VNV12" s="28"/>
      <c r="VNW12" s="28"/>
      <c r="VNX12" s="29"/>
      <c r="VNY12" s="30"/>
      <c r="VNZ12" s="31"/>
      <c r="VOA12" s="29"/>
      <c r="VOB12" s="45"/>
      <c r="VOD12" s="27"/>
      <c r="VOE12" s="1"/>
      <c r="VOF12" s="28"/>
      <c r="VOH12" s="28"/>
      <c r="VOI12" s="31"/>
      <c r="VOJ12" s="28"/>
      <c r="VOL12" s="28"/>
      <c r="VOM12" s="28"/>
      <c r="VON12" s="29"/>
      <c r="VOO12" s="30"/>
      <c r="VOP12" s="31"/>
      <c r="VOQ12" s="29"/>
      <c r="VOR12" s="45"/>
      <c r="VOT12" s="27"/>
      <c r="VOU12" s="1"/>
      <c r="VOV12" s="28"/>
      <c r="VOX12" s="28"/>
      <c r="VOY12" s="31"/>
      <c r="VOZ12" s="28"/>
      <c r="VPB12" s="28"/>
      <c r="VPC12" s="28"/>
      <c r="VPD12" s="29"/>
      <c r="VPE12" s="30"/>
      <c r="VPF12" s="31"/>
      <c r="VPG12" s="29"/>
      <c r="VPH12" s="45"/>
      <c r="VPJ12" s="27"/>
      <c r="VPK12" s="1"/>
      <c r="VPL12" s="28"/>
      <c r="VPN12" s="28"/>
      <c r="VPO12" s="31"/>
      <c r="VPP12" s="28"/>
      <c r="VPR12" s="28"/>
      <c r="VPS12" s="28"/>
      <c r="VPT12" s="29"/>
      <c r="VPU12" s="30"/>
      <c r="VPV12" s="31"/>
      <c r="VPW12" s="29"/>
      <c r="VPX12" s="45"/>
      <c r="VPZ12" s="27"/>
      <c r="VQA12" s="1"/>
      <c r="VQB12" s="28"/>
      <c r="VQD12" s="28"/>
      <c r="VQE12" s="31"/>
      <c r="VQF12" s="28"/>
      <c r="VQH12" s="28"/>
      <c r="VQI12" s="28"/>
      <c r="VQJ12" s="29"/>
      <c r="VQK12" s="30"/>
      <c r="VQL12" s="31"/>
      <c r="VQM12" s="29"/>
      <c r="VQN12" s="45"/>
      <c r="VQP12" s="27"/>
      <c r="VQQ12" s="1"/>
      <c r="VQR12" s="28"/>
      <c r="VQT12" s="28"/>
      <c r="VQU12" s="31"/>
      <c r="VQV12" s="28"/>
      <c r="VQX12" s="28"/>
      <c r="VQY12" s="28"/>
      <c r="VQZ12" s="29"/>
      <c r="VRA12" s="30"/>
      <c r="VRB12" s="31"/>
      <c r="VRC12" s="29"/>
      <c r="VRD12" s="45"/>
      <c r="VRF12" s="27"/>
      <c r="VRG12" s="1"/>
      <c r="VRH12" s="28"/>
      <c r="VRJ12" s="28"/>
      <c r="VRK12" s="31"/>
      <c r="VRL12" s="28"/>
      <c r="VRN12" s="28"/>
      <c r="VRO12" s="28"/>
      <c r="VRP12" s="29"/>
      <c r="VRQ12" s="30"/>
      <c r="VRR12" s="31"/>
      <c r="VRS12" s="29"/>
      <c r="VRT12" s="45"/>
      <c r="VRV12" s="27"/>
      <c r="VRW12" s="1"/>
      <c r="VRX12" s="28"/>
      <c r="VRZ12" s="28"/>
      <c r="VSA12" s="31"/>
      <c r="VSB12" s="28"/>
      <c r="VSD12" s="28"/>
      <c r="VSE12" s="28"/>
      <c r="VSF12" s="29"/>
      <c r="VSG12" s="30"/>
      <c r="VSH12" s="31"/>
      <c r="VSI12" s="29"/>
      <c r="VSJ12" s="45"/>
      <c r="VSL12" s="27"/>
      <c r="VSM12" s="1"/>
      <c r="VSN12" s="28"/>
      <c r="VSP12" s="28"/>
      <c r="VSQ12" s="31"/>
      <c r="VSR12" s="28"/>
      <c r="VST12" s="28"/>
      <c r="VSU12" s="28"/>
      <c r="VSV12" s="29"/>
      <c r="VSW12" s="30"/>
      <c r="VSX12" s="31"/>
      <c r="VSY12" s="29"/>
      <c r="VSZ12" s="45"/>
      <c r="VTB12" s="27"/>
      <c r="VTC12" s="1"/>
      <c r="VTD12" s="28"/>
      <c r="VTF12" s="28"/>
      <c r="VTG12" s="31"/>
      <c r="VTH12" s="28"/>
      <c r="VTJ12" s="28"/>
      <c r="VTK12" s="28"/>
      <c r="VTL12" s="29"/>
      <c r="VTM12" s="30"/>
      <c r="VTN12" s="31"/>
      <c r="VTO12" s="29"/>
      <c r="VTP12" s="45"/>
      <c r="VTR12" s="27"/>
      <c r="VTS12" s="1"/>
      <c r="VTT12" s="28"/>
      <c r="VTV12" s="28"/>
      <c r="VTW12" s="31"/>
      <c r="VTX12" s="28"/>
      <c r="VTZ12" s="28"/>
      <c r="VUA12" s="28"/>
      <c r="VUB12" s="29"/>
      <c r="VUC12" s="30"/>
      <c r="VUD12" s="31"/>
      <c r="VUE12" s="29"/>
      <c r="VUF12" s="45"/>
      <c r="VUH12" s="27"/>
      <c r="VUI12" s="1"/>
      <c r="VUJ12" s="28"/>
      <c r="VUL12" s="28"/>
      <c r="VUM12" s="31"/>
      <c r="VUN12" s="28"/>
      <c r="VUP12" s="28"/>
      <c r="VUQ12" s="28"/>
      <c r="VUR12" s="29"/>
      <c r="VUS12" s="30"/>
      <c r="VUT12" s="31"/>
      <c r="VUU12" s="29"/>
      <c r="VUV12" s="45"/>
      <c r="VUX12" s="27"/>
      <c r="VUY12" s="1"/>
      <c r="VUZ12" s="28"/>
      <c r="VVB12" s="28"/>
      <c r="VVC12" s="31"/>
      <c r="VVD12" s="28"/>
      <c r="VVF12" s="28"/>
      <c r="VVG12" s="28"/>
      <c r="VVH12" s="29"/>
      <c r="VVI12" s="30"/>
      <c r="VVJ12" s="31"/>
      <c r="VVK12" s="29"/>
      <c r="VVL12" s="45"/>
      <c r="VVN12" s="27"/>
      <c r="VVO12" s="1"/>
      <c r="VVP12" s="28"/>
      <c r="VVR12" s="28"/>
      <c r="VVS12" s="31"/>
      <c r="VVT12" s="28"/>
      <c r="VVV12" s="28"/>
      <c r="VVW12" s="28"/>
      <c r="VVX12" s="29"/>
      <c r="VVY12" s="30"/>
      <c r="VVZ12" s="31"/>
      <c r="VWA12" s="29"/>
      <c r="VWB12" s="45"/>
      <c r="VWD12" s="27"/>
      <c r="VWE12" s="1"/>
      <c r="VWF12" s="28"/>
      <c r="VWH12" s="28"/>
      <c r="VWI12" s="31"/>
      <c r="VWJ12" s="28"/>
      <c r="VWL12" s="28"/>
      <c r="VWM12" s="28"/>
      <c r="VWN12" s="29"/>
      <c r="VWO12" s="30"/>
      <c r="VWP12" s="31"/>
      <c r="VWQ12" s="29"/>
      <c r="VWR12" s="45"/>
      <c r="VWT12" s="27"/>
      <c r="VWU12" s="1"/>
      <c r="VWV12" s="28"/>
      <c r="VWX12" s="28"/>
      <c r="VWY12" s="31"/>
      <c r="VWZ12" s="28"/>
      <c r="VXB12" s="28"/>
      <c r="VXC12" s="28"/>
      <c r="VXD12" s="29"/>
      <c r="VXE12" s="30"/>
      <c r="VXF12" s="31"/>
      <c r="VXG12" s="29"/>
      <c r="VXH12" s="45"/>
      <c r="VXJ12" s="27"/>
      <c r="VXK12" s="1"/>
      <c r="VXL12" s="28"/>
      <c r="VXN12" s="28"/>
      <c r="VXO12" s="31"/>
      <c r="VXP12" s="28"/>
      <c r="VXR12" s="28"/>
      <c r="VXS12" s="28"/>
      <c r="VXT12" s="29"/>
      <c r="VXU12" s="30"/>
      <c r="VXV12" s="31"/>
      <c r="VXW12" s="29"/>
      <c r="VXX12" s="45"/>
      <c r="VXZ12" s="27"/>
      <c r="VYA12" s="1"/>
      <c r="VYB12" s="28"/>
      <c r="VYD12" s="28"/>
      <c r="VYE12" s="31"/>
      <c r="VYF12" s="28"/>
      <c r="VYH12" s="28"/>
      <c r="VYI12" s="28"/>
      <c r="VYJ12" s="29"/>
      <c r="VYK12" s="30"/>
      <c r="VYL12" s="31"/>
      <c r="VYM12" s="29"/>
      <c r="VYN12" s="45"/>
      <c r="VYP12" s="27"/>
      <c r="VYQ12" s="1"/>
      <c r="VYR12" s="28"/>
      <c r="VYT12" s="28"/>
      <c r="VYU12" s="31"/>
      <c r="VYV12" s="28"/>
      <c r="VYX12" s="28"/>
      <c r="VYY12" s="28"/>
      <c r="VYZ12" s="29"/>
      <c r="VZA12" s="30"/>
      <c r="VZB12" s="31"/>
      <c r="VZC12" s="29"/>
      <c r="VZD12" s="45"/>
      <c r="VZF12" s="27"/>
      <c r="VZG12" s="1"/>
      <c r="VZH12" s="28"/>
      <c r="VZJ12" s="28"/>
      <c r="VZK12" s="31"/>
      <c r="VZL12" s="28"/>
      <c r="VZN12" s="28"/>
      <c r="VZO12" s="28"/>
      <c r="VZP12" s="29"/>
      <c r="VZQ12" s="30"/>
      <c r="VZR12" s="31"/>
      <c r="VZS12" s="29"/>
      <c r="VZT12" s="45"/>
      <c r="VZV12" s="27"/>
      <c r="VZW12" s="1"/>
      <c r="VZX12" s="28"/>
      <c r="VZZ12" s="28"/>
      <c r="WAA12" s="31"/>
      <c r="WAB12" s="28"/>
      <c r="WAD12" s="28"/>
      <c r="WAE12" s="28"/>
      <c r="WAF12" s="29"/>
      <c r="WAG12" s="30"/>
      <c r="WAH12" s="31"/>
      <c r="WAI12" s="29"/>
      <c r="WAJ12" s="45"/>
      <c r="WAL12" s="27"/>
      <c r="WAM12" s="1"/>
      <c r="WAN12" s="28"/>
      <c r="WAP12" s="28"/>
      <c r="WAQ12" s="31"/>
      <c r="WAR12" s="28"/>
      <c r="WAT12" s="28"/>
      <c r="WAU12" s="28"/>
      <c r="WAV12" s="29"/>
      <c r="WAW12" s="30"/>
      <c r="WAX12" s="31"/>
      <c r="WAY12" s="29"/>
      <c r="WAZ12" s="45"/>
      <c r="WBB12" s="27"/>
      <c r="WBC12" s="1"/>
      <c r="WBD12" s="28"/>
      <c r="WBF12" s="28"/>
      <c r="WBG12" s="31"/>
      <c r="WBH12" s="28"/>
      <c r="WBJ12" s="28"/>
      <c r="WBK12" s="28"/>
      <c r="WBL12" s="29"/>
      <c r="WBM12" s="30"/>
      <c r="WBN12" s="31"/>
      <c r="WBO12" s="29"/>
      <c r="WBP12" s="45"/>
      <c r="WBR12" s="27"/>
      <c r="WBS12" s="1"/>
      <c r="WBT12" s="28"/>
      <c r="WBV12" s="28"/>
      <c r="WBW12" s="31"/>
      <c r="WBX12" s="28"/>
      <c r="WBZ12" s="28"/>
      <c r="WCA12" s="28"/>
      <c r="WCB12" s="29"/>
      <c r="WCC12" s="30"/>
      <c r="WCD12" s="31"/>
      <c r="WCE12" s="29"/>
      <c r="WCF12" s="45"/>
      <c r="WCH12" s="27"/>
      <c r="WCI12" s="1"/>
      <c r="WCJ12" s="28"/>
      <c r="WCL12" s="28"/>
      <c r="WCM12" s="31"/>
      <c r="WCN12" s="28"/>
      <c r="WCP12" s="28"/>
      <c r="WCQ12" s="28"/>
      <c r="WCR12" s="29"/>
      <c r="WCS12" s="30"/>
      <c r="WCT12" s="31"/>
      <c r="WCU12" s="29"/>
      <c r="WCV12" s="45"/>
      <c r="WCX12" s="27"/>
      <c r="WCY12" s="1"/>
      <c r="WCZ12" s="28"/>
      <c r="WDB12" s="28"/>
      <c r="WDC12" s="31"/>
      <c r="WDD12" s="28"/>
      <c r="WDF12" s="28"/>
      <c r="WDG12" s="28"/>
      <c r="WDH12" s="29"/>
      <c r="WDI12" s="30"/>
      <c r="WDJ12" s="31"/>
      <c r="WDK12" s="29"/>
      <c r="WDL12" s="45"/>
      <c r="WDN12" s="27"/>
      <c r="WDO12" s="1"/>
      <c r="WDP12" s="28"/>
      <c r="WDR12" s="28"/>
      <c r="WDS12" s="31"/>
      <c r="WDT12" s="28"/>
      <c r="WDV12" s="28"/>
      <c r="WDW12" s="28"/>
      <c r="WDX12" s="29"/>
      <c r="WDY12" s="30"/>
      <c r="WDZ12" s="31"/>
      <c r="WEA12" s="29"/>
      <c r="WEB12" s="45"/>
      <c r="WED12" s="27"/>
      <c r="WEE12" s="1"/>
      <c r="WEF12" s="28"/>
      <c r="WEH12" s="28"/>
      <c r="WEI12" s="31"/>
      <c r="WEJ12" s="28"/>
      <c r="WEL12" s="28"/>
      <c r="WEM12" s="28"/>
      <c r="WEN12" s="29"/>
      <c r="WEO12" s="30"/>
      <c r="WEP12" s="31"/>
      <c r="WEQ12" s="29"/>
      <c r="WER12" s="45"/>
      <c r="WET12" s="27"/>
      <c r="WEU12" s="1"/>
      <c r="WEV12" s="28"/>
      <c r="WEX12" s="28"/>
      <c r="WEY12" s="31"/>
      <c r="WEZ12" s="28"/>
      <c r="WFB12" s="28"/>
      <c r="WFC12" s="28"/>
      <c r="WFD12" s="29"/>
      <c r="WFE12" s="30"/>
      <c r="WFF12" s="31"/>
      <c r="WFG12" s="29"/>
      <c r="WFH12" s="45"/>
      <c r="WFJ12" s="27"/>
      <c r="WFK12" s="1"/>
      <c r="WFL12" s="28"/>
      <c r="WFN12" s="28"/>
      <c r="WFO12" s="31"/>
      <c r="WFP12" s="28"/>
      <c r="WFR12" s="28"/>
      <c r="WFS12" s="28"/>
      <c r="WFT12" s="29"/>
      <c r="WFU12" s="30"/>
      <c r="WFV12" s="31"/>
      <c r="WFW12" s="29"/>
      <c r="WFX12" s="45"/>
      <c r="WFZ12" s="27"/>
      <c r="WGA12" s="1"/>
      <c r="WGB12" s="28"/>
      <c r="WGD12" s="28"/>
      <c r="WGE12" s="31"/>
      <c r="WGF12" s="28"/>
      <c r="WGH12" s="28"/>
      <c r="WGI12" s="28"/>
      <c r="WGJ12" s="29"/>
      <c r="WGK12" s="30"/>
      <c r="WGL12" s="31"/>
      <c r="WGM12" s="29"/>
      <c r="WGN12" s="45"/>
      <c r="WGP12" s="27"/>
      <c r="WGQ12" s="1"/>
      <c r="WGR12" s="28"/>
      <c r="WGT12" s="28"/>
      <c r="WGU12" s="31"/>
      <c r="WGV12" s="28"/>
      <c r="WGX12" s="28"/>
      <c r="WGY12" s="28"/>
      <c r="WGZ12" s="29"/>
      <c r="WHA12" s="30"/>
      <c r="WHB12" s="31"/>
      <c r="WHC12" s="29"/>
      <c r="WHD12" s="45"/>
      <c r="WHF12" s="27"/>
      <c r="WHG12" s="1"/>
      <c r="WHH12" s="28"/>
      <c r="WHJ12" s="28"/>
      <c r="WHK12" s="31"/>
      <c r="WHL12" s="28"/>
      <c r="WHN12" s="28"/>
      <c r="WHO12" s="28"/>
      <c r="WHP12" s="29"/>
      <c r="WHQ12" s="30"/>
      <c r="WHR12" s="31"/>
      <c r="WHS12" s="29"/>
      <c r="WHT12" s="45"/>
      <c r="WHV12" s="27"/>
      <c r="WHW12" s="1"/>
      <c r="WHX12" s="28"/>
      <c r="WHZ12" s="28"/>
      <c r="WIA12" s="31"/>
      <c r="WIB12" s="28"/>
      <c r="WID12" s="28"/>
      <c r="WIE12" s="28"/>
      <c r="WIF12" s="29"/>
      <c r="WIG12" s="30"/>
      <c r="WIH12" s="31"/>
      <c r="WII12" s="29"/>
      <c r="WIJ12" s="45"/>
      <c r="WIL12" s="27"/>
      <c r="WIM12" s="1"/>
      <c r="WIN12" s="28"/>
      <c r="WIP12" s="28"/>
      <c r="WIQ12" s="31"/>
      <c r="WIR12" s="28"/>
      <c r="WIT12" s="28"/>
      <c r="WIU12" s="28"/>
      <c r="WIV12" s="29"/>
      <c r="WIW12" s="30"/>
      <c r="WIX12" s="31"/>
      <c r="WIY12" s="29"/>
      <c r="WIZ12" s="45"/>
      <c r="WJB12" s="27"/>
      <c r="WJC12" s="1"/>
      <c r="WJD12" s="28"/>
      <c r="WJF12" s="28"/>
      <c r="WJG12" s="31"/>
      <c r="WJH12" s="28"/>
      <c r="WJJ12" s="28"/>
      <c r="WJK12" s="28"/>
      <c r="WJL12" s="29"/>
      <c r="WJM12" s="30"/>
      <c r="WJN12" s="31"/>
      <c r="WJO12" s="29"/>
      <c r="WJP12" s="45"/>
      <c r="WJR12" s="27"/>
      <c r="WJS12" s="1"/>
      <c r="WJT12" s="28"/>
      <c r="WJV12" s="28"/>
      <c r="WJW12" s="31"/>
      <c r="WJX12" s="28"/>
      <c r="WJZ12" s="28"/>
      <c r="WKA12" s="28"/>
      <c r="WKB12" s="29"/>
      <c r="WKC12" s="30"/>
      <c r="WKD12" s="31"/>
      <c r="WKE12" s="29"/>
      <c r="WKF12" s="45"/>
      <c r="WKH12" s="27"/>
      <c r="WKI12" s="1"/>
      <c r="WKJ12" s="28"/>
      <c r="WKL12" s="28"/>
      <c r="WKM12" s="31"/>
      <c r="WKN12" s="28"/>
      <c r="WKP12" s="28"/>
      <c r="WKQ12" s="28"/>
      <c r="WKR12" s="29"/>
      <c r="WKS12" s="30"/>
      <c r="WKT12" s="31"/>
      <c r="WKU12" s="29"/>
      <c r="WKV12" s="45"/>
      <c r="WKX12" s="27"/>
      <c r="WKY12" s="1"/>
      <c r="WKZ12" s="28"/>
      <c r="WLB12" s="28"/>
      <c r="WLC12" s="31"/>
      <c r="WLD12" s="28"/>
      <c r="WLF12" s="28"/>
      <c r="WLG12" s="28"/>
      <c r="WLH12" s="29"/>
      <c r="WLI12" s="30"/>
      <c r="WLJ12" s="31"/>
      <c r="WLK12" s="29"/>
      <c r="WLL12" s="45"/>
      <c r="WLN12" s="27"/>
      <c r="WLO12" s="1"/>
      <c r="WLP12" s="28"/>
      <c r="WLR12" s="28"/>
      <c r="WLS12" s="31"/>
      <c r="WLT12" s="28"/>
      <c r="WLV12" s="28"/>
      <c r="WLW12" s="28"/>
      <c r="WLX12" s="29"/>
      <c r="WLY12" s="30"/>
      <c r="WLZ12" s="31"/>
      <c r="WMA12" s="29"/>
      <c r="WMB12" s="45"/>
      <c r="WMD12" s="27"/>
      <c r="WME12" s="1"/>
      <c r="WMF12" s="28"/>
      <c r="WMH12" s="28"/>
      <c r="WMI12" s="31"/>
      <c r="WMJ12" s="28"/>
      <c r="WML12" s="28"/>
      <c r="WMM12" s="28"/>
      <c r="WMN12" s="29"/>
      <c r="WMO12" s="30"/>
      <c r="WMP12" s="31"/>
      <c r="WMQ12" s="29"/>
      <c r="WMR12" s="45"/>
      <c r="WMT12" s="27"/>
      <c r="WMU12" s="1"/>
      <c r="WMV12" s="28"/>
      <c r="WMX12" s="28"/>
      <c r="WMY12" s="31"/>
      <c r="WMZ12" s="28"/>
      <c r="WNB12" s="28"/>
      <c r="WNC12" s="28"/>
      <c r="WND12" s="29"/>
      <c r="WNE12" s="30"/>
      <c r="WNF12" s="31"/>
      <c r="WNG12" s="29"/>
      <c r="WNH12" s="45"/>
      <c r="WNJ12" s="27"/>
      <c r="WNK12" s="1"/>
      <c r="WNL12" s="28"/>
      <c r="WNN12" s="28"/>
      <c r="WNO12" s="31"/>
      <c r="WNP12" s="28"/>
      <c r="WNR12" s="28"/>
      <c r="WNS12" s="28"/>
      <c r="WNT12" s="29"/>
      <c r="WNU12" s="30"/>
      <c r="WNV12" s="31"/>
      <c r="WNW12" s="29"/>
      <c r="WNX12" s="45"/>
      <c r="WNZ12" s="27"/>
      <c r="WOA12" s="1"/>
      <c r="WOB12" s="28"/>
      <c r="WOD12" s="28"/>
      <c r="WOE12" s="31"/>
      <c r="WOF12" s="28"/>
      <c r="WOH12" s="28"/>
      <c r="WOI12" s="28"/>
      <c r="WOJ12" s="29"/>
      <c r="WOK12" s="30"/>
      <c r="WOL12" s="31"/>
      <c r="WOM12" s="29"/>
      <c r="WON12" s="45"/>
      <c r="WOP12" s="27"/>
      <c r="WOQ12" s="1"/>
      <c r="WOR12" s="28"/>
      <c r="WOT12" s="28"/>
      <c r="WOU12" s="31"/>
      <c r="WOV12" s="28"/>
      <c r="WOX12" s="28"/>
      <c r="WOY12" s="28"/>
      <c r="WOZ12" s="29"/>
      <c r="WPA12" s="30"/>
      <c r="WPB12" s="31"/>
      <c r="WPC12" s="29"/>
      <c r="WPD12" s="45"/>
      <c r="WPF12" s="27"/>
      <c r="WPG12" s="1"/>
      <c r="WPH12" s="28"/>
      <c r="WPJ12" s="28"/>
      <c r="WPK12" s="31"/>
      <c r="WPL12" s="28"/>
      <c r="WPN12" s="28"/>
      <c r="WPO12" s="28"/>
      <c r="WPP12" s="29"/>
      <c r="WPQ12" s="30"/>
      <c r="WPR12" s="31"/>
      <c r="WPS12" s="29"/>
      <c r="WPT12" s="45"/>
      <c r="WPV12" s="27"/>
      <c r="WPW12" s="1"/>
      <c r="WPX12" s="28"/>
      <c r="WPZ12" s="28"/>
      <c r="WQA12" s="31"/>
      <c r="WQB12" s="28"/>
      <c r="WQD12" s="28"/>
      <c r="WQE12" s="28"/>
      <c r="WQF12" s="29"/>
      <c r="WQG12" s="30"/>
      <c r="WQH12" s="31"/>
      <c r="WQI12" s="29"/>
      <c r="WQJ12" s="45"/>
      <c r="WQL12" s="27"/>
      <c r="WQM12" s="1"/>
      <c r="WQN12" s="28"/>
      <c r="WQP12" s="28"/>
      <c r="WQQ12" s="31"/>
      <c r="WQR12" s="28"/>
      <c r="WQT12" s="28"/>
      <c r="WQU12" s="28"/>
      <c r="WQV12" s="29"/>
      <c r="WQW12" s="30"/>
      <c r="WQX12" s="31"/>
      <c r="WQY12" s="29"/>
      <c r="WQZ12" s="45"/>
      <c r="WRB12" s="27"/>
      <c r="WRC12" s="1"/>
      <c r="WRD12" s="28"/>
      <c r="WRF12" s="28"/>
      <c r="WRG12" s="31"/>
      <c r="WRH12" s="28"/>
      <c r="WRJ12" s="28"/>
      <c r="WRK12" s="28"/>
      <c r="WRL12" s="29"/>
      <c r="WRM12" s="30"/>
      <c r="WRN12" s="31"/>
      <c r="WRO12" s="29"/>
      <c r="WRP12" s="45"/>
      <c r="WRR12" s="27"/>
      <c r="WRS12" s="1"/>
      <c r="WRT12" s="28"/>
      <c r="WRV12" s="28"/>
      <c r="WRW12" s="31"/>
      <c r="WRX12" s="28"/>
      <c r="WRZ12" s="28"/>
      <c r="WSA12" s="28"/>
      <c r="WSB12" s="29"/>
      <c r="WSC12" s="30"/>
      <c r="WSD12" s="31"/>
      <c r="WSE12" s="29"/>
      <c r="WSF12" s="45"/>
      <c r="WSH12" s="27"/>
      <c r="WSI12" s="1"/>
      <c r="WSJ12" s="28"/>
      <c r="WSL12" s="28"/>
      <c r="WSM12" s="31"/>
      <c r="WSN12" s="28"/>
      <c r="WSP12" s="28"/>
      <c r="WSQ12" s="28"/>
      <c r="WSR12" s="29"/>
      <c r="WSS12" s="30"/>
      <c r="WST12" s="31"/>
      <c r="WSU12" s="29"/>
      <c r="WSV12" s="45"/>
      <c r="WSX12" s="27"/>
      <c r="WSY12" s="1"/>
      <c r="WSZ12" s="28"/>
      <c r="WTB12" s="28"/>
      <c r="WTC12" s="31"/>
      <c r="WTD12" s="28"/>
      <c r="WTF12" s="28"/>
      <c r="WTG12" s="28"/>
      <c r="WTH12" s="29"/>
      <c r="WTI12" s="30"/>
      <c r="WTJ12" s="31"/>
      <c r="WTK12" s="29"/>
      <c r="WTL12" s="45"/>
      <c r="WTN12" s="27"/>
      <c r="WTO12" s="1"/>
      <c r="WTP12" s="28"/>
      <c r="WTR12" s="28"/>
      <c r="WTS12" s="31"/>
      <c r="WTT12" s="28"/>
      <c r="WTV12" s="28"/>
      <c r="WTW12" s="28"/>
      <c r="WTX12" s="29"/>
      <c r="WTY12" s="30"/>
      <c r="WTZ12" s="31"/>
      <c r="WUA12" s="29"/>
      <c r="WUB12" s="45"/>
      <c r="WUD12" s="27"/>
      <c r="WUE12" s="1"/>
      <c r="WUF12" s="28"/>
      <c r="WUH12" s="28"/>
      <c r="WUI12" s="31"/>
      <c r="WUJ12" s="28"/>
      <c r="WUL12" s="28"/>
      <c r="WUM12" s="28"/>
      <c r="WUN12" s="29"/>
      <c r="WUO12" s="30"/>
      <c r="WUP12" s="31"/>
      <c r="WUQ12" s="29"/>
      <c r="WUR12" s="45"/>
      <c r="WUT12" s="27"/>
      <c r="WUU12" s="1"/>
      <c r="WUV12" s="28"/>
      <c r="WUX12" s="28"/>
      <c r="WUY12" s="31"/>
      <c r="WUZ12" s="28"/>
      <c r="WVB12" s="28"/>
      <c r="WVC12" s="28"/>
      <c r="WVD12" s="29"/>
      <c r="WVE12" s="30"/>
      <c r="WVF12" s="31"/>
      <c r="WVG12" s="29"/>
      <c r="WVH12" s="45"/>
      <c r="WVJ12" s="27"/>
      <c r="WVK12" s="1"/>
      <c r="WVL12" s="28"/>
      <c r="WVN12" s="28"/>
      <c r="WVO12" s="31"/>
      <c r="WVP12" s="28"/>
      <c r="WVR12" s="28"/>
      <c r="WVS12" s="28"/>
      <c r="WVT12" s="29"/>
      <c r="WVU12" s="30"/>
      <c r="WVV12" s="31"/>
      <c r="WVW12" s="29"/>
      <c r="WVX12" s="45"/>
      <c r="WVZ12" s="27"/>
      <c r="WWA12" s="1"/>
      <c r="WWB12" s="28"/>
      <c r="WWD12" s="28"/>
      <c r="WWE12" s="31"/>
      <c r="WWF12" s="28"/>
      <c r="WWH12" s="28"/>
      <c r="WWI12" s="28"/>
      <c r="WWJ12" s="29"/>
      <c r="WWK12" s="30"/>
      <c r="WWL12" s="31"/>
      <c r="WWM12" s="29"/>
      <c r="WWN12" s="45"/>
      <c r="WWP12" s="27"/>
      <c r="WWQ12" s="1"/>
      <c r="WWR12" s="28"/>
      <c r="WWT12" s="28"/>
      <c r="WWU12" s="31"/>
      <c r="WWV12" s="28"/>
      <c r="WWX12" s="28"/>
      <c r="WWY12" s="28"/>
      <c r="WWZ12" s="29"/>
      <c r="WXA12" s="30"/>
      <c r="WXB12" s="31"/>
      <c r="WXC12" s="29"/>
      <c r="WXD12" s="45"/>
      <c r="WXF12" s="27"/>
      <c r="WXG12" s="1"/>
      <c r="WXH12" s="28"/>
      <c r="WXJ12" s="28"/>
      <c r="WXK12" s="31"/>
      <c r="WXL12" s="28"/>
      <c r="WXN12" s="28"/>
      <c r="WXO12" s="28"/>
      <c r="WXP12" s="29"/>
      <c r="WXQ12" s="30"/>
      <c r="WXR12" s="31"/>
      <c r="WXS12" s="29"/>
      <c r="WXT12" s="45"/>
      <c r="WXV12" s="27"/>
      <c r="WXW12" s="1"/>
      <c r="WXX12" s="28"/>
      <c r="WXZ12" s="28"/>
      <c r="WYA12" s="31"/>
      <c r="WYB12" s="28"/>
      <c r="WYD12" s="28"/>
      <c r="WYE12" s="28"/>
      <c r="WYF12" s="29"/>
      <c r="WYG12" s="30"/>
      <c r="WYH12" s="31"/>
      <c r="WYI12" s="29"/>
      <c r="WYJ12" s="45"/>
      <c r="WYL12" s="27"/>
      <c r="WYM12" s="1"/>
      <c r="WYN12" s="28"/>
      <c r="WYP12" s="28"/>
      <c r="WYQ12" s="31"/>
      <c r="WYR12" s="28"/>
      <c r="WYT12" s="28"/>
      <c r="WYU12" s="28"/>
      <c r="WYV12" s="29"/>
      <c r="WYW12" s="30"/>
      <c r="WYX12" s="31"/>
      <c r="WYY12" s="29"/>
      <c r="WYZ12" s="45"/>
      <c r="WZB12" s="27"/>
      <c r="WZC12" s="1"/>
      <c r="WZD12" s="28"/>
      <c r="WZF12" s="28"/>
      <c r="WZG12" s="31"/>
      <c r="WZH12" s="28"/>
      <c r="WZJ12" s="28"/>
      <c r="WZK12" s="28"/>
      <c r="WZL12" s="29"/>
      <c r="WZM12" s="30"/>
      <c r="WZN12" s="31"/>
      <c r="WZO12" s="29"/>
      <c r="WZP12" s="45"/>
      <c r="WZR12" s="27"/>
      <c r="WZS12" s="1"/>
      <c r="WZT12" s="28"/>
      <c r="WZV12" s="28"/>
      <c r="WZW12" s="31"/>
      <c r="WZX12" s="28"/>
      <c r="WZZ12" s="28"/>
      <c r="XAA12" s="28"/>
      <c r="XAB12" s="29"/>
      <c r="XAC12" s="30"/>
      <c r="XAD12" s="31"/>
      <c r="XAE12" s="29"/>
      <c r="XAF12" s="45"/>
      <c r="XAH12" s="27"/>
      <c r="XAI12" s="1"/>
      <c r="XAJ12" s="28"/>
      <c r="XAL12" s="28"/>
      <c r="XAM12" s="31"/>
      <c r="XAN12" s="28"/>
      <c r="XAP12" s="28"/>
      <c r="XAQ12" s="28"/>
      <c r="XAR12" s="29"/>
      <c r="XAS12" s="30"/>
      <c r="XAT12" s="31"/>
      <c r="XAU12" s="29"/>
      <c r="XAV12" s="45"/>
      <c r="XAX12" s="27"/>
      <c r="XAY12" s="1"/>
      <c r="XAZ12" s="28"/>
      <c r="XBB12" s="28"/>
      <c r="XBC12" s="31"/>
      <c r="XBD12" s="28"/>
      <c r="XBF12" s="28"/>
      <c r="XBG12" s="28"/>
      <c r="XBH12" s="29"/>
      <c r="XBI12" s="30"/>
      <c r="XBJ12" s="31"/>
      <c r="XBK12" s="29"/>
      <c r="XBL12" s="45"/>
      <c r="XBN12" s="27"/>
      <c r="XBO12" s="1"/>
      <c r="XBP12" s="28"/>
      <c r="XBR12" s="28"/>
      <c r="XBS12" s="31"/>
      <c r="XBT12" s="28"/>
      <c r="XBV12" s="28"/>
      <c r="XBW12" s="28"/>
      <c r="XBX12" s="29"/>
      <c r="XBY12" s="30"/>
      <c r="XBZ12" s="31"/>
      <c r="XCA12" s="29"/>
      <c r="XCB12" s="45"/>
      <c r="XCD12" s="27"/>
      <c r="XCE12" s="1"/>
      <c r="XCF12" s="28"/>
      <c r="XCH12" s="28"/>
      <c r="XCI12" s="31"/>
      <c r="XCJ12" s="28"/>
      <c r="XCL12" s="28"/>
      <c r="XCM12" s="28"/>
      <c r="XCN12" s="29"/>
      <c r="XCO12" s="30"/>
      <c r="XCP12" s="31"/>
      <c r="XCQ12" s="29"/>
      <c r="XCR12" s="45"/>
      <c r="XCT12" s="27"/>
      <c r="XCU12" s="1"/>
      <c r="XCV12" s="28"/>
      <c r="XCX12" s="28"/>
      <c r="XCY12" s="31"/>
      <c r="XCZ12" s="28"/>
      <c r="XDB12" s="28"/>
      <c r="XDC12" s="28"/>
      <c r="XDD12" s="29"/>
      <c r="XDE12" s="30"/>
      <c r="XDF12" s="31"/>
      <c r="XDG12" s="29"/>
      <c r="XDH12" s="45"/>
      <c r="XDJ12" s="27"/>
      <c r="XDK12" s="1"/>
      <c r="XDL12" s="28"/>
      <c r="XDN12" s="28"/>
      <c r="XDO12" s="31"/>
      <c r="XDP12" s="28"/>
      <c r="XDR12" s="28"/>
      <c r="XDS12" s="28"/>
      <c r="XDT12" s="29"/>
      <c r="XDU12" s="30"/>
      <c r="XDV12" s="31"/>
      <c r="XDW12" s="29"/>
      <c r="XDX12" s="45"/>
      <c r="XDZ12" s="27"/>
      <c r="XEA12" s="1"/>
      <c r="XEB12" s="28"/>
      <c r="XED12" s="28"/>
      <c r="XEE12" s="31"/>
      <c r="XEF12" s="28"/>
      <c r="XEH12" s="28"/>
      <c r="XEI12" s="28"/>
      <c r="XEJ12" s="29"/>
      <c r="XEK12" s="30"/>
      <c r="XEL12" s="31"/>
      <c r="XEM12" s="29"/>
      <c r="XEN12" s="45"/>
      <c r="XEP12" s="27"/>
      <c r="XEQ12" s="1"/>
      <c r="XER12" s="28"/>
      <c r="XET12" s="28"/>
      <c r="XEU12" s="31"/>
      <c r="XEV12" s="28"/>
      <c r="XEX12" s="28"/>
      <c r="XEY12" s="28"/>
      <c r="XEZ12" s="29"/>
      <c r="XFA12" s="30"/>
      <c r="XFB12" s="31"/>
      <c r="XFC12" s="29"/>
      <c r="XFD12" s="45"/>
    </row>
    <row r="13" spans="1:1024 1026:2048 2050:3072 3074:4096 4098:5120 5122:6144 6146:7168 7170:8192 8194:9216 9218:10240 10242:11264 11266:12288 12290:13312 13314:14336 14338:15360 15362:16384" x14ac:dyDescent="0.25">
      <c r="A13" s="6">
        <v>1</v>
      </c>
      <c r="B13" s="27" t="str">
        <f>IF(A13&gt;$B$7,"",IF(A13=$B$7,EOMONTH($B$5,-1),REPLAY!B2))</f>
        <v/>
      </c>
      <c r="C13" s="1" t="str">
        <f t="shared" si="0"/>
        <v/>
      </c>
      <c r="D13" s="28" t="str">
        <f t="shared" si="1"/>
        <v/>
      </c>
      <c r="E13" s="6" t="str">
        <f t="shared" si="2"/>
        <v/>
      </c>
      <c r="F13" s="28" t="str">
        <f>IFERROR(IF(B13="","",VLOOKUP(B13,REPLAY!$B$2:$H$3,6,FALSE)),"")</f>
        <v/>
      </c>
      <c r="G13" s="31">
        <f>IFERROR(IF(OR($B$13="",A13&lt;&gt;1),0,((F13*$B$2)/360)*D12),0)</f>
        <v>0</v>
      </c>
      <c r="H13" s="28" t="str">
        <f>IFERROR(IF(B13="","",IF(B6="","",VLOOKUP(B13,REPLAY!$B$2:$H$3,7,FALSE)+G13)),"")</f>
        <v/>
      </c>
      <c r="I13" s="6" t="str">
        <f>IF(B13="","",SUMIF(REPLAY!$B$2:$F13,B13,REPLAY!$F$2:$F$13))</f>
        <v/>
      </c>
      <c r="J13" s="28" t="str">
        <f>IF(B13="","",SUMIF(REPLAY!$B$2:$E$13,B13,REPLAY!$E$2:$E$13))</f>
        <v/>
      </c>
      <c r="K13" s="28" t="str">
        <f t="shared" si="3"/>
        <v/>
      </c>
      <c r="L13" s="29" t="str">
        <f t="shared" si="4"/>
        <v/>
      </c>
      <c r="M13" s="30" t="str">
        <f t="shared" si="5"/>
        <v/>
      </c>
      <c r="N13" s="31" t="str">
        <f>IFERROR(IF($B$13="","",(M13*$B$2)/360),0)</f>
        <v/>
      </c>
      <c r="O13" s="29" t="str">
        <f t="shared" si="6"/>
        <v/>
      </c>
      <c r="P13" s="45">
        <f>IF(K13&lt;&gt;"",ROW(),0)</f>
        <v>0</v>
      </c>
    </row>
    <row r="14" spans="1:1024 1026:2048 2050:3072 3074:4096 4098:5120 5122:6144 6146:7168 7170:8192 8194:9216 9218:10240 10242:11264 11266:12288 12290:13312 13314:14336 14338:15360 15362:16384" x14ac:dyDescent="0.25">
      <c r="A14" s="6">
        <v>2</v>
      </c>
      <c r="B14" s="27" t="str">
        <f>IF(A14&gt;$B$7,"",IF(A14=$B$7,EOMONTH($B$5,-1),REPLAY!B3))</f>
        <v/>
      </c>
      <c r="C14" s="1" t="str">
        <f t="shared" si="0"/>
        <v/>
      </c>
      <c r="D14" s="28" t="str">
        <f t="shared" si="1"/>
        <v/>
      </c>
      <c r="E14" s="6" t="str">
        <f t="shared" si="2"/>
        <v/>
      </c>
      <c r="F14" s="28" t="str">
        <f t="shared" ref="F14:F24" si="7">IF(B14="","",M13)</f>
        <v/>
      </c>
      <c r="G14" s="31">
        <f t="shared" ref="G14:G24" si="8">IFERROR(IF(OR($B$13="",A14&lt;&gt;1),0,((F14*$B$2)/360)*D13),0)</f>
        <v>0</v>
      </c>
      <c r="H14" s="31" t="str">
        <f t="shared" ref="H14:H24" si="9">IF(B14="","",O13)</f>
        <v/>
      </c>
      <c r="I14" s="6" t="str">
        <f>IF(B14="","",SUMIF(REPLAY!$B$2:$EF14,B14,REPLAY!$F$2:$F$13))</f>
        <v/>
      </c>
      <c r="J14" s="28" t="str">
        <f>IF(B14="","",SUMIF(REPLAY!$B$2:$E$13,B14,REPLAY!$E$2:$E$13))</f>
        <v/>
      </c>
      <c r="K14" s="28" t="str">
        <f t="shared" si="3"/>
        <v/>
      </c>
      <c r="L14" s="29" t="str">
        <f t="shared" si="4"/>
        <v/>
      </c>
      <c r="M14" s="30" t="str">
        <f t="shared" si="5"/>
        <v/>
      </c>
      <c r="N14" s="31" t="str">
        <f t="shared" ref="N14:N24" si="10">IFERROR(IF(B14="","",(M14*$B$2)/360),0)</f>
        <v/>
      </c>
      <c r="O14" s="29" t="str">
        <f t="shared" si="6"/>
        <v/>
      </c>
      <c r="P14" s="45">
        <f t="shared" ref="P14:P24" si="11">IF(K14&lt;&gt;"",ROW(),0)</f>
        <v>0</v>
      </c>
    </row>
    <row r="15" spans="1:1024 1026:2048 2050:3072 3074:4096 4098:5120 5122:6144 6146:7168 7170:8192 8194:9216 9218:10240 10242:11264 11266:12288 12290:13312 13314:14336 14338:15360 15362:16384" x14ac:dyDescent="0.25">
      <c r="A15" s="6">
        <v>3</v>
      </c>
      <c r="B15" s="27" t="str">
        <f>IF(A15&gt;$B$7,"",IF(A15=$B$7,EOMONTH($B$5,-1),REPLAY!B4))</f>
        <v/>
      </c>
      <c r="C15" s="1" t="str">
        <f t="shared" si="0"/>
        <v/>
      </c>
      <c r="D15" s="28" t="str">
        <f t="shared" si="1"/>
        <v/>
      </c>
      <c r="E15" s="6" t="str">
        <f t="shared" si="2"/>
        <v/>
      </c>
      <c r="F15" s="28" t="str">
        <f t="shared" si="7"/>
        <v/>
      </c>
      <c r="G15" s="31">
        <f t="shared" si="8"/>
        <v>0</v>
      </c>
      <c r="H15" s="31" t="str">
        <f t="shared" si="9"/>
        <v/>
      </c>
      <c r="I15" s="6" t="str">
        <f>IF(B15="","",SUMIF(REPLAY!$B$2:$EF15,B15,REPLAY!$F$2:$F$13))</f>
        <v/>
      </c>
      <c r="J15" s="28" t="str">
        <f>IF(B15="","",SUMIF(REPLAY!$B$2:$E$13,B15,REPLAY!$E$2:$E$13))</f>
        <v/>
      </c>
      <c r="K15" s="28" t="str">
        <f t="shared" si="3"/>
        <v/>
      </c>
      <c r="L15" s="29" t="str">
        <f t="shared" si="4"/>
        <v/>
      </c>
      <c r="M15" s="30" t="str">
        <f t="shared" si="5"/>
        <v/>
      </c>
      <c r="N15" s="31" t="str">
        <f t="shared" si="10"/>
        <v/>
      </c>
      <c r="O15" s="29" t="str">
        <f t="shared" si="6"/>
        <v/>
      </c>
      <c r="P15" s="45">
        <f t="shared" si="11"/>
        <v>0</v>
      </c>
    </row>
    <row r="16" spans="1:1024 1026:2048 2050:3072 3074:4096 4098:5120 5122:6144 6146:7168 7170:8192 8194:9216 9218:10240 10242:11264 11266:12288 12290:13312 13314:14336 14338:15360 15362:16384" x14ac:dyDescent="0.25">
      <c r="A16" s="6">
        <v>4</v>
      </c>
      <c r="B16" s="27" t="str">
        <f>IF(A16&gt;$B$7,"",IF(A16=$B$7,EOMONTH($B$5,-1),REPLAY!B5))</f>
        <v/>
      </c>
      <c r="C16" s="1" t="str">
        <f t="shared" si="0"/>
        <v/>
      </c>
      <c r="D16" s="28" t="str">
        <f t="shared" si="1"/>
        <v/>
      </c>
      <c r="E16" s="6" t="str">
        <f t="shared" si="2"/>
        <v/>
      </c>
      <c r="F16" s="28" t="str">
        <f t="shared" si="7"/>
        <v/>
      </c>
      <c r="G16" s="31">
        <f t="shared" si="8"/>
        <v>0</v>
      </c>
      <c r="H16" s="31" t="str">
        <f t="shared" si="9"/>
        <v/>
      </c>
      <c r="I16" s="6" t="str">
        <f>IF(B16="","",SUMIF(REPLAY!$B$2:$EF16,B16,REPLAY!$F$2:$F$13))</f>
        <v/>
      </c>
      <c r="J16" s="28" t="str">
        <f>IF(B16="","",SUMIF(REPLAY!$B$2:$E$13,B16,REPLAY!$E$2:$E$13))</f>
        <v/>
      </c>
      <c r="K16" s="28" t="str">
        <f t="shared" si="3"/>
        <v/>
      </c>
      <c r="L16" s="29" t="str">
        <f t="shared" si="4"/>
        <v/>
      </c>
      <c r="M16" s="30" t="str">
        <f t="shared" si="5"/>
        <v/>
      </c>
      <c r="N16" s="31" t="str">
        <f t="shared" si="10"/>
        <v/>
      </c>
      <c r="O16" s="29" t="str">
        <f t="shared" si="6"/>
        <v/>
      </c>
      <c r="P16" s="45">
        <f t="shared" si="11"/>
        <v>0</v>
      </c>
    </row>
    <row r="17" spans="1:23" x14ac:dyDescent="0.25">
      <c r="A17" s="6">
        <v>5</v>
      </c>
      <c r="B17" s="27" t="str">
        <f>IF(A17&gt;$B$7,"",IF(A17=$B$7,EOMONTH($B$5,-1),REPLAY!B6))</f>
        <v/>
      </c>
      <c r="C17" s="1" t="str">
        <f t="shared" si="0"/>
        <v/>
      </c>
      <c r="D17" s="28" t="str">
        <f>IF(B17="","",IF(B18="",1,(B18-B17)))</f>
        <v/>
      </c>
      <c r="E17" s="6" t="str">
        <f t="shared" si="2"/>
        <v/>
      </c>
      <c r="F17" s="32" t="str">
        <f t="shared" si="7"/>
        <v/>
      </c>
      <c r="G17" s="31">
        <f t="shared" si="8"/>
        <v>0</v>
      </c>
      <c r="H17" s="31" t="str">
        <f t="shared" si="9"/>
        <v/>
      </c>
      <c r="I17" s="6" t="str">
        <f>IF(B17="","",SUMIF(REPLAY!$B$2:$EF17,B17,REPLAY!$F$2:$F$13))</f>
        <v/>
      </c>
      <c r="J17" s="28" t="str">
        <f>IF(B17="","",SUMIF(REPLAY!$B$2:$E$13,B17,REPLAY!$E$2:$E$13))</f>
        <v/>
      </c>
      <c r="K17" s="28" t="str">
        <f t="shared" si="3"/>
        <v/>
      </c>
      <c r="L17" s="29" t="str">
        <f t="shared" si="4"/>
        <v/>
      </c>
      <c r="M17" s="30" t="str">
        <f t="shared" si="5"/>
        <v/>
      </c>
      <c r="N17" s="31" t="str">
        <f t="shared" si="10"/>
        <v/>
      </c>
      <c r="O17" s="29" t="str">
        <f t="shared" si="6"/>
        <v/>
      </c>
      <c r="P17" s="45">
        <f t="shared" si="11"/>
        <v>0</v>
      </c>
    </row>
    <row r="18" spans="1:23" x14ac:dyDescent="0.25">
      <c r="A18" s="6">
        <v>6</v>
      </c>
      <c r="B18" s="27" t="str">
        <f>IF(A18&gt;$B$7,"",IF(A18=$B$7,EOMONTH($B$5,-1),REPLAY!B7))</f>
        <v/>
      </c>
      <c r="C18" s="1" t="str">
        <f>IFERROR(IF(MONTH(B18)&lt;MONTH(B19),EOMONTH(B18,0),B19),B18)</f>
        <v/>
      </c>
      <c r="D18" s="28" t="str">
        <f t="shared" ref="D18:D24" si="12">IF(B18="","",IF(B19="",1,(B19-B18)))</f>
        <v/>
      </c>
      <c r="E18" s="6" t="str">
        <f t="shared" si="2"/>
        <v/>
      </c>
      <c r="F18" s="32" t="str">
        <f t="shared" si="7"/>
        <v/>
      </c>
      <c r="G18" s="31">
        <f t="shared" si="8"/>
        <v>0</v>
      </c>
      <c r="H18" s="31" t="str">
        <f t="shared" si="9"/>
        <v/>
      </c>
      <c r="I18" s="6" t="str">
        <f>IF(B18="","",SUMIF(REPLAY!$B$2:$EF18,B18,REPLAY!$F$2:$F$13))</f>
        <v/>
      </c>
      <c r="J18" s="28" t="str">
        <f>IF(B18="","",SUMIF(REPLAY!$B$2:$E$13,B18,REPLAY!$E$2:$E$13))</f>
        <v/>
      </c>
      <c r="K18" s="28" t="str">
        <f t="shared" si="3"/>
        <v/>
      </c>
      <c r="L18" s="29" t="str">
        <f t="shared" si="4"/>
        <v/>
      </c>
      <c r="M18" s="30" t="str">
        <f t="shared" si="5"/>
        <v/>
      </c>
      <c r="N18" s="31" t="str">
        <f t="shared" si="10"/>
        <v/>
      </c>
      <c r="O18" s="29" t="str">
        <f t="shared" si="6"/>
        <v/>
      </c>
      <c r="P18" s="45">
        <f t="shared" si="11"/>
        <v>0</v>
      </c>
    </row>
    <row r="19" spans="1:23" x14ac:dyDescent="0.25">
      <c r="A19" s="6">
        <v>7</v>
      </c>
      <c r="B19" s="27" t="str">
        <f>IF(A19&gt;$B$7,"",IF(A19=$B$7,EOMONTH($B$5,-1),REPLAY!B8))</f>
        <v/>
      </c>
      <c r="C19" s="1" t="str">
        <f>IFERROR(IF(MONTH(B19)&lt;MONTH(B20),EOMONTH(B19,0),B20),B19)</f>
        <v/>
      </c>
      <c r="D19" s="28" t="str">
        <f t="shared" si="12"/>
        <v/>
      </c>
      <c r="E19" s="6" t="str">
        <f t="shared" si="2"/>
        <v/>
      </c>
      <c r="F19" s="32" t="str">
        <f t="shared" si="7"/>
        <v/>
      </c>
      <c r="G19" s="31">
        <f t="shared" si="8"/>
        <v>0</v>
      </c>
      <c r="H19" s="31" t="str">
        <f t="shared" si="9"/>
        <v/>
      </c>
      <c r="I19" s="6" t="str">
        <f>IF(B19="","",SUMIF(REPLAY!$B$2:$EF19,B19,REPLAY!$F$2:$F$13))</f>
        <v/>
      </c>
      <c r="J19" s="28" t="str">
        <f>IF(B19="","",SUMIF(REPLAY!$B$2:$E$13,B19,REPLAY!$E$2:$E$13))</f>
        <v/>
      </c>
      <c r="K19" s="28" t="str">
        <f t="shared" si="3"/>
        <v/>
      </c>
      <c r="L19" s="29" t="str">
        <f t="shared" si="4"/>
        <v/>
      </c>
      <c r="M19" s="30" t="str">
        <f t="shared" si="5"/>
        <v/>
      </c>
      <c r="N19" s="31" t="str">
        <f t="shared" si="10"/>
        <v/>
      </c>
      <c r="O19" s="29" t="str">
        <f t="shared" si="6"/>
        <v/>
      </c>
      <c r="P19" s="45">
        <f t="shared" si="11"/>
        <v>0</v>
      </c>
    </row>
    <row r="20" spans="1:23" x14ac:dyDescent="0.25">
      <c r="A20" s="6">
        <v>8</v>
      </c>
      <c r="B20" s="27" t="str">
        <f>IF(A20&gt;$B$7,"",IF(A20=$B$7,EOMONTH($B$5,-1),REPLAY!B9))</f>
        <v/>
      </c>
      <c r="C20" s="1" t="str">
        <f t="shared" ref="C20:C24" si="13">IFERROR(IF(MONTH(B20)&lt;MONTH(B21),EOMONTH(B20,0),B21),B20)</f>
        <v/>
      </c>
      <c r="D20" s="28" t="str">
        <f t="shared" si="12"/>
        <v/>
      </c>
      <c r="E20" s="6" t="str">
        <f t="shared" si="2"/>
        <v/>
      </c>
      <c r="F20" s="32" t="str">
        <f t="shared" si="7"/>
        <v/>
      </c>
      <c r="G20" s="31">
        <f t="shared" si="8"/>
        <v>0</v>
      </c>
      <c r="H20" s="31" t="str">
        <f t="shared" si="9"/>
        <v/>
      </c>
      <c r="I20" s="6" t="str">
        <f>IF(B20="","",SUMIF(REPLAY!$B$2:$EF20,B20,REPLAY!$F$2:$F$13))</f>
        <v/>
      </c>
      <c r="J20" s="28" t="str">
        <f>IF(B20="","",SUMIF(REPLAY!$B$2:$E$13,B20,REPLAY!$E$2:$E$13))</f>
        <v/>
      </c>
      <c r="K20" s="28" t="str">
        <f t="shared" si="3"/>
        <v/>
      </c>
      <c r="L20" s="29" t="str">
        <f t="shared" si="4"/>
        <v/>
      </c>
      <c r="M20" s="30" t="str">
        <f t="shared" si="5"/>
        <v/>
      </c>
      <c r="N20" s="31" t="str">
        <f t="shared" si="10"/>
        <v/>
      </c>
      <c r="O20" s="29" t="str">
        <f t="shared" si="6"/>
        <v/>
      </c>
      <c r="P20" s="45">
        <f t="shared" si="11"/>
        <v>0</v>
      </c>
    </row>
    <row r="21" spans="1:23" x14ac:dyDescent="0.25">
      <c r="A21" s="6">
        <v>9</v>
      </c>
      <c r="B21" s="27" t="str">
        <f>IF(A21&gt;$B$7,"",IF(A21=$B$7,EOMONTH($B$5,-1),REPLAY!B10))</f>
        <v/>
      </c>
      <c r="C21" s="1" t="str">
        <f t="shared" si="13"/>
        <v/>
      </c>
      <c r="D21" s="28" t="str">
        <f t="shared" si="12"/>
        <v/>
      </c>
      <c r="E21" s="6" t="str">
        <f t="shared" si="2"/>
        <v/>
      </c>
      <c r="F21" s="32" t="str">
        <f t="shared" si="7"/>
        <v/>
      </c>
      <c r="G21" s="31">
        <f t="shared" si="8"/>
        <v>0</v>
      </c>
      <c r="H21" s="31" t="str">
        <f t="shared" si="9"/>
        <v/>
      </c>
      <c r="I21" s="6" t="str">
        <f>IF(B21="","",SUMIF(REPLAY!$B$2:$EF21,B21,REPLAY!$F$2:$F$13))</f>
        <v/>
      </c>
      <c r="J21" s="28" t="str">
        <f>IF(B21="","",SUMIF(REPLAY!$B$2:$E$13,B21,REPLAY!$E$2:$E$13))</f>
        <v/>
      </c>
      <c r="K21" s="28" t="str">
        <f t="shared" si="3"/>
        <v/>
      </c>
      <c r="L21" s="29" t="str">
        <f t="shared" si="4"/>
        <v/>
      </c>
      <c r="M21" s="30" t="str">
        <f t="shared" si="5"/>
        <v/>
      </c>
      <c r="N21" s="31" t="str">
        <f t="shared" si="10"/>
        <v/>
      </c>
      <c r="O21" s="29" t="str">
        <f t="shared" si="6"/>
        <v/>
      </c>
      <c r="P21" s="45">
        <f t="shared" si="11"/>
        <v>0</v>
      </c>
    </row>
    <row r="22" spans="1:23" x14ac:dyDescent="0.25">
      <c r="A22" s="6">
        <v>10</v>
      </c>
      <c r="B22" s="27" t="str">
        <f>IF(A22&gt;$B$7,"",IF(A22=$B$7,EOMONTH($B$5,-1),REPLAY!B11))</f>
        <v/>
      </c>
      <c r="C22" s="1" t="str">
        <f t="shared" si="13"/>
        <v/>
      </c>
      <c r="D22" s="28" t="str">
        <f t="shared" si="12"/>
        <v/>
      </c>
      <c r="E22" s="6" t="str">
        <f t="shared" si="2"/>
        <v/>
      </c>
      <c r="F22" s="32" t="str">
        <f t="shared" si="7"/>
        <v/>
      </c>
      <c r="G22" s="31">
        <f t="shared" si="8"/>
        <v>0</v>
      </c>
      <c r="H22" s="31" t="str">
        <f t="shared" si="9"/>
        <v/>
      </c>
      <c r="I22" s="6" t="str">
        <f>IF(B22="","",SUMIF(REPLAY!$B$2:$EF22,B22,REPLAY!$F$2:$F$13))</f>
        <v/>
      </c>
      <c r="J22" s="28" t="str">
        <f>IF(B22="","",SUMIF(REPLAY!$B$2:$E$13,B22,REPLAY!$E$2:$E$13))</f>
        <v/>
      </c>
      <c r="K22" s="28" t="str">
        <f t="shared" si="3"/>
        <v/>
      </c>
      <c r="L22" s="29" t="str">
        <f t="shared" si="4"/>
        <v/>
      </c>
      <c r="M22" s="30" t="str">
        <f t="shared" si="5"/>
        <v/>
      </c>
      <c r="N22" s="31" t="str">
        <f t="shared" si="10"/>
        <v/>
      </c>
      <c r="O22" s="29" t="str">
        <f t="shared" si="6"/>
        <v/>
      </c>
      <c r="P22" s="45">
        <f t="shared" si="11"/>
        <v>0</v>
      </c>
    </row>
    <row r="23" spans="1:23" x14ac:dyDescent="0.25">
      <c r="A23" s="6">
        <v>11</v>
      </c>
      <c r="B23" s="27" t="str">
        <f>IF(A23&gt;$B$7,"",IF(A23=$B$7,EOMONTH($B$5,-1),REPLAY!B12))</f>
        <v/>
      </c>
      <c r="C23" s="1" t="str">
        <f t="shared" si="13"/>
        <v/>
      </c>
      <c r="D23" s="28" t="str">
        <f t="shared" si="12"/>
        <v/>
      </c>
      <c r="E23" s="6" t="str">
        <f t="shared" si="2"/>
        <v/>
      </c>
      <c r="F23" s="32" t="str">
        <f t="shared" si="7"/>
        <v/>
      </c>
      <c r="G23" s="31">
        <f t="shared" si="8"/>
        <v>0</v>
      </c>
      <c r="H23" s="31" t="str">
        <f t="shared" si="9"/>
        <v/>
      </c>
      <c r="I23" s="6" t="str">
        <f>IF(B23="","",SUMIF(REPLAY!$B$2:$EF23,B23,REPLAY!$F$2:$F$13))</f>
        <v/>
      </c>
      <c r="J23" s="28" t="str">
        <f>IF(B23="","",SUMIF(REPLAY!$B$2:$E$13,B23,REPLAY!$E$2:$E$13))</f>
        <v/>
      </c>
      <c r="K23" s="28" t="str">
        <f t="shared" si="3"/>
        <v/>
      </c>
      <c r="L23" s="29" t="str">
        <f t="shared" si="4"/>
        <v/>
      </c>
      <c r="M23" s="30" t="str">
        <f t="shared" si="5"/>
        <v/>
      </c>
      <c r="N23" s="31" t="str">
        <f t="shared" si="10"/>
        <v/>
      </c>
      <c r="O23" s="29" t="str">
        <f t="shared" si="6"/>
        <v/>
      </c>
      <c r="P23" s="45">
        <f t="shared" si="11"/>
        <v>0</v>
      </c>
    </row>
    <row r="24" spans="1:23" x14ac:dyDescent="0.25">
      <c r="A24" s="6">
        <v>12</v>
      </c>
      <c r="B24" s="27" t="str">
        <f>IF(A24&gt;$B$7,"",IF(A24=$B$7,EOMONTH($B$5,-1),REPLAY!B13))</f>
        <v/>
      </c>
      <c r="C24" s="1" t="str">
        <f t="shared" si="13"/>
        <v/>
      </c>
      <c r="D24" s="28" t="str">
        <f t="shared" si="12"/>
        <v/>
      </c>
      <c r="E24" s="6" t="str">
        <f t="shared" si="2"/>
        <v/>
      </c>
      <c r="F24" s="32" t="str">
        <f t="shared" si="7"/>
        <v/>
      </c>
      <c r="G24" s="31">
        <f t="shared" si="8"/>
        <v>0</v>
      </c>
      <c r="H24" s="31" t="str">
        <f t="shared" si="9"/>
        <v/>
      </c>
      <c r="I24" s="6" t="str">
        <f>IF(B24="","",SUMIF(REPLAY!$B$2:$EF24,B24,REPLAY!$F$2:$F$13))</f>
        <v/>
      </c>
      <c r="J24" s="28" t="str">
        <f>IF(B24="","",SUMIF(REPLAY!$B$2:$E$13,B24,REPLAY!$E$2:$E$13))</f>
        <v/>
      </c>
      <c r="K24" s="28" t="str">
        <f t="shared" si="3"/>
        <v/>
      </c>
      <c r="L24" s="29" t="str">
        <f t="shared" si="4"/>
        <v/>
      </c>
      <c r="M24" s="30" t="str">
        <f t="shared" si="5"/>
        <v/>
      </c>
      <c r="N24" s="31" t="str">
        <f t="shared" si="10"/>
        <v/>
      </c>
      <c r="O24" s="29" t="str">
        <f t="shared" si="6"/>
        <v/>
      </c>
      <c r="P24" s="45">
        <f t="shared" si="11"/>
        <v>0</v>
      </c>
    </row>
    <row r="25" spans="1:23" ht="15.75" thickBot="1" x14ac:dyDescent="0.3">
      <c r="A25" s="4"/>
      <c r="B25" s="15"/>
      <c r="F25" s="16"/>
      <c r="G25" s="17"/>
      <c r="I25" s="16"/>
      <c r="J25" s="16"/>
      <c r="K25" s="57">
        <f>IF(
  MAX(P13:P24) = 0,
  0,
  INDEX(K13:K24, MATCH(MAX(P13:P24), P13:P24, 0))
)</f>
        <v>0</v>
      </c>
      <c r="L25" s="57">
        <f>IF(
  MAX(P13:P24) = 0,
  0,
  INDEX(L13:L24, MATCH(MAX(P13:P24), P13:P24, 0))
)</f>
        <v>0</v>
      </c>
      <c r="M25" s="57">
        <f>IF(
  MAX(P13:P24) = 0,
  0,
  INDEX(M13:M24, MATCH(MAX(P13:P24), P13:P24, 0))
)</f>
        <v>0</v>
      </c>
      <c r="N25" s="33"/>
      <c r="O25" s="57">
        <f>IF(
  MAX(P13:P24) = 0,
  0,
  INDEX(O13:O24, MATCH(MAX(P13:P24), P13:P24, 0))
)</f>
        <v>0</v>
      </c>
    </row>
    <row r="26" spans="1:23" x14ac:dyDescent="0.25">
      <c r="A26" s="10" t="s">
        <v>37</v>
      </c>
      <c r="B26" s="10" t="s">
        <v>39</v>
      </c>
      <c r="C26" s="10" t="s">
        <v>66</v>
      </c>
      <c r="D26" s="10" t="s">
        <v>65</v>
      </c>
      <c r="E26" s="16"/>
      <c r="F26" s="16"/>
      <c r="G26" s="16"/>
      <c r="H26" s="18"/>
      <c r="I26" s="19"/>
      <c r="J26" s="17"/>
      <c r="K26" s="18"/>
      <c r="M26" s="14"/>
    </row>
    <row r="27" spans="1:23" s="53" customFormat="1" x14ac:dyDescent="0.25">
      <c r="A27" s="6" t="s">
        <v>28</v>
      </c>
      <c r="B27" s="54">
        <f>IF(M25=0,0,EOD!F2)</f>
        <v>0</v>
      </c>
      <c r="C27" s="7">
        <f>M25</f>
        <v>0</v>
      </c>
      <c r="D27" s="7">
        <f>C27-B27</f>
        <v>0</v>
      </c>
      <c r="E27" s="16"/>
      <c r="F27" s="16"/>
      <c r="G27" s="16"/>
      <c r="H27" s="18"/>
      <c r="I27" s="19"/>
      <c r="J27" s="17"/>
      <c r="K27" s="18"/>
      <c r="M27" s="14"/>
    </row>
    <row r="28" spans="1:23" s="53" customFormat="1" x14ac:dyDescent="0.25">
      <c r="A28" s="6" t="s">
        <v>29</v>
      </c>
      <c r="B28" s="54">
        <f>IF(O25=0,0,EOD!G2)</f>
        <v>0</v>
      </c>
      <c r="C28" s="73">
        <f>O25</f>
        <v>0</v>
      </c>
      <c r="D28" s="73">
        <f>C28-B28</f>
        <v>0</v>
      </c>
      <c r="E28" s="16"/>
      <c r="F28" s="16"/>
      <c r="G28" s="16"/>
      <c r="H28" s="18"/>
      <c r="I28" s="19"/>
      <c r="J28" s="17"/>
      <c r="K28" s="18"/>
      <c r="M28" s="14"/>
    </row>
    <row r="29" spans="1:23" s="53" customFormat="1" x14ac:dyDescent="0.25">
      <c r="A29" s="4"/>
      <c r="B29" s="15"/>
      <c r="C29" s="16"/>
      <c r="D29" s="17"/>
      <c r="E29" s="16"/>
      <c r="F29" s="16"/>
      <c r="G29" s="16"/>
      <c r="H29" s="18"/>
      <c r="I29" s="19"/>
      <c r="J29" s="17"/>
      <c r="K29" s="18"/>
      <c r="M29" s="14"/>
    </row>
    <row r="30" spans="1:23" ht="15.75" thickBot="1" x14ac:dyDescent="0.3">
      <c r="M30" s="41"/>
    </row>
    <row r="31" spans="1:23" ht="15.75" thickBot="1" x14ac:dyDescent="0.3">
      <c r="A31" s="137" t="s">
        <v>60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9"/>
    </row>
    <row r="32" spans="1:23" ht="60" x14ac:dyDescent="0.25">
      <c r="A32" s="64" t="s">
        <v>19</v>
      </c>
      <c r="B32" s="64" t="s">
        <v>20</v>
      </c>
      <c r="C32" s="64" t="s">
        <v>51</v>
      </c>
      <c r="D32" s="64" t="s">
        <v>52</v>
      </c>
      <c r="E32" s="64" t="s">
        <v>54</v>
      </c>
      <c r="F32" s="64" t="s">
        <v>13</v>
      </c>
      <c r="G32" s="64" t="s">
        <v>14</v>
      </c>
      <c r="H32" s="64" t="s">
        <v>44</v>
      </c>
      <c r="I32" s="64" t="s">
        <v>11</v>
      </c>
      <c r="J32" s="64" t="s">
        <v>15</v>
      </c>
      <c r="K32" s="68" t="s">
        <v>16</v>
      </c>
      <c r="L32" s="64" t="s">
        <v>63</v>
      </c>
      <c r="M32" s="64" t="s">
        <v>64</v>
      </c>
      <c r="N32" s="71" t="s">
        <v>18</v>
      </c>
      <c r="O32" s="64" t="s">
        <v>2</v>
      </c>
      <c r="P32" s="130" t="s">
        <v>76</v>
      </c>
      <c r="Q32" s="64" t="s">
        <v>17</v>
      </c>
      <c r="R32" s="10" t="s">
        <v>41</v>
      </c>
      <c r="S32" s="10" t="s">
        <v>68</v>
      </c>
      <c r="T32" s="10" t="s">
        <v>69</v>
      </c>
      <c r="V32" s="10" t="s">
        <v>62</v>
      </c>
      <c r="W32" s="10" t="s">
        <v>61</v>
      </c>
    </row>
    <row r="33" spans="1:23" x14ac:dyDescent="0.25">
      <c r="A33" s="6">
        <v>0</v>
      </c>
      <c r="B33" s="27" t="str">
        <f>IFERROR(IF(A33=0,EOMONTH($B$5,-1)+1,IF(A33&gt;$B$7,"",IF(TRANX!$B$2="",CALCULATION!$B$5,VLOOKUP(A33,$V$33:$W$44,2,FALSE)))),"")</f>
        <v/>
      </c>
      <c r="C33" s="1" t="str">
        <f t="shared" ref="C33:C45" si="14">IFERROR(IF(OR(A33=$B$7,W33=""),EOMONTH(B33,0),B34),"")</f>
        <v/>
      </c>
      <c r="D33" s="28" t="str">
        <f>IF(B33="","",IF(C33=EOMONTH(C33,0),C33-B33+1,C33-B33))</f>
        <v/>
      </c>
      <c r="E33" s="6" t="str">
        <f t="shared" ref="E33:E44" si="15">IFERROR(DAY(B33),"")</f>
        <v/>
      </c>
      <c r="F33" s="28" t="str">
        <f>IFERROR(IF(B33="","",VLOOKUP(B5,EOD!$B$2:$G$15,5,FALSE)),"")</f>
        <v/>
      </c>
      <c r="G33" s="28" t="str">
        <f>IFERROR(IF(B33="","",VLOOKUP(B5,EOD!$B$2:$G$15,6,FALSE)),"")</f>
        <v/>
      </c>
      <c r="H33" s="6" t="str">
        <f>IF(B33="","",SUMIF(TRANX!$B$2:$F$13,B33,TRANX!$F$2:$F$13))</f>
        <v/>
      </c>
      <c r="I33" s="28" t="str">
        <f>IF(B33="","",SUMIF(TRANX!$B$2:$E$13,B33,TRANX!$E$2:$E$13))</f>
        <v/>
      </c>
      <c r="J33" s="28" t="str">
        <f t="shared" ref="J33:J44" si="16">IF(B33="","",MIN(I33,G33))</f>
        <v/>
      </c>
      <c r="K33" s="69" t="str">
        <f t="shared" ref="K33:K44" si="17">IF(B33="","",MAX(I33-J33,0))</f>
        <v/>
      </c>
      <c r="L33" s="7">
        <f>IF(C33=$B$5,$D$27,0)</f>
        <v>0</v>
      </c>
      <c r="M33" s="7">
        <f>IF(C33=$B$5,$D$28,0)</f>
        <v>0</v>
      </c>
      <c r="N33" s="72" t="str">
        <f>IFERROR(IF(B33="","",F33-K33+H33+L33),0)</f>
        <v/>
      </c>
      <c r="O33" s="31" t="str">
        <f t="shared" ref="O33:O44" si="18">IFERROR(IF(B33="","",(N33*$B$2)/360),0)</f>
        <v/>
      </c>
      <c r="P33" s="6" t="str">
        <f>IFERROR(IF(B33="","",O33*D33),0)</f>
        <v/>
      </c>
      <c r="Q33" s="29" t="str">
        <f t="shared" ref="Q33:Q44" si="19">IFERROR(IF(B33="","",G33-J33+M33+(O33*D33)),0)</f>
        <v/>
      </c>
      <c r="R33" s="45">
        <f t="shared" ref="R33:R44" si="20">IF(J33&lt;&gt;"",ROW(),0)</f>
        <v>0</v>
      </c>
      <c r="S33" s="6">
        <f t="shared" ref="S33:S44" si="21">IF(OR(J33=0,J33=""),0,1)</f>
        <v>0</v>
      </c>
      <c r="T33" s="1">
        <f t="shared" ref="T33:T44" si="22">IF(S33=0,0,B33)</f>
        <v>0</v>
      </c>
      <c r="V33" s="54" t="str">
        <f t="shared" ref="V33:V44" si="23">IF(W33="","",COUNTIF($W$33:$W$44,"&lt;"&amp;W33)+1)</f>
        <v/>
      </c>
      <c r="W33" s="1" t="str">
        <f>IF(TRANX!B2="","",IF(TRANX!B2&gt;EOMONTH($B$5,-1)+1,TRANX!B2,""))</f>
        <v/>
      </c>
    </row>
    <row r="34" spans="1:23" x14ac:dyDescent="0.25">
      <c r="A34" s="6">
        <v>1</v>
      </c>
      <c r="B34" s="27" t="str">
        <f>IFERROR(IF(A34=0,EOMONTH($B$5,-1)+1,IF(A34&gt;$B$7,"",IF(TRANX!$B$2="",CALCULATION!$B$5,VLOOKUP(A34,$V$33:$W$44,2,FALSE)))),"")</f>
        <v/>
      </c>
      <c r="C34" s="1" t="str">
        <f t="shared" si="14"/>
        <v/>
      </c>
      <c r="D34" s="28" t="str">
        <f t="shared" ref="D34:D44" si="24">IF(B34="","",IF(C34=EOMONTH(C34,0),C34-B34+1,C34-B34))</f>
        <v/>
      </c>
      <c r="E34" s="6" t="str">
        <f t="shared" si="15"/>
        <v/>
      </c>
      <c r="F34" s="28" t="str">
        <f t="shared" ref="F34:F44" si="25">IF(B34="","",N33)</f>
        <v/>
      </c>
      <c r="G34" s="31" t="str">
        <f t="shared" ref="G34:G44" si="26">IF(B34="","",Q33)</f>
        <v/>
      </c>
      <c r="H34" s="6" t="str">
        <f>IF(B34="","",SUMIF(TRANX!$B$2:$F$13,B34,TRANX!$F$2:$F$13))</f>
        <v/>
      </c>
      <c r="I34" s="28" t="str">
        <f>IF(B34="","",SUMIF(TRANX!$B$2:$E$13,B34,TRANX!$E$2:$E$13))</f>
        <v/>
      </c>
      <c r="J34" s="28" t="str">
        <f t="shared" si="16"/>
        <v/>
      </c>
      <c r="K34" s="69" t="str">
        <f t="shared" si="17"/>
        <v/>
      </c>
      <c r="L34" s="7">
        <f t="shared" ref="L34:L44" si="27">IF(C34=$B$5,$D$27,0)</f>
        <v>0</v>
      </c>
      <c r="M34" s="7">
        <f t="shared" ref="M34:M44" si="28">IF(C34=$B$5,$D$28,0)</f>
        <v>0</v>
      </c>
      <c r="N34" s="72" t="str">
        <f t="shared" ref="N34:N44" si="29">IFERROR(IF(B34="","",F34-K34+H34+L34),0)</f>
        <v/>
      </c>
      <c r="O34" s="31" t="str">
        <f t="shared" si="18"/>
        <v/>
      </c>
      <c r="P34" s="6" t="str">
        <f>IFERROR(IF(B34="","",O34*D34),0)</f>
        <v/>
      </c>
      <c r="Q34" s="29" t="str">
        <f t="shared" si="19"/>
        <v/>
      </c>
      <c r="R34" s="45">
        <f t="shared" si="20"/>
        <v>0</v>
      </c>
      <c r="S34" s="6">
        <f t="shared" si="21"/>
        <v>0</v>
      </c>
      <c r="T34" s="1">
        <f t="shared" si="22"/>
        <v>0</v>
      </c>
      <c r="V34" s="54" t="str">
        <f t="shared" si="23"/>
        <v/>
      </c>
      <c r="W34" s="1" t="str">
        <f>IF(TRANX!B3="","",IF(TRANX!B3&gt;EOMONTH($B$5,-1)+1,TRANX!B3,""))</f>
        <v/>
      </c>
    </row>
    <row r="35" spans="1:23" x14ac:dyDescent="0.25">
      <c r="A35" s="6">
        <v>2</v>
      </c>
      <c r="B35" s="27" t="str">
        <f>IFERROR(IF(A35=0,EOMONTH($B$5,-1)+1,IF(A35&gt;$B$7,"",IF(TRANX!$B$2="",CALCULATION!$B$5,VLOOKUP(A35,$V$33:$W$44,2,FALSE)))),"")</f>
        <v/>
      </c>
      <c r="C35" s="1" t="str">
        <f t="shared" si="14"/>
        <v/>
      </c>
      <c r="D35" s="28" t="str">
        <f t="shared" si="24"/>
        <v/>
      </c>
      <c r="E35" s="6" t="str">
        <f t="shared" si="15"/>
        <v/>
      </c>
      <c r="F35" s="28" t="str">
        <f t="shared" si="25"/>
        <v/>
      </c>
      <c r="G35" s="31" t="str">
        <f t="shared" si="26"/>
        <v/>
      </c>
      <c r="H35" s="6" t="str">
        <f>IF(B35="","",SUMIF(TRANX!$B$2:$F$13,B35,TRANX!$F$2:$F$13))</f>
        <v/>
      </c>
      <c r="I35" s="28" t="str">
        <f>IF(B35="","",SUMIF(TRANX!$B$2:$E$13,B35,TRANX!$E$2:$E$13))</f>
        <v/>
      </c>
      <c r="J35" s="28" t="str">
        <f t="shared" si="16"/>
        <v/>
      </c>
      <c r="K35" s="69" t="str">
        <f t="shared" si="17"/>
        <v/>
      </c>
      <c r="L35" s="7">
        <f t="shared" si="27"/>
        <v>0</v>
      </c>
      <c r="M35" s="7">
        <f t="shared" si="28"/>
        <v>0</v>
      </c>
      <c r="N35" s="72" t="str">
        <f t="shared" si="29"/>
        <v/>
      </c>
      <c r="O35" s="31" t="str">
        <f t="shared" si="18"/>
        <v/>
      </c>
      <c r="P35" s="6" t="str">
        <f>IFERROR(IF(B35="","",O35*D35),0)</f>
        <v/>
      </c>
      <c r="Q35" s="29" t="str">
        <f t="shared" si="19"/>
        <v/>
      </c>
      <c r="R35" s="45">
        <f t="shared" si="20"/>
        <v>0</v>
      </c>
      <c r="S35" s="6">
        <f t="shared" si="21"/>
        <v>0</v>
      </c>
      <c r="T35" s="1">
        <f t="shared" si="22"/>
        <v>0</v>
      </c>
      <c r="V35" s="54" t="str">
        <f t="shared" si="23"/>
        <v/>
      </c>
      <c r="W35" s="1" t="str">
        <f>IF(TRANX!B4="","",IF(TRANX!B4&gt;EOMONTH($B$5,-1)+1,TRANX!B4,""))</f>
        <v/>
      </c>
    </row>
    <row r="36" spans="1:23" x14ac:dyDescent="0.25">
      <c r="A36" s="6">
        <v>3</v>
      </c>
      <c r="B36" s="27" t="str">
        <f>IFERROR(IF(A36=0,EOMONTH($B$5,-1)+1,IF(A36&gt;$B$7,"",IF(TRANX!$B$2="",CALCULATION!$B$5,VLOOKUP(A36,$V$33:$W$44,2,FALSE)))),"")</f>
        <v/>
      </c>
      <c r="C36" s="1" t="str">
        <f t="shared" si="14"/>
        <v/>
      </c>
      <c r="D36" s="28" t="str">
        <f t="shared" si="24"/>
        <v/>
      </c>
      <c r="E36" s="6" t="str">
        <f t="shared" si="15"/>
        <v/>
      </c>
      <c r="F36" s="28" t="str">
        <f t="shared" si="25"/>
        <v/>
      </c>
      <c r="G36" s="31" t="str">
        <f t="shared" si="26"/>
        <v/>
      </c>
      <c r="H36" s="6" t="str">
        <f>IF(B36="","",SUMIF(TRANX!$B$2:$F$13,B36,TRANX!$F$2:$F$13))</f>
        <v/>
      </c>
      <c r="I36" s="28" t="str">
        <f>IF(B36="","",SUMIF(TRANX!$B$2:$E$13,B36,TRANX!$E$2:$E$13))</f>
        <v/>
      </c>
      <c r="J36" s="28" t="str">
        <f t="shared" si="16"/>
        <v/>
      </c>
      <c r="K36" s="69" t="str">
        <f t="shared" si="17"/>
        <v/>
      </c>
      <c r="L36" s="7">
        <f t="shared" si="27"/>
        <v>0</v>
      </c>
      <c r="M36" s="7">
        <f t="shared" si="28"/>
        <v>0</v>
      </c>
      <c r="N36" s="72" t="str">
        <f t="shared" si="29"/>
        <v/>
      </c>
      <c r="O36" s="31" t="str">
        <f t="shared" si="18"/>
        <v/>
      </c>
      <c r="P36" s="6"/>
      <c r="Q36" s="29" t="str">
        <f t="shared" si="19"/>
        <v/>
      </c>
      <c r="R36" s="45">
        <f t="shared" si="20"/>
        <v>0</v>
      </c>
      <c r="S36" s="6">
        <f t="shared" si="21"/>
        <v>0</v>
      </c>
      <c r="T36" s="1">
        <f t="shared" si="22"/>
        <v>0</v>
      </c>
      <c r="V36" s="54" t="str">
        <f t="shared" si="23"/>
        <v/>
      </c>
      <c r="W36" s="1" t="str">
        <f>IF(TRANX!B5="","",IF(TRANX!B5&gt;EOMONTH($B$5,-1)+1,TRANX!B5,""))</f>
        <v/>
      </c>
    </row>
    <row r="37" spans="1:23" x14ac:dyDescent="0.25">
      <c r="A37" s="6">
        <v>4</v>
      </c>
      <c r="B37" s="27" t="str">
        <f>IFERROR(IF(A37=0,EOMONTH($B$5,-1)+1,IF(A37&gt;$B$7,"",IF(TRANX!$B$2="",CALCULATION!$B$5,VLOOKUP(A37,$V$33:$W$44,2,FALSE)))),"")</f>
        <v/>
      </c>
      <c r="C37" s="1" t="str">
        <f t="shared" si="14"/>
        <v/>
      </c>
      <c r="D37" s="28" t="str">
        <f t="shared" si="24"/>
        <v/>
      </c>
      <c r="E37" s="6" t="str">
        <f t="shared" si="15"/>
        <v/>
      </c>
      <c r="F37" s="32" t="str">
        <f t="shared" si="25"/>
        <v/>
      </c>
      <c r="G37" s="31" t="str">
        <f t="shared" si="26"/>
        <v/>
      </c>
      <c r="H37" s="6" t="str">
        <f>IF(B37="","",SUMIF(TRANX!$B$2:$F$13,B37,TRANX!$F$2:$F$13))</f>
        <v/>
      </c>
      <c r="I37" s="28" t="str">
        <f>IF(B37="","",SUMIF(TRANX!$B$2:$E$13,B37,TRANX!$E$2:$E$13))</f>
        <v/>
      </c>
      <c r="J37" s="28" t="str">
        <f t="shared" si="16"/>
        <v/>
      </c>
      <c r="K37" s="69" t="str">
        <f t="shared" si="17"/>
        <v/>
      </c>
      <c r="L37" s="7">
        <f t="shared" si="27"/>
        <v>0</v>
      </c>
      <c r="M37" s="7">
        <f t="shared" si="28"/>
        <v>0</v>
      </c>
      <c r="N37" s="72" t="str">
        <f t="shared" si="29"/>
        <v/>
      </c>
      <c r="O37" s="31" t="str">
        <f t="shared" si="18"/>
        <v/>
      </c>
      <c r="P37" s="6"/>
      <c r="Q37" s="29" t="str">
        <f t="shared" si="19"/>
        <v/>
      </c>
      <c r="R37" s="45">
        <f t="shared" si="20"/>
        <v>0</v>
      </c>
      <c r="S37" s="6">
        <f t="shared" si="21"/>
        <v>0</v>
      </c>
      <c r="T37" s="1">
        <f t="shared" si="22"/>
        <v>0</v>
      </c>
      <c r="V37" s="54" t="str">
        <f t="shared" si="23"/>
        <v/>
      </c>
      <c r="W37" s="1" t="str">
        <f>IF(TRANX!B6="","",IF(TRANX!B6&gt;EOMONTH($B$5,-1)+1,TRANX!B6,""))</f>
        <v/>
      </c>
    </row>
    <row r="38" spans="1:23" x14ac:dyDescent="0.25">
      <c r="A38" s="6">
        <v>5</v>
      </c>
      <c r="B38" s="27" t="str">
        <f>IFERROR(IF(A38=0,EOMONTH($B$5,-1)+1,IF(A38&gt;$B$7,"",IF(TRANX!$B$2="",CALCULATION!$B$5,VLOOKUP(A38,$V$33:$W$44,2,FALSE)))),"")</f>
        <v/>
      </c>
      <c r="C38" s="1" t="str">
        <f t="shared" si="14"/>
        <v/>
      </c>
      <c r="D38" s="28" t="str">
        <f t="shared" si="24"/>
        <v/>
      </c>
      <c r="E38" s="6" t="str">
        <f t="shared" si="15"/>
        <v/>
      </c>
      <c r="F38" s="32" t="str">
        <f t="shared" si="25"/>
        <v/>
      </c>
      <c r="G38" s="31" t="str">
        <f t="shared" si="26"/>
        <v/>
      </c>
      <c r="H38" s="6" t="str">
        <f>IF(B38="","",SUMIF(TRANX!$B$2:$F$13,B38,TRANX!$F$2:$F$13))</f>
        <v/>
      </c>
      <c r="I38" s="28" t="str">
        <f>IF(B38="","",SUMIF(TRANX!$B$2:$E$13,B38,TRANX!$E$2:$E$13))</f>
        <v/>
      </c>
      <c r="J38" s="28" t="str">
        <f t="shared" si="16"/>
        <v/>
      </c>
      <c r="K38" s="69" t="str">
        <f t="shared" si="17"/>
        <v/>
      </c>
      <c r="L38" s="7">
        <f t="shared" si="27"/>
        <v>0</v>
      </c>
      <c r="M38" s="7">
        <f t="shared" si="28"/>
        <v>0</v>
      </c>
      <c r="N38" s="72" t="str">
        <f t="shared" si="29"/>
        <v/>
      </c>
      <c r="O38" s="31" t="str">
        <f t="shared" si="18"/>
        <v/>
      </c>
      <c r="P38" s="6"/>
      <c r="Q38" s="29" t="str">
        <f t="shared" si="19"/>
        <v/>
      </c>
      <c r="R38" s="45">
        <f t="shared" si="20"/>
        <v>0</v>
      </c>
      <c r="S38" s="6">
        <f t="shared" si="21"/>
        <v>0</v>
      </c>
      <c r="T38" s="1">
        <f t="shared" si="22"/>
        <v>0</v>
      </c>
      <c r="V38" s="54" t="str">
        <f t="shared" si="23"/>
        <v/>
      </c>
      <c r="W38" s="1" t="str">
        <f>IF(TRANX!B7="","",IF(TRANX!B7&gt;EOMONTH($B$5,-1)+1,TRANX!B7,""))</f>
        <v/>
      </c>
    </row>
    <row r="39" spans="1:23" x14ac:dyDescent="0.25">
      <c r="A39" s="6">
        <v>6</v>
      </c>
      <c r="B39" s="27" t="str">
        <f>IFERROR(IF(A39=0,EOMONTH($B$5,-1)+1,IF(A39&gt;$B$7,"",IF(TRANX!$B$2="",CALCULATION!$B$5,VLOOKUP(A39,$V$33:$W$44,2,FALSE)))),"")</f>
        <v/>
      </c>
      <c r="C39" s="1" t="str">
        <f t="shared" si="14"/>
        <v/>
      </c>
      <c r="D39" s="28" t="str">
        <f t="shared" si="24"/>
        <v/>
      </c>
      <c r="E39" s="6" t="str">
        <f t="shared" si="15"/>
        <v/>
      </c>
      <c r="F39" s="32" t="str">
        <f t="shared" si="25"/>
        <v/>
      </c>
      <c r="G39" s="31" t="str">
        <f t="shared" si="26"/>
        <v/>
      </c>
      <c r="H39" s="6" t="str">
        <f>IF(B39="","",SUMIF(TRANX!$B$2:$F$13,B39,TRANX!$F$2:$F$13))</f>
        <v/>
      </c>
      <c r="I39" s="28" t="str">
        <f>IF(B39="","",SUMIF(TRANX!$B$2:$E$13,B39,TRANX!$E$2:$E$13))</f>
        <v/>
      </c>
      <c r="J39" s="28" t="str">
        <f t="shared" si="16"/>
        <v/>
      </c>
      <c r="K39" s="69" t="str">
        <f t="shared" si="17"/>
        <v/>
      </c>
      <c r="L39" s="7">
        <f t="shared" si="27"/>
        <v>0</v>
      </c>
      <c r="M39" s="7">
        <f t="shared" si="28"/>
        <v>0</v>
      </c>
      <c r="N39" s="72" t="str">
        <f t="shared" si="29"/>
        <v/>
      </c>
      <c r="O39" s="31" t="str">
        <f t="shared" si="18"/>
        <v/>
      </c>
      <c r="P39" s="6"/>
      <c r="Q39" s="29" t="str">
        <f t="shared" si="19"/>
        <v/>
      </c>
      <c r="R39" s="45">
        <f t="shared" si="20"/>
        <v>0</v>
      </c>
      <c r="S39" s="6">
        <f t="shared" si="21"/>
        <v>0</v>
      </c>
      <c r="T39" s="1">
        <f t="shared" si="22"/>
        <v>0</v>
      </c>
      <c r="V39" s="54" t="str">
        <f t="shared" si="23"/>
        <v/>
      </c>
      <c r="W39" s="1" t="str">
        <f>IF(TRANX!B8="","",IF(TRANX!B8&gt;EOMONTH($B$5,-1)+1,TRANX!B8,""))</f>
        <v/>
      </c>
    </row>
    <row r="40" spans="1:23" x14ac:dyDescent="0.25">
      <c r="A40" s="6">
        <v>7</v>
      </c>
      <c r="B40" s="27" t="str">
        <f>IFERROR(IF(A40=0,EOMONTH($B$5,-1)+1,IF(A40&gt;$B$7,"",IF(TRANX!$B$2="",CALCULATION!$B$5,VLOOKUP(A40,$V$33:$W$44,2,FALSE)))),"")</f>
        <v/>
      </c>
      <c r="C40" s="1" t="str">
        <f t="shared" si="14"/>
        <v/>
      </c>
      <c r="D40" s="28" t="str">
        <f t="shared" si="24"/>
        <v/>
      </c>
      <c r="E40" s="6" t="str">
        <f t="shared" si="15"/>
        <v/>
      </c>
      <c r="F40" s="32" t="str">
        <f t="shared" si="25"/>
        <v/>
      </c>
      <c r="G40" s="31" t="str">
        <f t="shared" si="26"/>
        <v/>
      </c>
      <c r="H40" s="6" t="str">
        <f>IF(B40="","",SUMIF(TRANX!$B$2:$F$13,B40,TRANX!$F$2:$F$13))</f>
        <v/>
      </c>
      <c r="I40" s="28" t="str">
        <f>IF(B40="","",SUMIF(TRANX!$B$2:$E$13,B40,TRANX!$E$2:$E$13))</f>
        <v/>
      </c>
      <c r="J40" s="28" t="str">
        <f t="shared" si="16"/>
        <v/>
      </c>
      <c r="K40" s="69" t="str">
        <f t="shared" si="17"/>
        <v/>
      </c>
      <c r="L40" s="7">
        <f t="shared" si="27"/>
        <v>0</v>
      </c>
      <c r="M40" s="7">
        <f t="shared" si="28"/>
        <v>0</v>
      </c>
      <c r="N40" s="72" t="str">
        <f t="shared" si="29"/>
        <v/>
      </c>
      <c r="O40" s="31" t="str">
        <f t="shared" si="18"/>
        <v/>
      </c>
      <c r="P40" s="6"/>
      <c r="Q40" s="29" t="str">
        <f t="shared" si="19"/>
        <v/>
      </c>
      <c r="R40" s="45">
        <f t="shared" si="20"/>
        <v>0</v>
      </c>
      <c r="S40" s="6">
        <f t="shared" si="21"/>
        <v>0</v>
      </c>
      <c r="T40" s="1">
        <f t="shared" si="22"/>
        <v>0</v>
      </c>
      <c r="V40" s="54" t="str">
        <f t="shared" si="23"/>
        <v/>
      </c>
      <c r="W40" s="1" t="str">
        <f>IF(TRANX!B9="","",IF(TRANX!B9&gt;EOMONTH($B$5,-1)+1,TRANX!B9,""))</f>
        <v/>
      </c>
    </row>
    <row r="41" spans="1:23" x14ac:dyDescent="0.25">
      <c r="A41" s="6">
        <v>8</v>
      </c>
      <c r="B41" s="27" t="str">
        <f>IFERROR(IF(A41=0,EOMONTH($B$5,-1)+1,IF(A41&gt;$B$7,"",IF(TRANX!$B$2="",CALCULATION!$B$5,VLOOKUP(A41,$V$33:$W$44,2,FALSE)))),"")</f>
        <v/>
      </c>
      <c r="C41" s="1" t="str">
        <f t="shared" si="14"/>
        <v/>
      </c>
      <c r="D41" s="28" t="str">
        <f t="shared" si="24"/>
        <v/>
      </c>
      <c r="E41" s="6" t="str">
        <f t="shared" si="15"/>
        <v/>
      </c>
      <c r="F41" s="32" t="str">
        <f t="shared" si="25"/>
        <v/>
      </c>
      <c r="G41" s="31" t="str">
        <f t="shared" si="26"/>
        <v/>
      </c>
      <c r="H41" s="6" t="str">
        <f>IF(B41="","",SUMIF(TRANX!$B$2:$F$13,B41,TRANX!$F$2:$F$13))</f>
        <v/>
      </c>
      <c r="I41" s="28" t="str">
        <f>IF(B41="","",SUMIF(TRANX!$B$2:$E$13,B41,TRANX!$E$2:$E$13))</f>
        <v/>
      </c>
      <c r="J41" s="28" t="str">
        <f t="shared" si="16"/>
        <v/>
      </c>
      <c r="K41" s="69" t="str">
        <f t="shared" si="17"/>
        <v/>
      </c>
      <c r="L41" s="7">
        <f t="shared" si="27"/>
        <v>0</v>
      </c>
      <c r="M41" s="7">
        <f t="shared" si="28"/>
        <v>0</v>
      </c>
      <c r="N41" s="72" t="str">
        <f t="shared" si="29"/>
        <v/>
      </c>
      <c r="O41" s="31" t="str">
        <f t="shared" si="18"/>
        <v/>
      </c>
      <c r="P41" s="6"/>
      <c r="Q41" s="29" t="str">
        <f t="shared" si="19"/>
        <v/>
      </c>
      <c r="R41" s="45">
        <f t="shared" si="20"/>
        <v>0</v>
      </c>
      <c r="S41" s="6">
        <f t="shared" si="21"/>
        <v>0</v>
      </c>
      <c r="T41" s="1">
        <f t="shared" si="22"/>
        <v>0</v>
      </c>
      <c r="V41" s="54" t="str">
        <f t="shared" si="23"/>
        <v/>
      </c>
      <c r="W41" s="1" t="str">
        <f>IF(TRANX!B10="","",IF(TRANX!B10&gt;EOMONTH($B$5,-1)+1,TRANX!B10,""))</f>
        <v/>
      </c>
    </row>
    <row r="42" spans="1:23" x14ac:dyDescent="0.25">
      <c r="A42" s="6">
        <v>9</v>
      </c>
      <c r="B42" s="27" t="str">
        <f>IFERROR(IF(A42=0,EOMONTH($B$5,-1)+1,IF(A42&gt;$B$7,"",IF(TRANX!$B$2="",CALCULATION!$B$5,VLOOKUP(A42,$V$33:$W$44,2,FALSE)))),"")</f>
        <v/>
      </c>
      <c r="C42" s="1" t="str">
        <f t="shared" si="14"/>
        <v/>
      </c>
      <c r="D42" s="28" t="str">
        <f t="shared" si="24"/>
        <v/>
      </c>
      <c r="E42" s="6" t="str">
        <f t="shared" si="15"/>
        <v/>
      </c>
      <c r="F42" s="32" t="str">
        <f t="shared" si="25"/>
        <v/>
      </c>
      <c r="G42" s="31" t="str">
        <f t="shared" si="26"/>
        <v/>
      </c>
      <c r="H42" s="6" t="str">
        <f>IF(B42="","",SUMIF(TRANX!$B$2:$F$13,B42,TRANX!$F$2:$F$13))</f>
        <v/>
      </c>
      <c r="I42" s="28" t="str">
        <f>IF(B42="","",SUMIF(TRANX!$B$2:$E$13,B42,TRANX!$E$2:$E$13))</f>
        <v/>
      </c>
      <c r="J42" s="28" t="str">
        <f t="shared" si="16"/>
        <v/>
      </c>
      <c r="K42" s="69" t="str">
        <f t="shared" si="17"/>
        <v/>
      </c>
      <c r="L42" s="7">
        <f t="shared" si="27"/>
        <v>0</v>
      </c>
      <c r="M42" s="7">
        <f t="shared" si="28"/>
        <v>0</v>
      </c>
      <c r="N42" s="72" t="str">
        <f t="shared" si="29"/>
        <v/>
      </c>
      <c r="O42" s="31" t="str">
        <f t="shared" si="18"/>
        <v/>
      </c>
      <c r="P42" s="6"/>
      <c r="Q42" s="29" t="str">
        <f t="shared" si="19"/>
        <v/>
      </c>
      <c r="R42" s="45">
        <f t="shared" si="20"/>
        <v>0</v>
      </c>
      <c r="S42" s="6">
        <f t="shared" si="21"/>
        <v>0</v>
      </c>
      <c r="T42" s="1">
        <f t="shared" si="22"/>
        <v>0</v>
      </c>
      <c r="V42" s="54" t="str">
        <f t="shared" si="23"/>
        <v/>
      </c>
      <c r="W42" s="1" t="str">
        <f>IF(TRANX!B11="","",IF(TRANX!B11&gt;EOMONTH($B$5,-1)+1,TRANX!B11,""))</f>
        <v/>
      </c>
    </row>
    <row r="43" spans="1:23" x14ac:dyDescent="0.25">
      <c r="A43" s="6">
        <v>10</v>
      </c>
      <c r="B43" s="27" t="str">
        <f>IFERROR(IF(A43=0,EOMONTH($B$5,-1)+1,IF(A43&gt;$B$7,"",IF(TRANX!$B$2="",CALCULATION!$B$5,VLOOKUP(A43,$V$33:$W$44,2,FALSE)))),"")</f>
        <v/>
      </c>
      <c r="C43" s="1" t="str">
        <f t="shared" si="14"/>
        <v/>
      </c>
      <c r="D43" s="28" t="str">
        <f t="shared" si="24"/>
        <v/>
      </c>
      <c r="E43" s="6" t="str">
        <f t="shared" si="15"/>
        <v/>
      </c>
      <c r="F43" s="32" t="str">
        <f t="shared" si="25"/>
        <v/>
      </c>
      <c r="G43" s="31" t="str">
        <f t="shared" si="26"/>
        <v/>
      </c>
      <c r="H43" s="6" t="str">
        <f>IF(B43="","",SUMIF(TRANX!$B$2:$F$13,B43,TRANX!$F$2:$F$13))</f>
        <v/>
      </c>
      <c r="I43" s="28" t="str">
        <f>IF(B43="","",SUMIF(TRANX!$B$2:$E$13,B43,TRANX!$E$2:$E$13))</f>
        <v/>
      </c>
      <c r="J43" s="28" t="str">
        <f t="shared" si="16"/>
        <v/>
      </c>
      <c r="K43" s="69" t="str">
        <f t="shared" si="17"/>
        <v/>
      </c>
      <c r="L43" s="7">
        <f t="shared" si="27"/>
        <v>0</v>
      </c>
      <c r="M43" s="7">
        <f t="shared" si="28"/>
        <v>0</v>
      </c>
      <c r="N43" s="72" t="str">
        <f t="shared" si="29"/>
        <v/>
      </c>
      <c r="O43" s="31" t="str">
        <f t="shared" si="18"/>
        <v/>
      </c>
      <c r="P43" s="6"/>
      <c r="Q43" s="29" t="str">
        <f t="shared" si="19"/>
        <v/>
      </c>
      <c r="R43" s="45">
        <f t="shared" si="20"/>
        <v>0</v>
      </c>
      <c r="S43" s="6">
        <f t="shared" si="21"/>
        <v>0</v>
      </c>
      <c r="T43" s="1">
        <f t="shared" si="22"/>
        <v>0</v>
      </c>
      <c r="V43" s="54" t="str">
        <f t="shared" si="23"/>
        <v/>
      </c>
      <c r="W43" s="1" t="str">
        <f>IF(TRANX!B12="","",IF(TRANX!B12&gt;EOMONTH($B$5,-1)+1,TRANX!B12,""))</f>
        <v/>
      </c>
    </row>
    <row r="44" spans="1:23" x14ac:dyDescent="0.25">
      <c r="A44" s="6">
        <v>11</v>
      </c>
      <c r="B44" s="27" t="str">
        <f>IFERROR(IF(A44=0,EOMONTH($B$5,-1)+1,IF(A44&gt;$B$7,"",IF(TRANX!$B$2="",CALCULATION!$B$5,VLOOKUP(A44,$V$33:$W$44,2,FALSE)))),"")</f>
        <v/>
      </c>
      <c r="C44" s="1" t="str">
        <f t="shared" si="14"/>
        <v/>
      </c>
      <c r="D44" s="28" t="str">
        <f t="shared" si="24"/>
        <v/>
      </c>
      <c r="E44" s="6" t="str">
        <f t="shared" si="15"/>
        <v/>
      </c>
      <c r="F44" s="32" t="str">
        <f t="shared" si="25"/>
        <v/>
      </c>
      <c r="G44" s="31" t="str">
        <f t="shared" si="26"/>
        <v/>
      </c>
      <c r="H44" s="6" t="str">
        <f>IF(B44="","",SUMIF(TRANX!$B$2:$F$13,B44,TRANX!$F$2:$F$13))</f>
        <v/>
      </c>
      <c r="I44" s="28" t="str">
        <f>IF(B44="","",SUMIF(TRANX!$B$2:$E$13,B44,TRANX!$E$2:$E$13))</f>
        <v/>
      </c>
      <c r="J44" s="28" t="str">
        <f t="shared" si="16"/>
        <v/>
      </c>
      <c r="K44" s="69" t="str">
        <f t="shared" si="17"/>
        <v/>
      </c>
      <c r="L44" s="7">
        <f t="shared" si="27"/>
        <v>0</v>
      </c>
      <c r="M44" s="7">
        <f t="shared" si="28"/>
        <v>0</v>
      </c>
      <c r="N44" s="72" t="str">
        <f t="shared" si="29"/>
        <v/>
      </c>
      <c r="O44" s="31" t="str">
        <f t="shared" si="18"/>
        <v/>
      </c>
      <c r="P44" s="6"/>
      <c r="Q44" s="29" t="str">
        <f t="shared" si="19"/>
        <v/>
      </c>
      <c r="R44" s="45">
        <f t="shared" si="20"/>
        <v>0</v>
      </c>
      <c r="S44" s="6">
        <f t="shared" si="21"/>
        <v>0</v>
      </c>
      <c r="T44" s="1">
        <f t="shared" si="22"/>
        <v>0</v>
      </c>
      <c r="V44" s="54" t="str">
        <f t="shared" si="23"/>
        <v/>
      </c>
      <c r="W44" s="1" t="str">
        <f>IF(TRANX!B13="","",IF(TRANX!B13&gt;EOMONTH($B$5,-1)+1,TRANX!B13,""))</f>
        <v/>
      </c>
    </row>
    <row r="45" spans="1:23" ht="15.75" thickBot="1" x14ac:dyDescent="0.3">
      <c r="A45" s="66">
        <v>12</v>
      </c>
      <c r="B45" s="27" t="str">
        <f>IFERROR(IF(A45=0,EOMONTH($B$5,-1)+1,IF(A45&gt;$B$7,"",IF(TRANX!$B$2="",CALCULATION!$B$5,VLOOKUP(A45,$V$33:$W$44,2,FALSE)))),"")</f>
        <v/>
      </c>
      <c r="C45" s="1" t="str">
        <f t="shared" si="14"/>
        <v/>
      </c>
      <c r="D45" s="6"/>
      <c r="E45" s="6"/>
      <c r="F45" s="7"/>
      <c r="G45" s="6"/>
      <c r="H45" s="7"/>
      <c r="I45" s="7"/>
      <c r="J45" s="67">
        <f>IFERROR(SUM(J33:J44),0)</f>
        <v>0</v>
      </c>
      <c r="K45" s="70">
        <f>IFERROR(SUM(K33:K44),0)</f>
        <v>0</v>
      </c>
      <c r="L45" s="6"/>
      <c r="M45" s="6"/>
      <c r="N45" s="67">
        <f>IF(
  MAX(R33:R44) = 0,
  0,
  INDEX(N33:N44, MATCH(MAX(R33:R44), R33:R44, 0))
)</f>
        <v>0</v>
      </c>
      <c r="O45" s="33"/>
      <c r="P45" s="57">
        <f>SUM(P33:P44)</f>
        <v>0</v>
      </c>
      <c r="Q45" s="57">
        <f>IF(
  MAX(R33:R44) = 0,
  0,
  INDEX(Q33:Q44, MATCH(MAX(R33:R44), R33:R44, 0))
)</f>
        <v>0</v>
      </c>
      <c r="R45" s="53"/>
      <c r="S45" s="52">
        <v>1</v>
      </c>
      <c r="T45" s="77">
        <f>IFERROR(VLOOKUP(S45,$S$33:$T$44,2,FALSE),0)</f>
        <v>0</v>
      </c>
    </row>
    <row r="46" spans="1:23" x14ac:dyDescent="0.25">
      <c r="B46" s="65"/>
    </row>
    <row r="47" spans="1:23" ht="15.75" thickBot="1" x14ac:dyDescent="0.3"/>
    <row r="48" spans="1:23" ht="15.75" thickBot="1" x14ac:dyDescent="0.3">
      <c r="A48" s="136" t="s">
        <v>56</v>
      </c>
      <c r="B48" s="136"/>
      <c r="C48" s="136"/>
      <c r="D48" s="136"/>
      <c r="E48" s="136"/>
      <c r="F48" s="136"/>
    </row>
    <row r="49" spans="1:8" x14ac:dyDescent="0.25">
      <c r="A49" s="51" t="s">
        <v>3</v>
      </c>
      <c r="B49" s="51" t="s">
        <v>4</v>
      </c>
      <c r="C49" s="51" t="s">
        <v>5</v>
      </c>
      <c r="D49" s="51" t="s">
        <v>8</v>
      </c>
      <c r="E49" s="51" t="s">
        <v>1</v>
      </c>
      <c r="F49" s="51" t="s">
        <v>6</v>
      </c>
    </row>
    <row r="50" spans="1:8" x14ac:dyDescent="0.25">
      <c r="A50" s="1" t="str">
        <f>IF(E50=0,"",$B$5)</f>
        <v/>
      </c>
      <c r="B50" s="1" t="str">
        <f>IF(E50=0,"",$B$5)</f>
        <v/>
      </c>
      <c r="C50" s="6" t="str">
        <f>IF(E50=0,"",$B$3)</f>
        <v/>
      </c>
      <c r="D50" s="6" t="str">
        <f>IF(E50=0,"","Servicing_Interest_Accrual")</f>
        <v/>
      </c>
      <c r="E50" s="26">
        <f>IFERROR(ROUND(P45,4),0)</f>
        <v>0</v>
      </c>
      <c r="F50" s="6" t="str">
        <f>IF(E50=0,"",$B$8)</f>
        <v/>
      </c>
    </row>
    <row r="51" spans="1:8" x14ac:dyDescent="0.25">
      <c r="A51" s="1" t="str">
        <f t="shared" ref="A51:A54" si="30">IF(E51=0,"",$B$5)</f>
        <v/>
      </c>
      <c r="B51" s="1" t="str">
        <f>IF(E51=0,"",IF(B13=0,T45,B13))</f>
        <v/>
      </c>
      <c r="C51" s="6" t="str">
        <f t="shared" ref="C51:C54" si="31">IF(E51=0,"",$B$3)</f>
        <v/>
      </c>
      <c r="D51" s="6" t="str">
        <f>IF(E51=0,"","Payment_Interest")</f>
        <v/>
      </c>
      <c r="E51" s="58">
        <f>-ROUND(J45,4)</f>
        <v>0</v>
      </c>
      <c r="F51" s="6" t="str">
        <f t="shared" ref="F51:F54" si="32">IF(E51=0,"",$B$8)</f>
        <v/>
      </c>
    </row>
    <row r="52" spans="1:8" x14ac:dyDescent="0.25">
      <c r="A52" s="1" t="str">
        <f t="shared" si="30"/>
        <v/>
      </c>
      <c r="B52" s="1" t="str">
        <f>IF(E52=0,"",IF(B13=0,T45,B13))</f>
        <v/>
      </c>
      <c r="C52" s="6" t="str">
        <f t="shared" si="31"/>
        <v/>
      </c>
      <c r="D52" s="6" t="str">
        <f>IF(E52=0,"","Payment_UPB")</f>
        <v/>
      </c>
      <c r="E52" s="58">
        <f>-ROUND(K45,4)</f>
        <v>0</v>
      </c>
      <c r="F52" s="6" t="str">
        <f t="shared" si="32"/>
        <v/>
      </c>
    </row>
    <row r="53" spans="1:8" x14ac:dyDescent="0.25">
      <c r="A53" s="1" t="str">
        <f t="shared" si="30"/>
        <v/>
      </c>
      <c r="B53" s="1" t="str">
        <f t="shared" ref="B53:B54" si="33">IF(E53=0,"",$B$5)</f>
        <v/>
      </c>
      <c r="C53" s="6" t="str">
        <f t="shared" si="31"/>
        <v/>
      </c>
      <c r="D53" s="6" t="str">
        <f>IF(E53=0,"","Principal_Adjustment")</f>
        <v/>
      </c>
      <c r="E53" s="58">
        <f>ROUND(D27,4)</f>
        <v>0</v>
      </c>
      <c r="F53" s="6" t="str">
        <f t="shared" si="32"/>
        <v/>
      </c>
    </row>
    <row r="54" spans="1:8" x14ac:dyDescent="0.25">
      <c r="A54" s="1" t="str">
        <f t="shared" si="30"/>
        <v/>
      </c>
      <c r="B54" s="1" t="str">
        <f t="shared" si="33"/>
        <v/>
      </c>
      <c r="C54" s="6" t="str">
        <f t="shared" si="31"/>
        <v/>
      </c>
      <c r="D54" s="6" t="str">
        <f>IF(E54=0,"","Interest_Adjustment")</f>
        <v/>
      </c>
      <c r="E54" s="58">
        <f>ROUND(D28,4)</f>
        <v>0</v>
      </c>
      <c r="F54" s="6" t="str">
        <f t="shared" si="32"/>
        <v/>
      </c>
    </row>
    <row r="57" spans="1:8" x14ac:dyDescent="0.25">
      <c r="H57" s="53"/>
    </row>
    <row r="58" spans="1:8" x14ac:dyDescent="0.25">
      <c r="G58" s="41"/>
      <c r="H58" s="14"/>
    </row>
  </sheetData>
  <mergeCells count="4">
    <mergeCell ref="A48:F48"/>
    <mergeCell ref="A10:P10"/>
    <mergeCell ref="A31:P31"/>
    <mergeCell ref="A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zoomScaleNormal="100" workbookViewId="0">
      <selection activeCell="E28" sqref="E28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50" customWidth="1"/>
    <col min="4" max="4" width="32.7109375" style="50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0" t="s">
        <v>3</v>
      </c>
      <c r="B1" s="20" t="s">
        <v>4</v>
      </c>
      <c r="C1" s="49" t="s">
        <v>5</v>
      </c>
      <c r="D1" s="51" t="s">
        <v>43</v>
      </c>
      <c r="E1" s="20" t="s">
        <v>1</v>
      </c>
      <c r="F1" s="20" t="s">
        <v>6</v>
      </c>
    </row>
    <row r="2" spans="1:6" x14ac:dyDescent="0.25">
      <c r="A2" s="3" t="str">
        <f>CALCULATION!A50</f>
        <v/>
      </c>
      <c r="B2" s="3" t="str">
        <f>CALCULATION!B50</f>
        <v/>
      </c>
      <c r="C2" s="3" t="str">
        <f>CALCULATION!C50</f>
        <v/>
      </c>
      <c r="D2" s="3" t="str">
        <f>CALCULATION!D50</f>
        <v/>
      </c>
      <c r="E2" s="5" t="str">
        <f>IF(D2="","",CALCULATION!E50)</f>
        <v/>
      </c>
      <c r="F2" s="74" t="str">
        <f>CALCULATION!F50</f>
        <v/>
      </c>
    </row>
    <row r="3" spans="1:6" x14ac:dyDescent="0.25">
      <c r="A3" s="3" t="str">
        <f>CALCULATION!A51</f>
        <v/>
      </c>
      <c r="B3" s="3" t="str">
        <f>CALCULATION!B51</f>
        <v/>
      </c>
      <c r="C3" s="3" t="str">
        <f>CALCULATION!C51</f>
        <v/>
      </c>
      <c r="D3" s="3" t="str">
        <f>CALCULATION!D51</f>
        <v/>
      </c>
      <c r="E3" s="5" t="str">
        <f>IF(D3="","",CALCULATION!E51)</f>
        <v/>
      </c>
      <c r="F3" s="74" t="str">
        <f>CALCULATION!F51</f>
        <v/>
      </c>
    </row>
    <row r="4" spans="1:6" x14ac:dyDescent="0.25">
      <c r="A4" s="3" t="str">
        <f>CALCULATION!A52</f>
        <v/>
      </c>
      <c r="B4" s="3" t="str">
        <f>CALCULATION!B52</f>
        <v/>
      </c>
      <c r="C4" s="3" t="str">
        <f>CALCULATION!C52</f>
        <v/>
      </c>
      <c r="D4" s="3" t="str">
        <f>CALCULATION!D52</f>
        <v/>
      </c>
      <c r="E4" s="5" t="str">
        <f>IF(D4="","",CALCULATION!E52)</f>
        <v/>
      </c>
      <c r="F4" s="74" t="str">
        <f>CALCULATION!F52</f>
        <v/>
      </c>
    </row>
    <row r="5" spans="1:6" x14ac:dyDescent="0.25">
      <c r="A5" s="3" t="str">
        <f>CALCULATION!A53</f>
        <v/>
      </c>
      <c r="B5" s="3" t="str">
        <f>CALCULATION!B53</f>
        <v/>
      </c>
      <c r="C5" s="3" t="str">
        <f>CALCULATION!C53</f>
        <v/>
      </c>
      <c r="D5" s="3" t="str">
        <f>CALCULATION!D53</f>
        <v/>
      </c>
      <c r="E5" s="5" t="str">
        <f>IF(D5="","",CALCULATION!E53)</f>
        <v/>
      </c>
      <c r="F5" s="74" t="str">
        <f>CALCULATION!F53</f>
        <v/>
      </c>
    </row>
    <row r="6" spans="1:6" x14ac:dyDescent="0.25">
      <c r="A6" s="3" t="str">
        <f>CALCULATION!A54</f>
        <v/>
      </c>
      <c r="B6" s="3" t="str">
        <f>CALCULATION!B54</f>
        <v/>
      </c>
      <c r="C6" s="3" t="str">
        <f>CALCULATION!C54</f>
        <v/>
      </c>
      <c r="D6" s="3" t="str">
        <f>CALCULATION!D54</f>
        <v/>
      </c>
      <c r="E6" s="5" t="str">
        <f>IF(D6="","",CALCULATION!E54)</f>
        <v/>
      </c>
      <c r="F6" s="74" t="str">
        <f>CALCULATION!F54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939D-E4AE-451E-B930-D60EF00A5B6D}">
  <sheetPr>
    <tabColor rgb="FF00B0F0"/>
  </sheetPr>
  <dimension ref="A1:R41"/>
  <sheetViews>
    <sheetView topLeftCell="A8" zoomScaleNormal="100" workbookViewId="0">
      <selection activeCell="K3" sqref="K3:K41"/>
    </sheetView>
  </sheetViews>
  <sheetFormatPr defaultColWidth="8.7109375" defaultRowHeight="15" customHeight="1" x14ac:dyDescent="0.25"/>
  <cols>
    <col min="1" max="2" width="9.7109375" style="53" customWidth="1"/>
    <col min="3" max="3" width="11.42578125" style="53" customWidth="1"/>
    <col min="4" max="4" width="8" style="53" customWidth="1"/>
    <col min="5" max="5" width="27.42578125" style="53" customWidth="1"/>
    <col min="6" max="6" width="8.5703125" style="53" customWidth="1"/>
    <col min="7" max="7" width="8.7109375" style="53"/>
    <col min="8" max="8" width="26.85546875" style="53" customWidth="1"/>
    <col min="9" max="9" width="15.42578125" style="53" customWidth="1"/>
    <col min="10" max="10" width="8.7109375" style="53"/>
    <col min="11" max="11" width="12.85546875" style="53" bestFit="1" customWidth="1"/>
    <col min="12" max="12" width="9.85546875" style="53" bestFit="1" customWidth="1"/>
    <col min="13" max="13" width="19.42578125" style="53" customWidth="1"/>
    <col min="14" max="14" width="12" style="53" customWidth="1"/>
    <col min="15" max="16384" width="8.7109375" style="53"/>
  </cols>
  <sheetData>
    <row r="1" spans="1:18" x14ac:dyDescent="0.25">
      <c r="A1" s="135" t="s">
        <v>0</v>
      </c>
      <c r="B1" s="135"/>
      <c r="C1" s="135"/>
      <c r="D1" s="135"/>
      <c r="E1" s="135"/>
      <c r="F1" s="135"/>
      <c r="H1" s="135" t="s">
        <v>21</v>
      </c>
      <c r="I1" s="135"/>
      <c r="M1" s="6" t="s">
        <v>22</v>
      </c>
      <c r="N1" s="6">
        <f>10/1200</f>
        <v>8.3333333333333332E-3</v>
      </c>
      <c r="P1" s="53">
        <v>10</v>
      </c>
      <c r="Q1" s="53">
        <f>P1/100</f>
        <v>0.1</v>
      </c>
      <c r="R1" s="53">
        <f>Q1/360</f>
        <v>2.7777777777777778E-4</v>
      </c>
    </row>
    <row r="2" spans="1:18" x14ac:dyDescent="0.25">
      <c r="A2" s="108" t="s">
        <v>23</v>
      </c>
      <c r="B2" s="108" t="s">
        <v>24</v>
      </c>
      <c r="C2" s="108" t="s">
        <v>25</v>
      </c>
      <c r="D2" s="108" t="s">
        <v>26</v>
      </c>
      <c r="E2" s="108" t="s">
        <v>1</v>
      </c>
      <c r="F2" s="108" t="s">
        <v>27</v>
      </c>
      <c r="G2" s="34" t="s">
        <v>12</v>
      </c>
      <c r="H2" s="108" t="s">
        <v>28</v>
      </c>
      <c r="I2" s="108" t="s">
        <v>29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  <c r="K3" s="128">
        <f>ROUND(E3,4)</f>
        <v>100000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6" t="s">
        <v>32</v>
      </c>
      <c r="G4" s="4"/>
      <c r="H4" s="116">
        <f>E3</f>
        <v>100000</v>
      </c>
      <c r="I4" s="76">
        <f>E4</f>
        <v>100</v>
      </c>
      <c r="K4" s="128">
        <f t="shared" ref="K4:K41" si="0">ROUND(E4,4)</f>
        <v>100</v>
      </c>
    </row>
    <row r="5" spans="1:18" x14ac:dyDescent="0.25">
      <c r="A5" s="1">
        <v>44620</v>
      </c>
      <c r="B5" s="1">
        <v>44606</v>
      </c>
      <c r="C5" s="6" t="s">
        <v>34</v>
      </c>
      <c r="D5" s="6" t="s">
        <v>33</v>
      </c>
      <c r="E5" s="6">
        <f>H4*N2*G5</f>
        <v>388.88888888888891</v>
      </c>
      <c r="F5" s="6" t="s">
        <v>32</v>
      </c>
      <c r="G5" s="53">
        <v>14</v>
      </c>
      <c r="H5" s="76">
        <f>H4</f>
        <v>100000</v>
      </c>
      <c r="I5" s="76">
        <f>I4+E5</f>
        <v>488.88888888888891</v>
      </c>
      <c r="K5" s="128">
        <f t="shared" si="0"/>
        <v>388.88889999999998</v>
      </c>
    </row>
    <row r="6" spans="1:18" x14ac:dyDescent="0.25">
      <c r="A6" s="1">
        <v>44620</v>
      </c>
      <c r="B6" s="1">
        <v>44607</v>
      </c>
      <c r="C6" s="6" t="s">
        <v>44</v>
      </c>
      <c r="D6" s="6" t="s">
        <v>28</v>
      </c>
      <c r="E6" s="6">
        <v>5000</v>
      </c>
      <c r="F6" s="6"/>
      <c r="H6" s="76">
        <f>H4+E6</f>
        <v>105000</v>
      </c>
      <c r="I6" s="76">
        <f>I5</f>
        <v>488.88888888888891</v>
      </c>
      <c r="K6" s="128">
        <f t="shared" si="0"/>
        <v>5000</v>
      </c>
    </row>
    <row r="7" spans="1:18" x14ac:dyDescent="0.25">
      <c r="A7" s="1">
        <v>44620</v>
      </c>
      <c r="B7" s="1">
        <v>44620</v>
      </c>
      <c r="C7" s="6" t="s">
        <v>34</v>
      </c>
      <c r="D7" s="6" t="s">
        <v>33</v>
      </c>
      <c r="E7" s="37">
        <f>H7*$N$2*G7</f>
        <v>408.33333333333337</v>
      </c>
      <c r="F7" s="6" t="s">
        <v>32</v>
      </c>
      <c r="G7" s="121">
        <v>14</v>
      </c>
      <c r="H7" s="76">
        <f>H6</f>
        <v>105000</v>
      </c>
      <c r="I7" s="76">
        <f>I6+E7</f>
        <v>897.22222222222229</v>
      </c>
      <c r="K7" s="128">
        <f t="shared" si="0"/>
        <v>408.33330000000001</v>
      </c>
      <c r="N7" s="35"/>
    </row>
    <row r="8" spans="1:18" x14ac:dyDescent="0.25">
      <c r="A8" s="1">
        <v>44651</v>
      </c>
      <c r="B8" s="1">
        <v>44634</v>
      </c>
      <c r="C8" s="6" t="s">
        <v>34</v>
      </c>
      <c r="D8" s="6" t="s">
        <v>33</v>
      </c>
      <c r="E8" s="37">
        <f>H8*$N$2*G8</f>
        <v>408.33333333333337</v>
      </c>
      <c r="F8" s="6" t="s">
        <v>32</v>
      </c>
      <c r="G8" s="121">
        <f>B8-B7</f>
        <v>14</v>
      </c>
      <c r="H8" s="76">
        <f>H7</f>
        <v>105000</v>
      </c>
      <c r="I8" s="45">
        <f>I7+E8</f>
        <v>1305.5555555555557</v>
      </c>
      <c r="J8" s="36"/>
      <c r="K8" s="128">
        <f t="shared" si="0"/>
        <v>408.33330000000001</v>
      </c>
    </row>
    <row r="9" spans="1:18" x14ac:dyDescent="0.25">
      <c r="A9" s="1">
        <v>44651</v>
      </c>
      <c r="B9" s="1">
        <v>44635</v>
      </c>
      <c r="C9" s="6" t="s">
        <v>35</v>
      </c>
      <c r="D9" s="6"/>
      <c r="E9" s="37">
        <v>1500</v>
      </c>
      <c r="F9" s="6" t="s">
        <v>32</v>
      </c>
      <c r="G9" s="121"/>
      <c r="H9" s="76">
        <f>H8</f>
        <v>105000</v>
      </c>
      <c r="I9" s="109">
        <f>I8</f>
        <v>1305.5555555555557</v>
      </c>
      <c r="K9" s="128">
        <f t="shared" si="0"/>
        <v>1500</v>
      </c>
    </row>
    <row r="10" spans="1:18" x14ac:dyDescent="0.25">
      <c r="A10" s="1">
        <v>44651</v>
      </c>
      <c r="B10" s="1">
        <v>44635</v>
      </c>
      <c r="C10" s="6" t="s">
        <v>36</v>
      </c>
      <c r="D10" s="6" t="s">
        <v>28</v>
      </c>
      <c r="E10" s="37">
        <f>-(E11+E9)</f>
        <v>-194.44444444444434</v>
      </c>
      <c r="F10" s="6" t="s">
        <v>32</v>
      </c>
      <c r="G10" s="4"/>
      <c r="H10" s="76">
        <f>H9+E10</f>
        <v>104805.55555555556</v>
      </c>
      <c r="I10" s="76">
        <f>I9</f>
        <v>1305.5555555555557</v>
      </c>
      <c r="K10" s="128">
        <f t="shared" si="0"/>
        <v>-194.4444</v>
      </c>
    </row>
    <row r="11" spans="1:18" x14ac:dyDescent="0.25">
      <c r="A11" s="1">
        <v>44651</v>
      </c>
      <c r="B11" s="1">
        <v>44635</v>
      </c>
      <c r="C11" s="6" t="s">
        <v>36</v>
      </c>
      <c r="D11" s="6" t="s">
        <v>33</v>
      </c>
      <c r="E11" s="37">
        <f>-MIN(I9,E9)</f>
        <v>-1305.5555555555557</v>
      </c>
      <c r="F11" s="6" t="s">
        <v>32</v>
      </c>
      <c r="G11" s="121"/>
      <c r="H11" s="76">
        <f>H10</f>
        <v>104805.55555555556</v>
      </c>
      <c r="I11" s="76">
        <f>I10+E11</f>
        <v>0</v>
      </c>
      <c r="K11" s="128">
        <f t="shared" si="0"/>
        <v>-1305.5555999999999</v>
      </c>
      <c r="L11" s="35"/>
    </row>
    <row r="12" spans="1:18" x14ac:dyDescent="0.25">
      <c r="A12" s="1">
        <v>44651</v>
      </c>
      <c r="B12" s="1">
        <v>44644</v>
      </c>
      <c r="C12" s="6" t="s">
        <v>34</v>
      </c>
      <c r="D12" s="6" t="s">
        <v>33</v>
      </c>
      <c r="E12" s="37">
        <f>H12*$N$2*G12</f>
        <v>291.12654320987656</v>
      </c>
      <c r="F12" s="6" t="s">
        <v>32</v>
      </c>
      <c r="G12" s="121">
        <f>B13-B11</f>
        <v>10</v>
      </c>
      <c r="H12" s="76">
        <f>H11</f>
        <v>104805.55555555556</v>
      </c>
      <c r="I12" s="76">
        <f>E12+I11</f>
        <v>291.12654320987656</v>
      </c>
      <c r="K12" s="128">
        <f t="shared" si="0"/>
        <v>291.12650000000002</v>
      </c>
    </row>
    <row r="13" spans="1:18" x14ac:dyDescent="0.25">
      <c r="A13" s="1">
        <v>44651</v>
      </c>
      <c r="B13" s="1">
        <v>44645</v>
      </c>
      <c r="C13" s="6" t="s">
        <v>44</v>
      </c>
      <c r="D13" s="6" t="s">
        <v>28</v>
      </c>
      <c r="E13" s="37">
        <v>7000</v>
      </c>
      <c r="F13" s="6" t="s">
        <v>32</v>
      </c>
      <c r="G13" s="121"/>
      <c r="H13" s="76">
        <f>H12+E13</f>
        <v>111805.55555555556</v>
      </c>
      <c r="I13" s="76">
        <f>I12</f>
        <v>291.12654320987656</v>
      </c>
      <c r="J13" s="36"/>
      <c r="K13" s="128">
        <f t="shared" si="0"/>
        <v>7000</v>
      </c>
    </row>
    <row r="14" spans="1:18" x14ac:dyDescent="0.25">
      <c r="A14" s="1">
        <v>44651</v>
      </c>
      <c r="B14" s="1">
        <v>44651</v>
      </c>
      <c r="C14" s="6" t="s">
        <v>34</v>
      </c>
      <c r="D14" s="6" t="s">
        <v>33</v>
      </c>
      <c r="E14" s="37">
        <f>H14*N2*G14</f>
        <v>217.39969135802471</v>
      </c>
      <c r="F14" s="6" t="s">
        <v>32</v>
      </c>
      <c r="G14" s="121">
        <f>B14-B13+1</f>
        <v>7</v>
      </c>
      <c r="H14" s="76">
        <f>H13</f>
        <v>111805.55555555556</v>
      </c>
      <c r="I14" s="76">
        <f>E14+I13</f>
        <v>508.52623456790127</v>
      </c>
      <c r="K14" s="128">
        <f t="shared" si="0"/>
        <v>217.3997</v>
      </c>
    </row>
    <row r="15" spans="1:18" x14ac:dyDescent="0.25">
      <c r="A15" s="1">
        <v>44681</v>
      </c>
      <c r="B15" s="1">
        <v>44670</v>
      </c>
      <c r="C15" s="6" t="s">
        <v>34</v>
      </c>
      <c r="D15" s="6" t="s">
        <v>33</v>
      </c>
      <c r="E15" s="37">
        <f>H15*N2*G15</f>
        <v>590.08487654320993</v>
      </c>
      <c r="F15" s="6" t="s">
        <v>32</v>
      </c>
      <c r="G15" s="4">
        <f>B15-B14</f>
        <v>19</v>
      </c>
      <c r="H15" s="76">
        <f>H14</f>
        <v>111805.55555555556</v>
      </c>
      <c r="I15" s="76">
        <f>I14+E15</f>
        <v>1098.6111111111113</v>
      </c>
      <c r="K15" s="128">
        <f t="shared" si="0"/>
        <v>590.08489999999995</v>
      </c>
    </row>
    <row r="16" spans="1:18" x14ac:dyDescent="0.25">
      <c r="A16" s="1">
        <v>44681</v>
      </c>
      <c r="B16" s="1">
        <v>44671</v>
      </c>
      <c r="C16" s="6" t="s">
        <v>35</v>
      </c>
      <c r="D16" s="6"/>
      <c r="E16" s="37">
        <v>2000</v>
      </c>
      <c r="F16" s="6" t="s">
        <v>32</v>
      </c>
      <c r="G16" s="4"/>
      <c r="H16" s="76">
        <f>H15</f>
        <v>111805.55555555556</v>
      </c>
      <c r="I16" s="76">
        <f>I15</f>
        <v>1098.6111111111113</v>
      </c>
      <c r="K16" s="128">
        <f t="shared" si="0"/>
        <v>2000</v>
      </c>
    </row>
    <row r="17" spans="1:12" x14ac:dyDescent="0.25">
      <c r="A17" s="1">
        <v>44681</v>
      </c>
      <c r="B17" s="1">
        <v>44671</v>
      </c>
      <c r="C17" s="6" t="s">
        <v>36</v>
      </c>
      <c r="D17" s="6" t="s">
        <v>28</v>
      </c>
      <c r="E17" s="37">
        <f>-(E18+E16)</f>
        <v>-901.38888888888869</v>
      </c>
      <c r="F17" s="6" t="s">
        <v>32</v>
      </c>
      <c r="G17" s="4"/>
      <c r="H17" s="76">
        <f>H16+E17</f>
        <v>110904.16666666667</v>
      </c>
      <c r="I17" s="76">
        <f>I16</f>
        <v>1098.6111111111113</v>
      </c>
      <c r="J17" s="36"/>
      <c r="K17" s="128">
        <f t="shared" si="0"/>
        <v>-901.38890000000004</v>
      </c>
      <c r="L17" s="35"/>
    </row>
    <row r="18" spans="1:12" x14ac:dyDescent="0.25">
      <c r="A18" s="1">
        <v>44681</v>
      </c>
      <c r="B18" s="1">
        <v>44671</v>
      </c>
      <c r="C18" s="6" t="s">
        <v>36</v>
      </c>
      <c r="D18" s="6" t="s">
        <v>33</v>
      </c>
      <c r="E18" s="37">
        <f>-I17</f>
        <v>-1098.6111111111113</v>
      </c>
      <c r="F18" s="6" t="s">
        <v>32</v>
      </c>
      <c r="G18" s="121"/>
      <c r="H18" s="76">
        <f>H17</f>
        <v>110904.16666666667</v>
      </c>
      <c r="I18" s="76">
        <f>I17+E18</f>
        <v>0</v>
      </c>
      <c r="K18" s="128">
        <f t="shared" si="0"/>
        <v>-1098.6111000000001</v>
      </c>
    </row>
    <row r="19" spans="1:12" x14ac:dyDescent="0.25">
      <c r="A19" s="1">
        <v>44681</v>
      </c>
      <c r="B19" s="1">
        <v>44681</v>
      </c>
      <c r="C19" s="6" t="s">
        <v>34</v>
      </c>
      <c r="D19" s="6" t="s">
        <v>33</v>
      </c>
      <c r="E19" s="37">
        <f>H19*N2*G19</f>
        <v>338.87384259259261</v>
      </c>
      <c r="F19" s="6" t="s">
        <v>32</v>
      </c>
      <c r="G19" s="4">
        <v>11</v>
      </c>
      <c r="H19" s="110">
        <f>H18</f>
        <v>110904.16666666667</v>
      </c>
      <c r="I19" s="110">
        <f>I18+E19</f>
        <v>338.87384259259261</v>
      </c>
      <c r="K19" s="128">
        <f t="shared" si="0"/>
        <v>338.87380000000002</v>
      </c>
    </row>
    <row r="20" spans="1:12" x14ac:dyDescent="0.25">
      <c r="A20" s="1">
        <v>44712</v>
      </c>
      <c r="B20" s="1">
        <f>B5</f>
        <v>44606</v>
      </c>
      <c r="C20" s="6" t="s">
        <v>34</v>
      </c>
      <c r="D20" s="6" t="s">
        <v>33</v>
      </c>
      <c r="E20" s="37">
        <f>E5</f>
        <v>388.88888888888891</v>
      </c>
      <c r="F20" s="6"/>
      <c r="G20" s="4"/>
      <c r="H20" s="110">
        <f>H4</f>
        <v>100000</v>
      </c>
      <c r="I20" s="110">
        <f>I4+E20</f>
        <v>488.88888888888891</v>
      </c>
      <c r="K20" s="128">
        <f t="shared" si="0"/>
        <v>388.88889999999998</v>
      </c>
    </row>
    <row r="21" spans="1:12" x14ac:dyDescent="0.25">
      <c r="A21" s="1">
        <v>44712</v>
      </c>
      <c r="B21" s="1">
        <f>B6</f>
        <v>44607</v>
      </c>
      <c r="C21" s="6" t="s">
        <v>44</v>
      </c>
      <c r="D21" s="6" t="s">
        <v>28</v>
      </c>
      <c r="E21" s="37">
        <f>E6</f>
        <v>5000</v>
      </c>
      <c r="F21" s="6"/>
      <c r="G21" s="4"/>
      <c r="H21" s="110">
        <f>H20+E21</f>
        <v>105000</v>
      </c>
      <c r="I21" s="110">
        <f>I20</f>
        <v>488.88888888888891</v>
      </c>
      <c r="K21" s="128">
        <f t="shared" si="0"/>
        <v>5000</v>
      </c>
    </row>
    <row r="22" spans="1:12" x14ac:dyDescent="0.25">
      <c r="A22" s="1">
        <v>44712</v>
      </c>
      <c r="B22" s="1">
        <v>44613</v>
      </c>
      <c r="C22" s="6" t="s">
        <v>34</v>
      </c>
      <c r="D22" s="6" t="s">
        <v>33</v>
      </c>
      <c r="E22" s="37">
        <f>H22*N2*G22</f>
        <v>204.16666666666669</v>
      </c>
      <c r="F22" s="6"/>
      <c r="G22" s="4">
        <v>7</v>
      </c>
      <c r="H22" s="110">
        <f>H21</f>
        <v>105000</v>
      </c>
      <c r="I22" s="110">
        <f>I21+E22</f>
        <v>693.05555555555566</v>
      </c>
      <c r="K22" s="128">
        <f t="shared" si="0"/>
        <v>204.16669999999999</v>
      </c>
    </row>
    <row r="23" spans="1:12" x14ac:dyDescent="0.25">
      <c r="A23" s="1">
        <v>44712</v>
      </c>
      <c r="B23" s="1">
        <v>44614</v>
      </c>
      <c r="C23" s="6" t="s">
        <v>35</v>
      </c>
      <c r="D23" s="6"/>
      <c r="E23" s="37">
        <v>400</v>
      </c>
      <c r="F23" s="6" t="s">
        <v>32</v>
      </c>
      <c r="G23" s="4">
        <v>22</v>
      </c>
      <c r="H23" s="76">
        <f>H7</f>
        <v>105000</v>
      </c>
      <c r="I23" s="76">
        <f>I22</f>
        <v>693.05555555555566</v>
      </c>
      <c r="K23" s="128">
        <f t="shared" si="0"/>
        <v>400</v>
      </c>
    </row>
    <row r="24" spans="1:12" x14ac:dyDescent="0.25">
      <c r="A24" s="1">
        <v>44712</v>
      </c>
      <c r="B24" s="1">
        <v>44614</v>
      </c>
      <c r="C24" s="6" t="s">
        <v>36</v>
      </c>
      <c r="D24" s="6" t="s">
        <v>28</v>
      </c>
      <c r="E24" s="37">
        <v>0</v>
      </c>
      <c r="F24" s="6" t="s">
        <v>32</v>
      </c>
      <c r="G24" s="4"/>
      <c r="H24" s="76">
        <f>H23</f>
        <v>105000</v>
      </c>
      <c r="I24" s="76">
        <f>I23</f>
        <v>693.05555555555566</v>
      </c>
      <c r="K24" s="128">
        <f t="shared" si="0"/>
        <v>0</v>
      </c>
    </row>
    <row r="25" spans="1:12" x14ac:dyDescent="0.25">
      <c r="A25" s="1">
        <v>44712</v>
      </c>
      <c r="B25" s="1">
        <v>44614</v>
      </c>
      <c r="C25" s="6" t="s">
        <v>36</v>
      </c>
      <c r="D25" s="6" t="s">
        <v>33</v>
      </c>
      <c r="E25" s="37">
        <f>-MIN(E23,I23)</f>
        <v>-400</v>
      </c>
      <c r="F25" s="6" t="s">
        <v>32</v>
      </c>
      <c r="G25" s="121"/>
      <c r="H25" s="76">
        <f>H24</f>
        <v>105000</v>
      </c>
      <c r="I25" s="76">
        <f>I23+E25</f>
        <v>293.05555555555566</v>
      </c>
      <c r="K25" s="128">
        <f t="shared" si="0"/>
        <v>-400</v>
      </c>
    </row>
    <row r="26" spans="1:12" x14ac:dyDescent="0.25">
      <c r="A26" s="1">
        <v>44712</v>
      </c>
      <c r="B26" s="1">
        <v>44620</v>
      </c>
      <c r="C26" s="6" t="s">
        <v>34</v>
      </c>
      <c r="D26" s="6" t="s">
        <v>33</v>
      </c>
      <c r="E26" s="37">
        <f>H26*N2*G26</f>
        <v>204.16666666666669</v>
      </c>
      <c r="F26" s="6" t="s">
        <v>32</v>
      </c>
      <c r="G26" s="121">
        <v>7</v>
      </c>
      <c r="H26" s="111">
        <f>H25</f>
        <v>105000</v>
      </c>
      <c r="I26" s="76">
        <f>I25+E26</f>
        <v>497.22222222222234</v>
      </c>
      <c r="K26" s="128">
        <f t="shared" si="0"/>
        <v>204.16669999999999</v>
      </c>
    </row>
    <row r="27" spans="1:12" x14ac:dyDescent="0.25">
      <c r="A27" s="55">
        <v>44712</v>
      </c>
      <c r="B27" s="55">
        <v>44634</v>
      </c>
      <c r="C27" s="56" t="s">
        <v>34</v>
      </c>
      <c r="D27" s="56" t="s">
        <v>33</v>
      </c>
      <c r="E27" s="56">
        <f>H27*$N$2*G27</f>
        <v>408.33333333333337</v>
      </c>
      <c r="F27" s="56"/>
      <c r="G27" s="122">
        <v>14</v>
      </c>
      <c r="H27" s="110">
        <f>H26</f>
        <v>105000</v>
      </c>
      <c r="I27" s="110">
        <f>I26+E27</f>
        <v>905.55555555555566</v>
      </c>
      <c r="K27" s="128">
        <f t="shared" si="0"/>
        <v>408.33330000000001</v>
      </c>
    </row>
    <row r="28" spans="1:12" x14ac:dyDescent="0.25">
      <c r="A28" s="1">
        <v>44712</v>
      </c>
      <c r="B28" s="1">
        <v>44635</v>
      </c>
      <c r="C28" s="6" t="s">
        <v>35</v>
      </c>
      <c r="D28" s="6"/>
      <c r="E28" s="37">
        <f>E9</f>
        <v>1500</v>
      </c>
      <c r="F28" s="6"/>
      <c r="G28" s="4"/>
      <c r="H28" s="76">
        <f>H27</f>
        <v>105000</v>
      </c>
      <c r="I28" s="76">
        <f>I27</f>
        <v>905.55555555555566</v>
      </c>
      <c r="K28" s="128">
        <f t="shared" si="0"/>
        <v>1500</v>
      </c>
    </row>
    <row r="29" spans="1:12" x14ac:dyDescent="0.25">
      <c r="A29" s="1">
        <v>44712</v>
      </c>
      <c r="B29" s="1">
        <v>44635</v>
      </c>
      <c r="C29" s="6" t="s">
        <v>36</v>
      </c>
      <c r="D29" s="6" t="s">
        <v>28</v>
      </c>
      <c r="E29" s="45">
        <f>-(E30+E28)</f>
        <v>-594.44444444444434</v>
      </c>
      <c r="F29" s="6"/>
      <c r="G29" s="4"/>
      <c r="H29" s="76">
        <f>H28+E29</f>
        <v>104405.55555555556</v>
      </c>
      <c r="I29" s="76">
        <f>I28</f>
        <v>905.55555555555566</v>
      </c>
      <c r="K29" s="128">
        <f t="shared" si="0"/>
        <v>-594.44439999999997</v>
      </c>
    </row>
    <row r="30" spans="1:12" ht="15" customHeight="1" x14ac:dyDescent="0.25">
      <c r="A30" s="1">
        <v>44712</v>
      </c>
      <c r="B30" s="1">
        <v>44635</v>
      </c>
      <c r="C30" s="6" t="s">
        <v>36</v>
      </c>
      <c r="D30" s="6" t="s">
        <v>33</v>
      </c>
      <c r="E30" s="45">
        <f>-I29</f>
        <v>-905.55555555555566</v>
      </c>
      <c r="F30" s="6"/>
      <c r="G30" s="4"/>
      <c r="H30" s="112">
        <f>H29</f>
        <v>104405.55555555556</v>
      </c>
      <c r="I30" s="76">
        <f>I29+E30</f>
        <v>0</v>
      </c>
      <c r="K30" s="128">
        <f t="shared" si="0"/>
        <v>-905.55560000000003</v>
      </c>
    </row>
    <row r="31" spans="1:12" x14ac:dyDescent="0.25">
      <c r="A31" s="1">
        <v>44712</v>
      </c>
      <c r="B31" s="1">
        <v>44644</v>
      </c>
      <c r="C31" s="6" t="s">
        <v>34</v>
      </c>
      <c r="D31" s="6" t="s">
        <v>33</v>
      </c>
      <c r="E31" s="6">
        <f>H31*$N$2*G31</f>
        <v>290.01543209876547</v>
      </c>
      <c r="F31" s="6"/>
      <c r="G31" s="4">
        <v>10</v>
      </c>
      <c r="H31" s="76">
        <f>H30</f>
        <v>104405.55555555556</v>
      </c>
      <c r="I31" s="76">
        <f>I30+E31</f>
        <v>290.01543209876547</v>
      </c>
      <c r="K31" s="128">
        <f t="shared" si="0"/>
        <v>290.0154</v>
      </c>
    </row>
    <row r="32" spans="1:12" ht="15" customHeight="1" x14ac:dyDescent="0.25">
      <c r="A32" s="1">
        <v>44712</v>
      </c>
      <c r="B32" s="1">
        <v>44645</v>
      </c>
      <c r="C32" s="6" t="s">
        <v>44</v>
      </c>
      <c r="D32" s="6" t="s">
        <v>28</v>
      </c>
      <c r="E32" s="37">
        <f>E13</f>
        <v>7000</v>
      </c>
      <c r="F32" s="6"/>
      <c r="G32" s="4"/>
      <c r="H32" s="113">
        <f>H31+E32</f>
        <v>111405.55555555556</v>
      </c>
      <c r="I32" s="76">
        <f>I31</f>
        <v>290.01543209876547</v>
      </c>
      <c r="K32" s="128">
        <f t="shared" si="0"/>
        <v>7000</v>
      </c>
    </row>
    <row r="33" spans="1:13" ht="15" customHeight="1" x14ac:dyDescent="0.25">
      <c r="A33" s="1">
        <v>44712</v>
      </c>
      <c r="B33" s="1">
        <v>44651</v>
      </c>
      <c r="C33" s="6" t="s">
        <v>34</v>
      </c>
      <c r="D33" s="6" t="s">
        <v>33</v>
      </c>
      <c r="E33" s="6">
        <f>H33*$N$2*G33</f>
        <v>216.62191358024694</v>
      </c>
      <c r="F33" s="6"/>
      <c r="G33" s="4">
        <v>7</v>
      </c>
      <c r="H33" s="76">
        <f>H32</f>
        <v>111405.55555555556</v>
      </c>
      <c r="I33" s="76">
        <f>I32+E33</f>
        <v>506.63734567901241</v>
      </c>
      <c r="K33" s="128">
        <f t="shared" si="0"/>
        <v>216.62190000000001</v>
      </c>
    </row>
    <row r="34" spans="1:13" ht="15" customHeight="1" x14ac:dyDescent="0.25">
      <c r="A34" s="1">
        <v>44712</v>
      </c>
      <c r="B34" s="1">
        <v>44670</v>
      </c>
      <c r="C34" s="6" t="s">
        <v>34</v>
      </c>
      <c r="D34" s="6" t="s">
        <v>33</v>
      </c>
      <c r="E34" s="6">
        <f>H34*$N$2*G34</f>
        <v>587.97376543209884</v>
      </c>
      <c r="F34" s="6"/>
      <c r="G34" s="4">
        <v>19</v>
      </c>
      <c r="H34" s="76">
        <f>H33</f>
        <v>111405.55555555556</v>
      </c>
      <c r="I34" s="76">
        <f>I33+E34</f>
        <v>1094.6111111111113</v>
      </c>
      <c r="K34" s="128">
        <f t="shared" si="0"/>
        <v>587.97379999999998</v>
      </c>
    </row>
    <row r="35" spans="1:13" ht="15" customHeight="1" x14ac:dyDescent="0.25">
      <c r="A35" s="1">
        <v>44712</v>
      </c>
      <c r="B35" s="1">
        <v>44671</v>
      </c>
      <c r="C35" s="6" t="s">
        <v>35</v>
      </c>
      <c r="D35" s="6"/>
      <c r="E35" s="37">
        <f>E16</f>
        <v>2000</v>
      </c>
      <c r="F35" s="6"/>
      <c r="G35" s="4"/>
      <c r="H35" s="76">
        <f>H34</f>
        <v>111405.55555555556</v>
      </c>
      <c r="I35" s="76">
        <f>I34</f>
        <v>1094.6111111111113</v>
      </c>
      <c r="K35" s="128">
        <f t="shared" si="0"/>
        <v>2000</v>
      </c>
    </row>
    <row r="36" spans="1:13" ht="15" customHeight="1" x14ac:dyDescent="0.25">
      <c r="A36" s="1">
        <v>44712</v>
      </c>
      <c r="B36" s="1">
        <v>44671</v>
      </c>
      <c r="C36" s="6" t="s">
        <v>36</v>
      </c>
      <c r="D36" s="6" t="s">
        <v>28</v>
      </c>
      <c r="E36" s="76">
        <f>-(E37+E35)</f>
        <v>-905.38888888888869</v>
      </c>
      <c r="F36" s="6"/>
      <c r="G36" s="4"/>
      <c r="H36" s="76">
        <f>H35+E36</f>
        <v>110500.16666666667</v>
      </c>
      <c r="I36" s="76">
        <f>I35</f>
        <v>1094.6111111111113</v>
      </c>
      <c r="K36" s="128">
        <f t="shared" si="0"/>
        <v>-905.38890000000004</v>
      </c>
      <c r="L36" s="35"/>
      <c r="M36" s="35"/>
    </row>
    <row r="37" spans="1:13" ht="15" customHeight="1" x14ac:dyDescent="0.25">
      <c r="A37" s="1">
        <v>44712</v>
      </c>
      <c r="B37" s="1">
        <v>44671</v>
      </c>
      <c r="C37" s="6" t="s">
        <v>36</v>
      </c>
      <c r="D37" s="6" t="s">
        <v>33</v>
      </c>
      <c r="E37" s="76">
        <f>-I35</f>
        <v>-1094.6111111111113</v>
      </c>
      <c r="F37" s="6"/>
      <c r="G37" s="4"/>
      <c r="H37" s="76">
        <f>H36</f>
        <v>110500.16666666667</v>
      </c>
      <c r="I37" s="76">
        <f>I36+E37</f>
        <v>0</v>
      </c>
      <c r="K37" s="128">
        <f t="shared" si="0"/>
        <v>-1094.6111000000001</v>
      </c>
    </row>
    <row r="38" spans="1:13" ht="15" customHeight="1" x14ac:dyDescent="0.25">
      <c r="A38" s="1">
        <v>44712</v>
      </c>
      <c r="B38" s="1">
        <v>44681</v>
      </c>
      <c r="C38" s="6" t="s">
        <v>34</v>
      </c>
      <c r="D38" s="6" t="s">
        <v>33</v>
      </c>
      <c r="E38" s="6">
        <f>H38*$N$2*G38</f>
        <v>337.63939814814819</v>
      </c>
      <c r="F38" s="6"/>
      <c r="G38" s="4">
        <v>11</v>
      </c>
      <c r="H38" s="110">
        <f>H37</f>
        <v>110500.16666666667</v>
      </c>
      <c r="I38" s="110">
        <f>I37+E38</f>
        <v>337.63939814814819</v>
      </c>
      <c r="K38" s="128">
        <f t="shared" si="0"/>
        <v>337.63940000000002</v>
      </c>
    </row>
    <row r="39" spans="1:13" ht="15" customHeight="1" x14ac:dyDescent="0.25">
      <c r="A39" s="1">
        <v>44712</v>
      </c>
      <c r="B39" s="1">
        <v>44712</v>
      </c>
      <c r="C39" s="6" t="s">
        <v>34</v>
      </c>
      <c r="D39" s="6" t="s">
        <v>33</v>
      </c>
      <c r="E39" s="6">
        <f>H39*$N$2*G39</f>
        <v>951.52921296296302</v>
      </c>
      <c r="F39" s="6"/>
      <c r="G39" s="4">
        <f>B39-B38</f>
        <v>31</v>
      </c>
      <c r="H39" s="76">
        <f>H38</f>
        <v>110500.16666666667</v>
      </c>
      <c r="I39" s="76">
        <f>I38+E39</f>
        <v>1289.1686111111112</v>
      </c>
      <c r="K39" s="128">
        <f t="shared" si="0"/>
        <v>951.52919999999995</v>
      </c>
    </row>
    <row r="40" spans="1:13" ht="15" customHeight="1" x14ac:dyDescent="0.25">
      <c r="A40" s="1">
        <v>44712</v>
      </c>
      <c r="B40" s="1">
        <v>44712</v>
      </c>
      <c r="C40" s="6" t="s">
        <v>47</v>
      </c>
      <c r="D40" s="6" t="s">
        <v>28</v>
      </c>
      <c r="E40" s="45">
        <f>H39-H19</f>
        <v>-404</v>
      </c>
      <c r="F40" s="6"/>
      <c r="G40" s="4"/>
      <c r="K40" s="128">
        <f t="shared" si="0"/>
        <v>-404</v>
      </c>
    </row>
    <row r="41" spans="1:13" ht="15" customHeight="1" x14ac:dyDescent="0.25">
      <c r="A41" s="1">
        <v>44712</v>
      </c>
      <c r="B41" s="1">
        <v>44712</v>
      </c>
      <c r="C41" s="6" t="s">
        <v>47</v>
      </c>
      <c r="D41" s="6" t="s">
        <v>2</v>
      </c>
      <c r="E41" s="45">
        <f>I38-I19</f>
        <v>-1.2344444444444207</v>
      </c>
      <c r="F41" s="6"/>
      <c r="G41" s="4"/>
      <c r="K41" s="128">
        <f t="shared" si="0"/>
        <v>-1.2343999999999999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C70E-CB82-4754-868F-6D9B4E3FC2C9}">
  <sheetPr>
    <tabColor rgb="FFFFC000"/>
  </sheetPr>
  <dimension ref="A1:H51"/>
  <sheetViews>
    <sheetView workbookViewId="0">
      <selection sqref="A1:H1"/>
    </sheetView>
  </sheetViews>
  <sheetFormatPr defaultRowHeight="15" x14ac:dyDescent="0.25"/>
  <cols>
    <col min="1" max="1" width="16.7109375" style="53" bestFit="1" customWidth="1"/>
    <col min="2" max="2" width="16.85546875" style="53" bestFit="1" customWidth="1"/>
    <col min="3" max="3" width="38.7109375" style="53" bestFit="1" customWidth="1"/>
    <col min="4" max="4" width="38.140625" style="53" bestFit="1" customWidth="1"/>
    <col min="5" max="5" width="38.7109375" style="53" bestFit="1" customWidth="1"/>
    <col min="6" max="6" width="38.140625" style="53" bestFit="1" customWidth="1"/>
    <col min="7" max="7" width="52.140625" style="53" customWidth="1"/>
    <col min="8" max="8" width="57.28515625" style="53" bestFit="1" customWidth="1"/>
    <col min="9" max="16384" width="9.140625" style="53"/>
  </cols>
  <sheetData>
    <row r="1" spans="1:8" ht="27" thickBot="1" x14ac:dyDescent="0.45">
      <c r="A1" s="131" t="s">
        <v>72</v>
      </c>
      <c r="B1" s="132"/>
      <c r="C1" s="132"/>
      <c r="D1" s="132"/>
      <c r="E1" s="132"/>
      <c r="F1" s="132"/>
      <c r="G1" s="132"/>
      <c r="H1" s="133"/>
    </row>
    <row r="3" spans="1:8" ht="21" x14ac:dyDescent="0.35">
      <c r="A3" s="90" t="s">
        <v>70</v>
      </c>
    </row>
    <row r="4" spans="1:8" ht="15.75" thickBot="1" x14ac:dyDescent="0.3"/>
    <row r="5" spans="1:8" ht="30.75" thickBot="1" x14ac:dyDescent="0.3">
      <c r="A5" s="87" t="s">
        <v>48</v>
      </c>
      <c r="B5" s="88" t="s">
        <v>20</v>
      </c>
      <c r="C5" s="124" t="s">
        <v>5</v>
      </c>
      <c r="D5" s="127" t="s">
        <v>6</v>
      </c>
      <c r="E5" s="88" t="s">
        <v>40</v>
      </c>
      <c r="F5" s="89" t="s">
        <v>46</v>
      </c>
      <c r="G5" s="125" t="s">
        <v>49</v>
      </c>
      <c r="H5" s="89" t="s">
        <v>88</v>
      </c>
    </row>
    <row r="6" spans="1:8" x14ac:dyDescent="0.25">
      <c r="A6" s="83">
        <v>44712</v>
      </c>
      <c r="B6" s="84">
        <v>44607</v>
      </c>
      <c r="C6" s="75" t="s">
        <v>45</v>
      </c>
      <c r="D6" s="75">
        <v>1</v>
      </c>
      <c r="E6" s="126"/>
      <c r="F6" s="86">
        <v>5000</v>
      </c>
      <c r="G6" s="85">
        <v>100000</v>
      </c>
      <c r="H6" s="86">
        <v>100</v>
      </c>
    </row>
    <row r="7" spans="1:8" x14ac:dyDescent="0.25">
      <c r="A7" s="83">
        <v>44712</v>
      </c>
      <c r="B7" s="84">
        <v>44614</v>
      </c>
      <c r="C7" s="75" t="s">
        <v>45</v>
      </c>
      <c r="D7" s="75">
        <v>1</v>
      </c>
      <c r="E7" s="85">
        <v>400</v>
      </c>
      <c r="F7" s="85"/>
      <c r="G7" s="85"/>
      <c r="H7" s="86"/>
    </row>
    <row r="8" spans="1:8" x14ac:dyDescent="0.25">
      <c r="A8" s="79">
        <v>44712</v>
      </c>
      <c r="B8" s="80">
        <v>44635</v>
      </c>
      <c r="C8" s="6" t="s">
        <v>45</v>
      </c>
      <c r="D8" s="6">
        <v>1</v>
      </c>
      <c r="E8" s="81">
        <v>1500</v>
      </c>
      <c r="F8" s="81"/>
      <c r="G8" s="82"/>
      <c r="H8" s="82"/>
    </row>
    <row r="9" spans="1:8" x14ac:dyDescent="0.25">
      <c r="A9" s="79">
        <v>44712</v>
      </c>
      <c r="B9" s="80">
        <v>44645</v>
      </c>
      <c r="C9" s="6" t="s">
        <v>45</v>
      </c>
      <c r="D9" s="6">
        <v>1</v>
      </c>
      <c r="E9" s="81"/>
      <c r="F9" s="82">
        <v>7000</v>
      </c>
      <c r="G9" s="81"/>
      <c r="H9" s="81"/>
    </row>
    <row r="10" spans="1:8" x14ac:dyDescent="0.25">
      <c r="A10" s="79">
        <v>44712</v>
      </c>
      <c r="B10" s="80">
        <v>44671</v>
      </c>
      <c r="C10" s="6" t="s">
        <v>45</v>
      </c>
      <c r="D10" s="59">
        <v>1</v>
      </c>
      <c r="E10" s="81">
        <v>2000</v>
      </c>
      <c r="F10" s="81"/>
      <c r="G10" s="82"/>
      <c r="H10" s="82"/>
    </row>
    <row r="11" spans="1:8" x14ac:dyDescent="0.25">
      <c r="A11" s="79">
        <v>44712</v>
      </c>
      <c r="B11" s="80">
        <v>44712</v>
      </c>
      <c r="C11" s="6" t="s">
        <v>45</v>
      </c>
      <c r="D11" s="59">
        <v>1</v>
      </c>
      <c r="E11" s="81"/>
      <c r="F11" s="81"/>
      <c r="G11" s="81"/>
      <c r="H11" s="81"/>
    </row>
    <row r="13" spans="1:8" ht="21" x14ac:dyDescent="0.35">
      <c r="A13" s="90" t="s">
        <v>38</v>
      </c>
    </row>
    <row r="14" spans="1:8" ht="15.75" thickBot="1" x14ac:dyDescent="0.3"/>
    <row r="15" spans="1:8" ht="15.75" thickBot="1" x14ac:dyDescent="0.3">
      <c r="A15" s="91" t="s">
        <v>48</v>
      </c>
      <c r="B15" s="92" t="s">
        <v>20</v>
      </c>
      <c r="C15" s="78" t="s">
        <v>5</v>
      </c>
      <c r="D15" s="78" t="s">
        <v>6</v>
      </c>
      <c r="E15" s="94" t="s">
        <v>40</v>
      </c>
      <c r="F15" s="95" t="s">
        <v>46</v>
      </c>
    </row>
    <row r="16" spans="1:8" x14ac:dyDescent="0.25">
      <c r="A16" s="96">
        <v>44620</v>
      </c>
      <c r="B16" s="96">
        <v>44607</v>
      </c>
      <c r="C16" s="6" t="s">
        <v>45</v>
      </c>
      <c r="D16" s="6">
        <v>1</v>
      </c>
      <c r="E16" s="123"/>
      <c r="F16" s="98">
        <v>5000</v>
      </c>
    </row>
    <row r="17" spans="1:8" x14ac:dyDescent="0.25">
      <c r="A17" s="96">
        <v>44651</v>
      </c>
      <c r="B17" s="97">
        <v>44635</v>
      </c>
      <c r="C17" s="6" t="s">
        <v>45</v>
      </c>
      <c r="D17" s="6">
        <v>1</v>
      </c>
      <c r="E17" s="98">
        <v>1500</v>
      </c>
      <c r="F17" s="98"/>
    </row>
    <row r="18" spans="1:8" x14ac:dyDescent="0.25">
      <c r="A18" s="96">
        <v>44651</v>
      </c>
      <c r="B18" s="97">
        <v>44645</v>
      </c>
      <c r="C18" s="6" t="s">
        <v>45</v>
      </c>
      <c r="D18" s="6">
        <v>1</v>
      </c>
      <c r="E18" s="98"/>
      <c r="F18" s="98">
        <v>7000</v>
      </c>
    </row>
    <row r="19" spans="1:8" x14ac:dyDescent="0.25">
      <c r="A19" s="96">
        <v>44681</v>
      </c>
      <c r="B19" s="97">
        <v>44671</v>
      </c>
      <c r="C19" s="6" t="s">
        <v>45</v>
      </c>
      <c r="D19" s="59">
        <v>1</v>
      </c>
      <c r="E19" s="98">
        <v>2000</v>
      </c>
      <c r="F19" s="98"/>
    </row>
    <row r="20" spans="1:8" x14ac:dyDescent="0.25">
      <c r="A20" s="99">
        <v>44712</v>
      </c>
      <c r="B20" s="100">
        <v>44614</v>
      </c>
      <c r="C20" s="6" t="s">
        <v>45</v>
      </c>
      <c r="D20" s="59">
        <v>1</v>
      </c>
      <c r="E20" s="101">
        <v>400</v>
      </c>
      <c r="F20" s="101"/>
    </row>
    <row r="22" spans="1:8" ht="21" x14ac:dyDescent="0.35">
      <c r="A22" s="90" t="s">
        <v>71</v>
      </c>
    </row>
    <row r="23" spans="1:8" ht="15.75" thickBot="1" x14ac:dyDescent="0.3"/>
    <row r="24" spans="1:8" ht="30.75" thickBot="1" x14ac:dyDescent="0.3">
      <c r="A24" s="87" t="s">
        <v>48</v>
      </c>
      <c r="B24" s="92" t="s">
        <v>20</v>
      </c>
      <c r="C24" s="88" t="s">
        <v>5</v>
      </c>
      <c r="D24" s="88" t="s">
        <v>6</v>
      </c>
      <c r="E24" s="88" t="s">
        <v>42</v>
      </c>
      <c r="F24" s="88" t="s">
        <v>49</v>
      </c>
      <c r="G24" s="89" t="s">
        <v>88</v>
      </c>
    </row>
    <row r="25" spans="1:8" x14ac:dyDescent="0.25">
      <c r="A25" s="83">
        <v>44620</v>
      </c>
      <c r="B25" s="83">
        <v>44620</v>
      </c>
      <c r="C25" s="75" t="s">
        <v>45</v>
      </c>
      <c r="D25" s="75">
        <v>1</v>
      </c>
      <c r="E25" s="104">
        <v>10</v>
      </c>
      <c r="F25" s="85">
        <v>100000</v>
      </c>
      <c r="G25" s="85">
        <v>100</v>
      </c>
    </row>
    <row r="26" spans="1:8" x14ac:dyDescent="0.25">
      <c r="A26" s="79">
        <v>44651</v>
      </c>
      <c r="B26" s="79">
        <v>44651</v>
      </c>
      <c r="C26" s="6" t="s">
        <v>45</v>
      </c>
      <c r="D26" s="6">
        <v>1</v>
      </c>
      <c r="E26" s="102">
        <v>10</v>
      </c>
      <c r="F26" s="85">
        <v>105000</v>
      </c>
      <c r="G26" s="85">
        <v>897.22222222222229</v>
      </c>
    </row>
    <row r="27" spans="1:8" x14ac:dyDescent="0.25">
      <c r="A27" s="79">
        <v>44681</v>
      </c>
      <c r="B27" s="79">
        <v>44681</v>
      </c>
      <c r="C27" s="6" t="s">
        <v>45</v>
      </c>
      <c r="D27" s="6">
        <v>1</v>
      </c>
      <c r="E27" s="102">
        <v>10</v>
      </c>
      <c r="F27" s="81">
        <v>111805.55555555556</v>
      </c>
      <c r="G27" s="81">
        <v>508.52623456790127</v>
      </c>
    </row>
    <row r="28" spans="1:8" x14ac:dyDescent="0.25">
      <c r="A28" s="103">
        <v>44712</v>
      </c>
      <c r="B28" s="103">
        <v>44712</v>
      </c>
      <c r="C28" s="6" t="s">
        <v>45</v>
      </c>
      <c r="D28" s="59">
        <v>1</v>
      </c>
      <c r="E28" s="102">
        <v>10</v>
      </c>
      <c r="F28" s="81">
        <v>110904.16666666667</v>
      </c>
      <c r="G28" s="81">
        <v>338.87384259259261</v>
      </c>
    </row>
    <row r="30" spans="1:8" ht="15.75" thickBot="1" x14ac:dyDescent="0.3"/>
    <row r="31" spans="1:8" ht="27" thickBot="1" x14ac:dyDescent="0.45">
      <c r="A31" s="131" t="s">
        <v>73</v>
      </c>
      <c r="B31" s="132"/>
      <c r="C31" s="132"/>
      <c r="D31" s="132"/>
      <c r="E31" s="132"/>
      <c r="F31" s="132"/>
      <c r="G31" s="132"/>
      <c r="H31" s="133"/>
    </row>
    <row r="34" spans="1:6" x14ac:dyDescent="0.25">
      <c r="A34" s="105" t="s">
        <v>3</v>
      </c>
      <c r="B34" s="105" t="s">
        <v>4</v>
      </c>
      <c r="C34" s="106" t="s">
        <v>5</v>
      </c>
      <c r="D34" s="107" t="s">
        <v>43</v>
      </c>
      <c r="E34" s="105" t="s">
        <v>1</v>
      </c>
      <c r="F34" s="105" t="s">
        <v>6</v>
      </c>
    </row>
    <row r="35" spans="1:6" x14ac:dyDescent="0.25">
      <c r="A35" s="6">
        <v>20220131</v>
      </c>
      <c r="B35" s="6">
        <v>20220131</v>
      </c>
      <c r="C35" s="44" t="s">
        <v>86</v>
      </c>
      <c r="D35" s="6" t="s">
        <v>77</v>
      </c>
      <c r="E35" s="45">
        <v>100</v>
      </c>
      <c r="F35" s="6">
        <v>1</v>
      </c>
    </row>
    <row r="36" spans="1:6" x14ac:dyDescent="0.25">
      <c r="A36" s="6">
        <v>20220131</v>
      </c>
      <c r="B36" s="6">
        <v>20220131</v>
      </c>
      <c r="C36" s="44" t="s">
        <v>86</v>
      </c>
      <c r="D36" s="6" t="s">
        <v>78</v>
      </c>
      <c r="E36" s="45">
        <v>100000</v>
      </c>
      <c r="F36" s="6">
        <v>1</v>
      </c>
    </row>
    <row r="37" spans="1:6" x14ac:dyDescent="0.25">
      <c r="A37" s="6">
        <v>20220228</v>
      </c>
      <c r="B37" s="6">
        <v>20220215</v>
      </c>
      <c r="C37" s="44" t="s">
        <v>86</v>
      </c>
      <c r="D37" s="6" t="s">
        <v>80</v>
      </c>
      <c r="E37" s="45">
        <v>5000</v>
      </c>
      <c r="F37" s="6">
        <v>1</v>
      </c>
    </row>
    <row r="38" spans="1:6" x14ac:dyDescent="0.25">
      <c r="A38" s="6">
        <v>20220228</v>
      </c>
      <c r="B38" s="6">
        <v>20220228</v>
      </c>
      <c r="C38" s="44" t="s">
        <v>86</v>
      </c>
      <c r="D38" s="6" t="s">
        <v>79</v>
      </c>
      <c r="E38" s="45">
        <v>797.22219999999993</v>
      </c>
      <c r="F38" s="6">
        <v>1</v>
      </c>
    </row>
    <row r="39" spans="1:6" x14ac:dyDescent="0.25">
      <c r="A39" s="6">
        <v>20220331</v>
      </c>
      <c r="B39" s="6">
        <v>20220325</v>
      </c>
      <c r="C39" s="44" t="s">
        <v>86</v>
      </c>
      <c r="D39" s="6" t="s">
        <v>80</v>
      </c>
      <c r="E39" s="45">
        <v>7000</v>
      </c>
      <c r="F39" s="6">
        <v>1</v>
      </c>
    </row>
    <row r="40" spans="1:6" x14ac:dyDescent="0.25">
      <c r="A40" s="6">
        <v>20220331</v>
      </c>
      <c r="B40" s="6">
        <v>20220315</v>
      </c>
      <c r="C40" s="44" t="s">
        <v>86</v>
      </c>
      <c r="D40" s="6" t="s">
        <v>81</v>
      </c>
      <c r="E40" s="45">
        <v>-1305.5555999999999</v>
      </c>
      <c r="F40" s="6">
        <v>1</v>
      </c>
    </row>
    <row r="41" spans="1:6" x14ac:dyDescent="0.25">
      <c r="A41" s="6">
        <v>20220331</v>
      </c>
      <c r="B41" s="6">
        <v>20220315</v>
      </c>
      <c r="C41" s="44" t="s">
        <v>86</v>
      </c>
      <c r="D41" s="6" t="s">
        <v>82</v>
      </c>
      <c r="E41" s="45">
        <v>-194.4444</v>
      </c>
      <c r="F41" s="6">
        <v>1</v>
      </c>
    </row>
    <row r="42" spans="1:6" x14ac:dyDescent="0.25">
      <c r="A42" s="6">
        <v>20220331</v>
      </c>
      <c r="B42" s="6">
        <v>20220315</v>
      </c>
      <c r="C42" s="44" t="s">
        <v>86</v>
      </c>
      <c r="D42" s="6" t="s">
        <v>83</v>
      </c>
      <c r="E42" s="45">
        <v>1500</v>
      </c>
      <c r="F42" s="6">
        <v>1</v>
      </c>
    </row>
    <row r="43" spans="1:6" x14ac:dyDescent="0.25">
      <c r="A43" s="6">
        <v>20220331</v>
      </c>
      <c r="B43" s="6">
        <v>20220331</v>
      </c>
      <c r="C43" s="44" t="s">
        <v>86</v>
      </c>
      <c r="D43" s="6" t="s">
        <v>79</v>
      </c>
      <c r="E43" s="45">
        <v>916.85950000000003</v>
      </c>
      <c r="F43" s="6">
        <v>1</v>
      </c>
    </row>
    <row r="44" spans="1:6" x14ac:dyDescent="0.25">
      <c r="A44" s="6">
        <v>20220430</v>
      </c>
      <c r="B44" s="6">
        <v>20220420</v>
      </c>
      <c r="C44" s="44" t="s">
        <v>86</v>
      </c>
      <c r="D44" s="6" t="s">
        <v>81</v>
      </c>
      <c r="E44" s="45">
        <v>-1098.6111000000001</v>
      </c>
      <c r="F44" s="6">
        <v>1</v>
      </c>
    </row>
    <row r="45" spans="1:6" x14ac:dyDescent="0.25">
      <c r="A45" s="6">
        <v>20220430</v>
      </c>
      <c r="B45" s="6">
        <v>20220420</v>
      </c>
      <c r="C45" s="44" t="s">
        <v>86</v>
      </c>
      <c r="D45" s="6" t="s">
        <v>82</v>
      </c>
      <c r="E45" s="45">
        <v>-901.38890000000004</v>
      </c>
      <c r="F45" s="6">
        <v>1</v>
      </c>
    </row>
    <row r="46" spans="1:6" x14ac:dyDescent="0.25">
      <c r="A46" s="6">
        <v>20220430</v>
      </c>
      <c r="B46" s="6">
        <v>20220420</v>
      </c>
      <c r="C46" s="44" t="s">
        <v>86</v>
      </c>
      <c r="D46" s="6" t="s">
        <v>83</v>
      </c>
      <c r="E46" s="45">
        <v>1500</v>
      </c>
      <c r="F46" s="6">
        <v>1</v>
      </c>
    </row>
    <row r="47" spans="1:6" x14ac:dyDescent="0.25">
      <c r="A47" s="6">
        <v>20220430</v>
      </c>
      <c r="B47" s="6">
        <v>20220430</v>
      </c>
      <c r="C47" s="44" t="s">
        <v>86</v>
      </c>
      <c r="D47" s="6" t="s">
        <v>79</v>
      </c>
      <c r="E47" s="45">
        <v>928.95869999999991</v>
      </c>
      <c r="F47" s="6">
        <v>1</v>
      </c>
    </row>
    <row r="48" spans="1:6" x14ac:dyDescent="0.25">
      <c r="A48" s="6">
        <v>20220531</v>
      </c>
      <c r="B48" s="6">
        <v>20220531</v>
      </c>
      <c r="C48" s="44" t="s">
        <v>86</v>
      </c>
      <c r="D48" s="6" t="s">
        <v>84</v>
      </c>
      <c r="E48" s="45">
        <v>-1.2343999999999999</v>
      </c>
      <c r="F48" s="6">
        <v>1</v>
      </c>
    </row>
    <row r="49" spans="1:6" x14ac:dyDescent="0.25">
      <c r="A49" s="6">
        <v>20220531</v>
      </c>
      <c r="B49" s="6">
        <v>20220531</v>
      </c>
      <c r="C49" s="44" t="s">
        <v>86</v>
      </c>
      <c r="D49" s="6" t="s">
        <v>85</v>
      </c>
      <c r="E49" s="45">
        <v>-404</v>
      </c>
      <c r="F49" s="6">
        <v>1</v>
      </c>
    </row>
    <row r="50" spans="1:6" x14ac:dyDescent="0.25">
      <c r="A50" s="6">
        <v>20220531</v>
      </c>
      <c r="B50" s="6">
        <v>20220222</v>
      </c>
      <c r="C50" s="44" t="s">
        <v>86</v>
      </c>
      <c r="D50" s="6" t="s">
        <v>83</v>
      </c>
      <c r="E50" s="45">
        <v>400</v>
      </c>
      <c r="F50" s="6">
        <v>1</v>
      </c>
    </row>
    <row r="51" spans="1:6" x14ac:dyDescent="0.25">
      <c r="A51" s="6">
        <v>20220531</v>
      </c>
      <c r="B51" s="6">
        <v>20220531</v>
      </c>
      <c r="C51" s="44" t="s">
        <v>86</v>
      </c>
      <c r="D51" s="6" t="s">
        <v>79</v>
      </c>
      <c r="E51" s="45">
        <v>951.52919999999995</v>
      </c>
      <c r="F51" s="6">
        <v>1</v>
      </c>
    </row>
  </sheetData>
  <mergeCells count="2">
    <mergeCell ref="A1:H1"/>
    <mergeCell ref="A31:H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B9B5-72E8-46E5-A267-FCBEA81EA625}">
  <sheetPr>
    <tabColor rgb="FF00B0F0"/>
  </sheetPr>
  <dimension ref="A1:R21"/>
  <sheetViews>
    <sheetView zoomScaleNormal="100" workbookViewId="0">
      <selection activeCell="H25" sqref="H25"/>
    </sheetView>
  </sheetViews>
  <sheetFormatPr defaultColWidth="8.7109375" defaultRowHeight="15" customHeight="1" x14ac:dyDescent="0.25"/>
  <cols>
    <col min="1" max="2" width="9.7109375" style="53" customWidth="1"/>
    <col min="3" max="3" width="11.42578125" style="53" customWidth="1"/>
    <col min="4" max="4" width="8" style="53" customWidth="1"/>
    <col min="5" max="5" width="27.42578125" style="53" customWidth="1"/>
    <col min="6" max="6" width="8.5703125" style="53" customWidth="1"/>
    <col min="7" max="7" width="8.7109375" style="53"/>
    <col min="8" max="8" width="26.85546875" style="53" customWidth="1"/>
    <col min="9" max="9" width="15.42578125" style="53" customWidth="1"/>
    <col min="10" max="10" width="8.7109375" style="53"/>
    <col min="11" max="11" width="12.85546875" style="53" bestFit="1" customWidth="1"/>
    <col min="12" max="12" width="9.85546875" style="53" bestFit="1" customWidth="1"/>
    <col min="13" max="13" width="19.42578125" style="53" customWidth="1"/>
    <col min="14" max="14" width="12" style="53" customWidth="1"/>
    <col min="15" max="16384" width="8.7109375" style="53"/>
  </cols>
  <sheetData>
    <row r="1" spans="1:18" ht="15.75" thickBot="1" x14ac:dyDescent="0.3">
      <c r="A1" s="134" t="s">
        <v>0</v>
      </c>
      <c r="B1" s="134"/>
      <c r="C1" s="134"/>
      <c r="D1" s="134"/>
      <c r="E1" s="134"/>
      <c r="F1" s="134"/>
      <c r="H1" s="135" t="s">
        <v>21</v>
      </c>
      <c r="I1" s="135"/>
      <c r="M1" s="6" t="s">
        <v>22</v>
      </c>
      <c r="N1" s="6">
        <f>10/1200</f>
        <v>8.3333333333333332E-3</v>
      </c>
      <c r="P1" s="53">
        <v>10</v>
      </c>
      <c r="Q1" s="53">
        <f>P1/100</f>
        <v>0.1</v>
      </c>
      <c r="R1" s="53">
        <f>Q1/360</f>
        <v>2.7777777777777778E-4</v>
      </c>
    </row>
    <row r="2" spans="1:18" x14ac:dyDescent="0.25">
      <c r="A2" s="34" t="s">
        <v>23</v>
      </c>
      <c r="B2" s="34" t="s">
        <v>24</v>
      </c>
      <c r="C2" s="34" t="s">
        <v>25</v>
      </c>
      <c r="D2" s="34" t="s">
        <v>26</v>
      </c>
      <c r="E2" s="34" t="s">
        <v>1</v>
      </c>
      <c r="F2" s="34" t="s">
        <v>27</v>
      </c>
      <c r="G2" s="34" t="s">
        <v>12</v>
      </c>
      <c r="H2" s="108" t="s">
        <v>28</v>
      </c>
      <c r="I2" s="108" t="s">
        <v>29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6" t="s">
        <v>32</v>
      </c>
      <c r="G4" s="4"/>
      <c r="H4" s="76">
        <f>E3</f>
        <v>100000</v>
      </c>
      <c r="I4" s="76">
        <f>E4</f>
        <v>100</v>
      </c>
    </row>
    <row r="5" spans="1:18" x14ac:dyDescent="0.25">
      <c r="A5" s="1">
        <v>44620</v>
      </c>
      <c r="B5" s="1">
        <v>44613</v>
      </c>
      <c r="C5" s="6" t="s">
        <v>34</v>
      </c>
      <c r="D5" s="6" t="s">
        <v>33</v>
      </c>
      <c r="E5" s="6">
        <f>H5*N2*G5</f>
        <v>583.33333333333337</v>
      </c>
      <c r="F5" s="6" t="s">
        <v>32</v>
      </c>
      <c r="G5" s="53">
        <v>21</v>
      </c>
      <c r="H5" s="76">
        <f>H4</f>
        <v>100000</v>
      </c>
      <c r="I5" s="76">
        <f>E5+I4</f>
        <v>683.33333333333337</v>
      </c>
    </row>
    <row r="6" spans="1:18" x14ac:dyDescent="0.25">
      <c r="A6" s="1">
        <v>44620</v>
      </c>
      <c r="B6" s="1">
        <v>44614</v>
      </c>
      <c r="C6" s="59" t="s">
        <v>35</v>
      </c>
      <c r="D6" s="6"/>
      <c r="E6" s="6">
        <v>400</v>
      </c>
      <c r="F6" s="6" t="s">
        <v>32</v>
      </c>
      <c r="H6" s="76">
        <f>H5</f>
        <v>100000</v>
      </c>
      <c r="I6" s="76">
        <f>I5</f>
        <v>683.33333333333337</v>
      </c>
    </row>
    <row r="7" spans="1:18" x14ac:dyDescent="0.25">
      <c r="A7" s="1">
        <v>44651</v>
      </c>
      <c r="B7" s="1">
        <v>44614</v>
      </c>
      <c r="C7" s="6" t="s">
        <v>36</v>
      </c>
      <c r="D7" s="6" t="s">
        <v>33</v>
      </c>
      <c r="E7" s="6">
        <v>-400</v>
      </c>
      <c r="F7" s="6"/>
      <c r="H7" s="76">
        <f>H6</f>
        <v>100000</v>
      </c>
      <c r="I7" s="76">
        <f>I6+E7</f>
        <v>283.33333333333337</v>
      </c>
    </row>
    <row r="8" spans="1:18" x14ac:dyDescent="0.25">
      <c r="A8" s="1">
        <v>44620</v>
      </c>
      <c r="B8" s="1">
        <v>44620</v>
      </c>
      <c r="C8" s="6" t="s">
        <v>34</v>
      </c>
      <c r="D8" s="6" t="s">
        <v>33</v>
      </c>
      <c r="E8" s="37">
        <f>H8*$N$2*G8</f>
        <v>194.44444444444446</v>
      </c>
      <c r="F8" s="6" t="s">
        <v>32</v>
      </c>
      <c r="G8" s="121">
        <v>7</v>
      </c>
      <c r="H8" s="76">
        <f>H4</f>
        <v>100000</v>
      </c>
      <c r="I8" s="76">
        <f>E8+I7</f>
        <v>477.77777777777783</v>
      </c>
      <c r="N8" s="35"/>
    </row>
    <row r="9" spans="1:18" x14ac:dyDescent="0.25">
      <c r="A9" s="1">
        <v>44651</v>
      </c>
      <c r="B9" s="1">
        <v>44634</v>
      </c>
      <c r="C9" s="6" t="s">
        <v>34</v>
      </c>
      <c r="D9" s="6" t="s">
        <v>33</v>
      </c>
      <c r="E9" s="37">
        <f>H9*$N$2*G9</f>
        <v>388.88888888888891</v>
      </c>
      <c r="F9" s="6" t="s">
        <v>32</v>
      </c>
      <c r="G9" s="121">
        <f>B9-B8</f>
        <v>14</v>
      </c>
      <c r="H9" s="76">
        <f>H8</f>
        <v>100000</v>
      </c>
      <c r="I9" s="45">
        <f>I8+E9</f>
        <v>866.66666666666674</v>
      </c>
      <c r="J9" s="36"/>
    </row>
    <row r="10" spans="1:18" x14ac:dyDescent="0.25">
      <c r="A10" s="1">
        <v>44651</v>
      </c>
      <c r="B10" s="1">
        <v>44635</v>
      </c>
      <c r="C10" s="6" t="s">
        <v>35</v>
      </c>
      <c r="D10" s="6"/>
      <c r="E10" s="37">
        <v>1500</v>
      </c>
      <c r="F10" s="6" t="s">
        <v>32</v>
      </c>
      <c r="G10" s="121"/>
      <c r="H10" s="76">
        <f>H8</f>
        <v>100000</v>
      </c>
      <c r="I10" s="109">
        <f>I9</f>
        <v>866.66666666666674</v>
      </c>
    </row>
    <row r="11" spans="1:18" x14ac:dyDescent="0.25">
      <c r="A11" s="1">
        <v>44651</v>
      </c>
      <c r="B11" s="1">
        <v>44635</v>
      </c>
      <c r="C11" s="6" t="s">
        <v>36</v>
      </c>
      <c r="D11" s="6" t="s">
        <v>28</v>
      </c>
      <c r="E11" s="37">
        <f>-(E12+E10)</f>
        <v>-633.33333333333326</v>
      </c>
      <c r="F11" s="6" t="s">
        <v>32</v>
      </c>
      <c r="G11" s="4"/>
      <c r="H11" s="76">
        <f>H10+E11</f>
        <v>99366.666666666672</v>
      </c>
      <c r="I11" s="76">
        <f>I10</f>
        <v>866.66666666666674</v>
      </c>
    </row>
    <row r="12" spans="1:18" x14ac:dyDescent="0.25">
      <c r="A12" s="1">
        <v>44651</v>
      </c>
      <c r="B12" s="1">
        <v>44635</v>
      </c>
      <c r="C12" s="6" t="s">
        <v>36</v>
      </c>
      <c r="D12" s="6" t="s">
        <v>33</v>
      </c>
      <c r="E12" s="37">
        <f>-MIN(I10,E10)</f>
        <v>-866.66666666666674</v>
      </c>
      <c r="F12" s="6" t="s">
        <v>32</v>
      </c>
      <c r="G12" s="121"/>
      <c r="H12" s="76">
        <f>H11</f>
        <v>99366.666666666672</v>
      </c>
      <c r="I12" s="76">
        <f>I11+E12</f>
        <v>0</v>
      </c>
      <c r="K12" s="14"/>
      <c r="L12" s="35"/>
    </row>
    <row r="13" spans="1:18" x14ac:dyDescent="0.25">
      <c r="A13" s="1">
        <v>44651</v>
      </c>
      <c r="B13" s="1">
        <v>44644</v>
      </c>
      <c r="C13" s="6" t="s">
        <v>34</v>
      </c>
      <c r="D13" s="6" t="s">
        <v>33</v>
      </c>
      <c r="E13" s="37">
        <f>H13*$N$2*G13</f>
        <v>276.01851851851853</v>
      </c>
      <c r="F13" s="6" t="s">
        <v>32</v>
      </c>
      <c r="G13" s="121">
        <f>B14-B12</f>
        <v>10</v>
      </c>
      <c r="H13" s="76">
        <f>H12</f>
        <v>99366.666666666672</v>
      </c>
      <c r="I13" s="76">
        <f>E13+I12</f>
        <v>276.01851851851853</v>
      </c>
    </row>
    <row r="14" spans="1:18" x14ac:dyDescent="0.25">
      <c r="A14" s="1">
        <v>44651</v>
      </c>
      <c r="B14" s="1">
        <v>44645</v>
      </c>
      <c r="C14" s="6" t="s">
        <v>44</v>
      </c>
      <c r="D14" s="6" t="s">
        <v>28</v>
      </c>
      <c r="E14" s="37">
        <v>7000</v>
      </c>
      <c r="F14" s="6" t="s">
        <v>32</v>
      </c>
      <c r="G14" s="121"/>
      <c r="H14" s="76">
        <f>H13+E14</f>
        <v>106366.66666666667</v>
      </c>
      <c r="I14" s="76">
        <f>I13</f>
        <v>276.01851851851853</v>
      </c>
      <c r="J14" s="36"/>
    </row>
    <row r="15" spans="1:18" x14ac:dyDescent="0.25">
      <c r="A15" s="1">
        <v>44651</v>
      </c>
      <c r="B15" s="1">
        <v>44651</v>
      </c>
      <c r="C15" s="6" t="s">
        <v>34</v>
      </c>
      <c r="D15" s="6" t="s">
        <v>33</v>
      </c>
      <c r="E15" s="37">
        <f>H15*N2*G15</f>
        <v>206.82407407407408</v>
      </c>
      <c r="F15" s="6" t="s">
        <v>32</v>
      </c>
      <c r="G15" s="121">
        <f>B15-B14+1</f>
        <v>7</v>
      </c>
      <c r="H15" s="76">
        <f>H14</f>
        <v>106366.66666666667</v>
      </c>
      <c r="I15" s="76">
        <f>E15+I14</f>
        <v>482.84259259259261</v>
      </c>
    </row>
    <row r="16" spans="1:18" x14ac:dyDescent="0.25">
      <c r="A16" s="1">
        <v>44681</v>
      </c>
      <c r="B16" s="1">
        <v>44670</v>
      </c>
      <c r="C16" s="6" t="s">
        <v>34</v>
      </c>
      <c r="D16" s="6" t="s">
        <v>33</v>
      </c>
      <c r="E16" s="37">
        <f>H16*N2*G16</f>
        <v>561.37962962962968</v>
      </c>
      <c r="F16" s="6" t="s">
        <v>32</v>
      </c>
      <c r="G16" s="4">
        <f>B16-B15</f>
        <v>19</v>
      </c>
      <c r="H16" s="76">
        <f>H15</f>
        <v>106366.66666666667</v>
      </c>
      <c r="I16" s="76">
        <f>I15+E16</f>
        <v>1044.2222222222222</v>
      </c>
    </row>
    <row r="17" spans="1:12" x14ac:dyDescent="0.25">
      <c r="A17" s="1">
        <v>44681</v>
      </c>
      <c r="B17" s="1">
        <v>44671</v>
      </c>
      <c r="C17" s="6" t="s">
        <v>35</v>
      </c>
      <c r="D17" s="6"/>
      <c r="E17" s="37">
        <v>2000</v>
      </c>
      <c r="F17" s="6" t="s">
        <v>32</v>
      </c>
      <c r="G17" s="4"/>
      <c r="H17" s="76">
        <f>H16</f>
        <v>106366.66666666667</v>
      </c>
      <c r="I17" s="76">
        <f>I16</f>
        <v>1044.2222222222222</v>
      </c>
    </row>
    <row r="18" spans="1:12" x14ac:dyDescent="0.25">
      <c r="A18" s="1">
        <v>44681</v>
      </c>
      <c r="B18" s="1">
        <v>44671</v>
      </c>
      <c r="C18" s="6" t="s">
        <v>36</v>
      </c>
      <c r="D18" s="6" t="s">
        <v>28</v>
      </c>
      <c r="E18" s="37">
        <f>-(E19+E17)</f>
        <v>-955.77777777777783</v>
      </c>
      <c r="F18" s="6" t="s">
        <v>32</v>
      </c>
      <c r="G18" s="4"/>
      <c r="H18" s="76">
        <f>H17+E18</f>
        <v>105410.88888888889</v>
      </c>
      <c r="I18" s="76">
        <f>I17</f>
        <v>1044.2222222222222</v>
      </c>
      <c r="J18" s="36"/>
      <c r="K18" s="36"/>
      <c r="L18" s="35"/>
    </row>
    <row r="19" spans="1:12" ht="15" customHeight="1" x14ac:dyDescent="0.25">
      <c r="A19" s="1">
        <v>44681</v>
      </c>
      <c r="B19" s="1">
        <v>44671</v>
      </c>
      <c r="C19" s="6" t="s">
        <v>36</v>
      </c>
      <c r="D19" s="6" t="s">
        <v>33</v>
      </c>
      <c r="E19" s="37">
        <f>-I18</f>
        <v>-1044.2222222222222</v>
      </c>
      <c r="F19" s="6" t="s">
        <v>32</v>
      </c>
      <c r="G19" s="121"/>
      <c r="H19" s="76">
        <f>H18</f>
        <v>105410.88888888889</v>
      </c>
      <c r="I19" s="76">
        <f>I18+E19</f>
        <v>0</v>
      </c>
    </row>
    <row r="20" spans="1:12" ht="15" customHeight="1" x14ac:dyDescent="0.25">
      <c r="A20" s="1">
        <v>44681</v>
      </c>
      <c r="B20" s="1">
        <v>44681</v>
      </c>
      <c r="C20" s="6" t="s">
        <v>34</v>
      </c>
      <c r="D20" s="6" t="s">
        <v>33</v>
      </c>
      <c r="E20" s="37">
        <f>H20*N2*G20</f>
        <v>322.08882716049385</v>
      </c>
      <c r="F20" s="6" t="s">
        <v>32</v>
      </c>
      <c r="G20" s="4">
        <v>11</v>
      </c>
      <c r="H20" s="110">
        <f>H19</f>
        <v>105410.88888888889</v>
      </c>
      <c r="I20" s="110">
        <f>I19+E20</f>
        <v>322.08882716049385</v>
      </c>
    </row>
    <row r="21" spans="1:12" ht="15" customHeight="1" x14ac:dyDescent="0.25">
      <c r="A21" s="1">
        <v>44712</v>
      </c>
      <c r="B21" s="1">
        <v>44712</v>
      </c>
      <c r="C21" s="6" t="s">
        <v>34</v>
      </c>
      <c r="D21" s="6" t="s">
        <v>33</v>
      </c>
      <c r="E21" s="6">
        <f>H21*N2*31</f>
        <v>907.70487654320993</v>
      </c>
      <c r="F21" s="6" t="str">
        <f>F20</f>
        <v>New</v>
      </c>
      <c r="H21" s="76">
        <f>H20</f>
        <v>105410.88888888889</v>
      </c>
      <c r="I21" s="76">
        <f>E21+I20</f>
        <v>1229.7937037037038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TRANX</vt:lpstr>
      <vt:lpstr>EOD</vt:lpstr>
      <vt:lpstr>REPLAY</vt:lpstr>
      <vt:lpstr>EXPECTED</vt:lpstr>
      <vt:lpstr>Scenario</vt:lpstr>
      <vt:lpstr>CALCULATION</vt:lpstr>
      <vt:lpstr>o_Transaction</vt:lpstr>
      <vt:lpstr>Scenario2</vt:lpstr>
      <vt:lpstr>EXPECTED2</vt:lpstr>
      <vt:lpstr>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2025-12-30T15:26:57Z</dcterms:modified>
  <dc:language>en-US</dc:language>
</cp:coreProperties>
</file>