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7D90EED4-853E-470E-B828-6A604A5AB56F}" xr6:coauthVersionLast="47" xr6:coauthVersionMax="47" xr10:uidLastSave="{00000000-0000-0000-0000-000000000000}"/>
  <bookViews>
    <workbookView xWindow="-120" yWindow="-120" windowWidth="29040" windowHeight="17520" tabRatio="500" activeTab="5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Scenario" sheetId="30" r:id="rId5"/>
    <sheet name="CALCULATION" sheetId="36" r:id="rId6"/>
    <sheet name="o_Transaction" sheetId="7" r:id="rId7"/>
    <sheet name="Scenario2" sheetId="39" r:id="rId8"/>
    <sheet name="EXPECTED2" sheetId="40" r:id="rId9"/>
    <sheet name="Check" sheetId="41" r:id="rId10"/>
  </sheets>
  <definedNames>
    <definedName name="_xlnm._FilterDatabase" localSheetId="9" hidden="1">Check!$A$2:$F$2</definedName>
    <definedName name="_xlnm._FilterDatabase" localSheetId="4" hidden="1">Scenario!$A$2:$F$2</definedName>
    <definedName name="_xlnm._FilterDatabase" localSheetId="7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36" l="1"/>
  <c r="B23" i="36"/>
  <c r="B22" i="36"/>
  <c r="B21" i="36"/>
  <c r="B20" i="36"/>
  <c r="B19" i="36"/>
  <c r="B18" i="36"/>
  <c r="B17" i="36"/>
  <c r="B16" i="36"/>
  <c r="B15" i="36"/>
  <c r="B14" i="36"/>
  <c r="B13" i="36"/>
  <c r="K41" i="39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J23" i="36" l="1"/>
  <c r="B42" i="36"/>
  <c r="N42" i="36" s="1"/>
  <c r="H5" i="41"/>
  <c r="E5" i="41" s="1"/>
  <c r="I5" i="41" s="1"/>
  <c r="E8" i="41"/>
  <c r="H10" i="41"/>
  <c r="H9" i="41"/>
  <c r="E9" i="41" s="1"/>
  <c r="B12" i="36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B43" i="36"/>
  <c r="B44" i="36"/>
  <c r="Q44" i="36" s="1"/>
  <c r="B40" i="36"/>
  <c r="C40" i="36" s="1"/>
  <c r="B41" i="36"/>
  <c r="C41" i="36" s="1"/>
  <c r="V35" i="36"/>
  <c r="C42" i="36" l="1"/>
  <c r="Q42" i="36"/>
  <c r="I9" i="4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N40" i="36"/>
  <c r="Q40" i="36"/>
  <c r="I41" i="36"/>
  <c r="H40" i="36"/>
  <c r="D43" i="36"/>
  <c r="D44" i="36"/>
  <c r="D42" i="36"/>
  <c r="I40" i="36"/>
  <c r="D40" i="36"/>
  <c r="H44" i="36"/>
  <c r="E42" i="36"/>
  <c r="H43" i="36"/>
  <c r="H42" i="36"/>
  <c r="D41" i="36"/>
  <c r="E43" i="36"/>
  <c r="I44" i="36"/>
  <c r="I42" i="36"/>
  <c r="H41" i="36"/>
  <c r="I43" i="36"/>
  <c r="E41" i="36"/>
  <c r="E40" i="36"/>
  <c r="I23" i="36"/>
  <c r="E44" i="36"/>
  <c r="J21" i="36"/>
  <c r="I21" i="36"/>
  <c r="J20" i="36"/>
  <c r="I20" i="36"/>
  <c r="J19" i="36"/>
  <c r="I19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B3" i="36"/>
  <c r="B2" i="36"/>
  <c r="H14" i="41" l="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E15" i="41" l="1"/>
  <c r="I15" i="41" s="1"/>
  <c r="H16" i="41"/>
  <c r="P12" i="36"/>
  <c r="L12" i="36"/>
  <c r="M12" i="36" s="1"/>
  <c r="N12" i="36" s="1"/>
  <c r="O12" i="36" s="1"/>
  <c r="S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F33" i="36"/>
  <c r="G33" i="36"/>
  <c r="H33" i="36"/>
  <c r="J17" i="36"/>
  <c r="I17" i="36"/>
  <c r="J16" i="36"/>
  <c r="I16" i="36"/>
  <c r="J15" i="36"/>
  <c r="I15" i="36"/>
  <c r="J14" i="36"/>
  <c r="I14" i="36"/>
  <c r="F13" i="36"/>
  <c r="G13" i="36" s="1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E16" i="41" l="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J33" i="36"/>
  <c r="S33" i="36" s="1"/>
  <c r="E19" i="41" l="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T33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R33" i="36"/>
  <c r="K33" i="36"/>
  <c r="H13" i="36"/>
  <c r="K13" i="36" s="1"/>
  <c r="I19" i="41" l="1"/>
  <c r="I20" i="41" s="1"/>
  <c r="H35" i="39"/>
  <c r="E34" i="39"/>
  <c r="I33" i="39"/>
  <c r="P13" i="36"/>
  <c r="L13" i="36"/>
  <c r="D18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I16" i="30"/>
  <c r="L43" i="36" l="1"/>
  <c r="L41" i="36"/>
  <c r="L42" i="36"/>
  <c r="L39" i="36"/>
  <c r="L44" i="36"/>
  <c r="L40" i="36"/>
  <c r="L33" i="36"/>
  <c r="N33" i="36" s="1"/>
  <c r="F34" i="36" s="1"/>
  <c r="L35" i="36"/>
  <c r="L36" i="36"/>
  <c r="L37" i="36"/>
  <c r="L38" i="36"/>
  <c r="E53" i="36"/>
  <c r="L34" i="36"/>
  <c r="D28" i="36"/>
  <c r="M41" i="36" l="1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<sst xmlns="http://schemas.openxmlformats.org/spreadsheetml/2006/main" count="513" uniqueCount="89">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</sst>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2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E12" sqref="E1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46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50</v>
      </c>
      <c r="G1" s="61" t="s">
        <v>87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workbookViewId="0">
      <selection activeCell="A2" sqref="A2:XFD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46</v>
      </c>
      <c r="G1" s="60" t="s">
        <v>49</v>
      </c>
      <c r="H1" s="13" t="s">
        <v>88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49"/>
  <sheetViews>
    <sheetView workbookViewId="0">
      <selection activeCell="C23" sqref="C23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2" spans="1:8" s="53" customFormat="1" x14ac:dyDescent="0.25"/>
    <row r="3" spans="1:8" s="53" customFormat="1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88" t="s">
        <v>5</v>
      </c>
      <c r="D5" s="88" t="s">
        <v>6</v>
      </c>
      <c r="E5" s="88" t="s">
        <v>40</v>
      </c>
      <c r="F5" s="88" t="s">
        <v>46</v>
      </c>
      <c r="G5" s="88" t="s">
        <v>49</v>
      </c>
      <c r="H5" s="89" t="s">
        <v>88</v>
      </c>
    </row>
    <row r="6" spans="1:8" x14ac:dyDescent="0.25">
      <c r="A6" s="83">
        <v>44712</v>
      </c>
      <c r="B6" s="84">
        <v>44614</v>
      </c>
      <c r="C6" s="75" t="s">
        <v>45</v>
      </c>
      <c r="D6" s="75">
        <v>1</v>
      </c>
      <c r="E6" s="85">
        <v>400</v>
      </c>
      <c r="F6" s="85"/>
      <c r="G6" s="85">
        <v>100000</v>
      </c>
      <c r="H6" s="86">
        <v>100</v>
      </c>
    </row>
    <row r="7" spans="1:8" x14ac:dyDescent="0.25">
      <c r="A7" s="79">
        <v>44712</v>
      </c>
      <c r="B7" s="80">
        <v>44635</v>
      </c>
      <c r="C7" s="6" t="s">
        <v>45</v>
      </c>
      <c r="D7" s="6">
        <v>1</v>
      </c>
      <c r="E7" s="81">
        <v>1500</v>
      </c>
      <c r="F7" s="81"/>
      <c r="G7" s="82"/>
      <c r="H7" s="82"/>
    </row>
    <row r="8" spans="1:8" x14ac:dyDescent="0.25">
      <c r="A8" s="79">
        <v>44712</v>
      </c>
      <c r="B8" s="80">
        <v>44645</v>
      </c>
      <c r="C8" s="6" t="s">
        <v>45</v>
      </c>
      <c r="D8" s="6">
        <v>1</v>
      </c>
      <c r="E8" s="81"/>
      <c r="F8" s="82">
        <v>7000</v>
      </c>
      <c r="G8" s="81"/>
      <c r="H8" s="81"/>
    </row>
    <row r="9" spans="1:8" x14ac:dyDescent="0.25">
      <c r="A9" s="79">
        <v>44712</v>
      </c>
      <c r="B9" s="80">
        <v>44671</v>
      </c>
      <c r="C9" s="6" t="s">
        <v>45</v>
      </c>
      <c r="D9" s="59">
        <v>1</v>
      </c>
      <c r="E9" s="81">
        <v>2000</v>
      </c>
      <c r="F9" s="81"/>
      <c r="G9" s="82"/>
      <c r="H9" s="82"/>
    </row>
    <row r="10" spans="1:8" x14ac:dyDescent="0.25">
      <c r="A10" s="79">
        <v>44712</v>
      </c>
      <c r="B10" s="80">
        <v>44712</v>
      </c>
      <c r="C10" s="6" t="s">
        <v>45</v>
      </c>
      <c r="D10" s="59">
        <v>1</v>
      </c>
      <c r="E10" s="81"/>
      <c r="F10" s="81"/>
      <c r="G10" s="81"/>
      <c r="H10" s="81"/>
    </row>
    <row r="12" spans="1:8" ht="21" x14ac:dyDescent="0.35">
      <c r="A12" s="90" t="s">
        <v>38</v>
      </c>
    </row>
    <row r="13" spans="1:8" ht="15.75" thickBot="1" x14ac:dyDescent="0.3"/>
    <row r="14" spans="1:8" ht="15.75" thickBot="1" x14ac:dyDescent="0.3">
      <c r="A14" s="91" t="s">
        <v>48</v>
      </c>
      <c r="B14" s="92" t="s">
        <v>20</v>
      </c>
      <c r="C14" s="88" t="s">
        <v>5</v>
      </c>
      <c r="D14" s="88" t="s">
        <v>6</v>
      </c>
      <c r="E14" s="92" t="s">
        <v>40</v>
      </c>
      <c r="F14" s="93" t="s">
        <v>46</v>
      </c>
    </row>
    <row r="15" spans="1:8" x14ac:dyDescent="0.25">
      <c r="A15" s="96">
        <v>44651</v>
      </c>
      <c r="B15" s="97">
        <v>44635</v>
      </c>
      <c r="C15" s="6" t="s">
        <v>45</v>
      </c>
      <c r="D15" s="6">
        <v>1</v>
      </c>
      <c r="E15" s="98">
        <v>1500</v>
      </c>
      <c r="F15" s="98"/>
    </row>
    <row r="16" spans="1:8" x14ac:dyDescent="0.25">
      <c r="A16" s="96">
        <v>44651</v>
      </c>
      <c r="B16" s="97">
        <v>44645</v>
      </c>
      <c r="C16" s="6" t="s">
        <v>45</v>
      </c>
      <c r="D16" s="6">
        <v>1</v>
      </c>
      <c r="E16" s="98"/>
      <c r="F16" s="98">
        <v>7000</v>
      </c>
    </row>
    <row r="17" spans="1:8" x14ac:dyDescent="0.25">
      <c r="A17" s="96">
        <v>44681</v>
      </c>
      <c r="B17" s="97">
        <v>44671</v>
      </c>
      <c r="C17" s="6" t="s">
        <v>45</v>
      </c>
      <c r="D17" s="59">
        <v>1</v>
      </c>
      <c r="E17" s="98">
        <v>2000</v>
      </c>
      <c r="F17" s="98"/>
    </row>
    <row r="18" spans="1:8" x14ac:dyDescent="0.25">
      <c r="A18" s="99">
        <v>44712</v>
      </c>
      <c r="B18" s="100">
        <v>44614</v>
      </c>
      <c r="C18" s="6" t="s">
        <v>45</v>
      </c>
      <c r="D18" s="59">
        <v>1</v>
      </c>
      <c r="E18" s="101">
        <v>400</v>
      </c>
      <c r="F18" s="101"/>
    </row>
    <row r="20" spans="1:8" ht="21" x14ac:dyDescent="0.35">
      <c r="A20" s="90" t="s">
        <v>71</v>
      </c>
    </row>
    <row r="21" spans="1:8" ht="15.75" thickBot="1" x14ac:dyDescent="0.3"/>
    <row r="22" spans="1:8" ht="30.75" thickBot="1" x14ac:dyDescent="0.3">
      <c r="A22" s="87" t="s">
        <v>48</v>
      </c>
      <c r="B22" s="92" t="s">
        <v>20</v>
      </c>
      <c r="C22" s="88" t="s">
        <v>5</v>
      </c>
      <c r="D22" s="88" t="s">
        <v>6</v>
      </c>
      <c r="E22" s="88" t="s">
        <v>42</v>
      </c>
      <c r="F22" s="88" t="s">
        <v>49</v>
      </c>
      <c r="G22" s="89" t="s">
        <v>88</v>
      </c>
    </row>
    <row r="23" spans="1:8" x14ac:dyDescent="0.25">
      <c r="A23" s="83">
        <v>44620</v>
      </c>
      <c r="B23" s="83">
        <v>44620</v>
      </c>
      <c r="C23" s="75" t="s">
        <v>45</v>
      </c>
      <c r="D23" s="75">
        <v>1</v>
      </c>
      <c r="E23" s="104">
        <v>10</v>
      </c>
      <c r="F23" s="85">
        <v>100000</v>
      </c>
      <c r="G23" s="85">
        <v>100</v>
      </c>
    </row>
    <row r="24" spans="1:8" x14ac:dyDescent="0.25">
      <c r="A24" s="79">
        <v>44651</v>
      </c>
      <c r="B24" s="79">
        <v>44651</v>
      </c>
      <c r="C24" s="6" t="s">
        <v>45</v>
      </c>
      <c r="D24" s="6">
        <v>1</v>
      </c>
      <c r="E24" s="102">
        <v>10</v>
      </c>
      <c r="F24" s="81">
        <v>100000</v>
      </c>
      <c r="G24" s="81">
        <v>877.77779999999996</v>
      </c>
    </row>
    <row r="25" spans="1:8" x14ac:dyDescent="0.25">
      <c r="A25" s="79">
        <v>44681</v>
      </c>
      <c r="B25" s="79">
        <v>44681</v>
      </c>
      <c r="C25" s="6" t="s">
        <v>45</v>
      </c>
      <c r="D25" s="6">
        <v>1</v>
      </c>
      <c r="E25" s="102">
        <v>10</v>
      </c>
      <c r="F25" s="81">
        <v>106766.6667</v>
      </c>
      <c r="G25" s="81">
        <v>484.73149999999998</v>
      </c>
    </row>
    <row r="26" spans="1:8" x14ac:dyDescent="0.25">
      <c r="A26" s="103">
        <v>44712</v>
      </c>
      <c r="B26" s="103">
        <v>44712</v>
      </c>
      <c r="C26" s="6" t="s">
        <v>45</v>
      </c>
      <c r="D26" s="59">
        <v>1</v>
      </c>
      <c r="E26" s="102">
        <v>10</v>
      </c>
      <c r="F26" s="81">
        <v>105814.88890000001</v>
      </c>
      <c r="G26" s="81">
        <v>323.32330000000002</v>
      </c>
    </row>
    <row r="28" spans="1:8" ht="15.75" thickBot="1" x14ac:dyDescent="0.3"/>
    <row r="29" spans="1:8" ht="27" thickBot="1" x14ac:dyDescent="0.45">
      <c r="A29" s="131" t="s">
        <v>73</v>
      </c>
      <c r="B29" s="132"/>
      <c r="C29" s="132"/>
      <c r="D29" s="132"/>
      <c r="E29" s="132"/>
      <c r="F29" s="132"/>
      <c r="G29" s="132"/>
      <c r="H29" s="133"/>
    </row>
    <row r="32" spans="1:8" x14ac:dyDescent="0.25">
      <c r="A32" s="105" t="s">
        <v>3</v>
      </c>
      <c r="B32" s="105" t="s">
        <v>4</v>
      </c>
      <c r="C32" s="106" t="s">
        <v>5</v>
      </c>
      <c r="D32" s="107" t="s">
        <v>43</v>
      </c>
      <c r="E32" s="105" t="s">
        <v>1</v>
      </c>
      <c r="F32" s="105" t="s">
        <v>6</v>
      </c>
    </row>
    <row r="33" spans="1:6" x14ac:dyDescent="0.25">
      <c r="A33" s="6">
        <v>20220131</v>
      </c>
      <c r="B33" s="6">
        <v>20220131</v>
      </c>
      <c r="C33" s="44" t="s">
        <v>9</v>
      </c>
      <c r="D33" s="6" t="s">
        <v>77</v>
      </c>
      <c r="E33" s="45">
        <v>100</v>
      </c>
      <c r="F33" s="6">
        <v>1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78</v>
      </c>
      <c r="E34" s="45">
        <v>100000</v>
      </c>
      <c r="F34" s="6">
        <v>1</v>
      </c>
    </row>
    <row r="35" spans="1:6" x14ac:dyDescent="0.25">
      <c r="A35" s="6">
        <v>20220228</v>
      </c>
      <c r="B35" s="6">
        <v>20220228</v>
      </c>
      <c r="C35" s="44" t="s">
        <v>9</v>
      </c>
      <c r="D35" s="6" t="s">
        <v>79</v>
      </c>
      <c r="E35" s="45">
        <v>777.77779999999996</v>
      </c>
      <c r="F35" s="6">
        <v>1</v>
      </c>
    </row>
    <row r="36" spans="1:6" x14ac:dyDescent="0.25">
      <c r="A36" s="6">
        <v>20220331</v>
      </c>
      <c r="B36" s="6">
        <v>20220325</v>
      </c>
      <c r="C36" s="44" t="s">
        <v>9</v>
      </c>
      <c r="D36" s="6" t="s">
        <v>80</v>
      </c>
      <c r="E36" s="45">
        <v>7000</v>
      </c>
      <c r="F36" s="6">
        <v>1</v>
      </c>
    </row>
    <row r="37" spans="1:6" x14ac:dyDescent="0.25">
      <c r="A37" s="6">
        <v>20220331</v>
      </c>
      <c r="B37" s="6">
        <v>20220315</v>
      </c>
      <c r="C37" s="44" t="s">
        <v>9</v>
      </c>
      <c r="D37" s="6" t="s">
        <v>81</v>
      </c>
      <c r="E37" s="45">
        <v>-1266.6667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82</v>
      </c>
      <c r="E38" s="45">
        <v>-233.33330000000001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83</v>
      </c>
      <c r="E39" s="45">
        <v>1500</v>
      </c>
      <c r="F39" s="6">
        <v>1</v>
      </c>
    </row>
    <row r="40" spans="1:6" x14ac:dyDescent="0.25">
      <c r="A40" s="6">
        <v>20220331</v>
      </c>
      <c r="B40" s="6">
        <v>20220331</v>
      </c>
      <c r="C40" s="44" t="s">
        <v>9</v>
      </c>
      <c r="D40" s="6" t="s">
        <v>79</v>
      </c>
      <c r="E40" s="45">
        <v>873.6203999999999</v>
      </c>
      <c r="F40" s="6">
        <v>1</v>
      </c>
    </row>
    <row r="41" spans="1:6" x14ac:dyDescent="0.25">
      <c r="A41" s="6">
        <v>20220430</v>
      </c>
      <c r="B41" s="6">
        <v>20220420</v>
      </c>
      <c r="C41" s="44" t="s">
        <v>9</v>
      </c>
      <c r="D41" s="6" t="s">
        <v>81</v>
      </c>
      <c r="E41" s="45">
        <v>-1048.2221999999999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82</v>
      </c>
      <c r="E42" s="45">
        <v>-951.77779999999996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83</v>
      </c>
      <c r="E43" s="45">
        <v>1500</v>
      </c>
      <c r="F43" s="6">
        <v>1</v>
      </c>
    </row>
    <row r="44" spans="1:6" x14ac:dyDescent="0.25">
      <c r="A44" s="6">
        <v>20220430</v>
      </c>
      <c r="B44" s="6">
        <v>20220430</v>
      </c>
      <c r="C44" s="44" t="s">
        <v>9</v>
      </c>
      <c r="D44" s="6" t="s">
        <v>79</v>
      </c>
      <c r="E44" s="45">
        <v>886.81399999999996</v>
      </c>
      <c r="F44" s="6">
        <v>1</v>
      </c>
    </row>
    <row r="45" spans="1:6" x14ac:dyDescent="0.25">
      <c r="A45" s="6">
        <v>20220531</v>
      </c>
      <c r="B45" s="6">
        <v>20220531</v>
      </c>
      <c r="C45" s="44" t="s">
        <v>9</v>
      </c>
      <c r="D45" s="6" t="s">
        <v>84</v>
      </c>
      <c r="E45" s="45">
        <v>-1.2343999999999999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85</v>
      </c>
      <c r="E46" s="45">
        <v>-404</v>
      </c>
      <c r="F46" s="6">
        <v>1</v>
      </c>
    </row>
    <row r="47" spans="1:6" x14ac:dyDescent="0.25">
      <c r="A47" s="6">
        <v>20220531</v>
      </c>
      <c r="B47" s="6">
        <v>20220222</v>
      </c>
      <c r="C47" s="44" t="s">
        <v>9</v>
      </c>
      <c r="D47" s="6" t="s">
        <v>83</v>
      </c>
      <c r="E47" s="45">
        <v>400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9</v>
      </c>
      <c r="D48" s="6" t="s">
        <v>79</v>
      </c>
      <c r="E48" s="45">
        <v>907.70489999999995</v>
      </c>
      <c r="F48" s="6">
        <v>1</v>
      </c>
    </row>
    <row r="49" spans="1:1" x14ac:dyDescent="0.25">
      <c r="A49" s="6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9" t="s">
        <v>75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8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8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8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8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8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8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8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44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8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8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8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8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8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8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8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8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8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8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8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8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8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8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8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8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44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8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8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8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8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8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8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8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8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47</v>
      </c>
      <c r="D35" s="6" t="s">
        <v>28</v>
      </c>
      <c r="E35" s="76">
        <f>H34-H17</f>
        <v>-404</v>
      </c>
      <c r="F35" s="114"/>
      <c r="G35" s="4"/>
      <c r="K35" s="128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47</v>
      </c>
      <c r="D36" s="6" t="s">
        <v>2</v>
      </c>
      <c r="E36" s="76">
        <f>I33-I17</f>
        <v>-1.2344444444444207</v>
      </c>
      <c r="F36" s="114"/>
      <c r="G36" s="4"/>
      <c r="K36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tabSelected="1" workbookViewId="0">
      <selection activeCell="B24" sqref="B24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37" t="s">
        <v>58</v>
      </c>
      <c r="B1" s="138"/>
      <c r="C1" s="138"/>
      <c r="D1" s="138"/>
      <c r="E1" s="138"/>
      <c r="F1" s="138"/>
      <c r="G1" s="138"/>
      <c r="H1" s="138"/>
      <c r="I1" s="138"/>
      <c r="J1" s="138"/>
      <c r="K1" s="139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53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IF(EOD!A2="","",EOD!A2)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74</v>
      </c>
      <c r="B6" s="25" t="str">
        <f>IF(MIN(REPLAY!B2:B42)=0,"",MIN(REPLAY!B2:B42))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57</v>
      </c>
      <c r="B7" s="40">
        <f>IF(B6&lt;&gt;"",COUNT(REPLAY!A2:A29)+1,IF(TRANX!A2&lt;&gt;"",COUNT(TRANX!B2:B29),0))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67</v>
      </c>
      <c r="B8" s="40">
        <f>EOD!D2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37" t="s">
        <v>59</v>
      </c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9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IFERROR(IF(A12=0,EOMONTH($B$6,-1)+1,0),0)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IFERROR(IF(B12="","",VLOOKUP($B$6,REPLAY!$B$2:$H$3,6,FALSE)),"")</f>
        <v/>
      </c>
      <c r="G12" s="31">
        <f>IFERROR(IF(OR($B$13="",A12&lt;&gt;1),0,((F12*$B$2)/360)*D11),0)</f>
        <v>0</v>
      </c>
      <c r="H12" s="28" t="str">
        <f>IFERROR(IF(B12="","",IF(B5="","",VLOOKUP($B$6,REPLAY!$B$2:$H$3,7,FALSE)+G12)),"")</f>
        <v/>
      </c>
      <c r="I12" s="6">
        <f ca="1">IF(B12="","",SUMIF(REPLAY!$B$2:$F12,B12,REPLAY!$F$2:$F$13))</f>
        <v>0</v>
      </c>
      <c r="J12" s="28">
        <f ca="1">IF(B12="","",SUMIF(REPLAY!$B$2:$E$13,B12,REPLAY!$E$2:$E$13))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IF(A13&gt;$B$7,"",IF(AND(A13=$B$7,REPLAY!$A$2&lt;&gt;""),EOMONTH($B$5,-1),REPLAY!B2))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>IFERROR(IF(B13="","",VLOOKUP(B13,REPLAY!$B$2:$H$3,6,FALSE)),"")</f>
        <v/>
      </c>
      <c r="G13" s="31">
        <f>IFERROR(IF(OR($B$13="",A13&lt;&gt;1),0,((F13*$B$2)/360)*D12),0)</f>
        <v>0</v>
      </c>
      <c r="H13" s="28" t="str">
        <f>IFERROR(IF(B13="","",IF(B6="","",VLOOKUP(B13,REPLAY!$B$2:$H$3,7,FALSE)+G13)),"")</f>
        <v/>
      </c>
      <c r="I13" s="6" t="str">
        <f>IF(B13="","",SUMIF(REPLAY!$B$2:$F13,B13,REPLAY!$F$2:$F$13))</f>
        <v/>
      </c>
      <c r="J13" s="28" t="str">
        <f>IF(B13="","",SUMIF(REPLAY!$B$2:$E$13,B13,REPLAY!$E$2:$E$13))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4" si="7">IF(B14="","",M13)</f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IF(B14="","",SUMIF(REPLAY!$B$2:$EF14,B14,REPLAY!$F$2:$F$13))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IF(B15="","",SUMIF(REPLAY!$B$2:$EF15,B15,REPLAY!$F$2:$F$13))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IF(B16="","",SUMIF(REPLAY!$B$2:$EF16,B16,REPLAY!$F$2:$F$13))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IF(B17="","",SUMIF(REPLAY!$B$2:$EF17,B17,REPLAY!$F$2:$F$13))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IF(A18&gt;$B$7,"",IF(AND(A18=$B$7,REPLAY!$A$2&lt;&gt;""),EOMONTH($B$5,-1),REPLAY!B7))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IF(B18="","",SUMIF(REPLAY!$B$2:$EF18,B18,REPLAY!$F$2:$F$13))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IF(B19="","",SUMIF(REPLAY!$B$2:$EF19,B19,REPLAY!$F$2:$F$13))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IF(A20&gt;$B$7,"",IF(AND(A20=$B$7,REPLAY!$A$2&lt;&gt;""),EOMONTH($B$5,-1),REPLAY!B9))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IF(B20="","",SUMIF(REPLAY!$B$2:$EF20,B20,REPLAY!$F$2:$F$13))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IF(A21&gt;$B$7,"",IF(AND(A21=$B$7,REPLAY!$A$2&lt;&gt;""),EOMONTH($B$5,-1),REPLAY!B10))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IF(B21="","",SUMIF(REPLAY!$B$2:$EF21,B21,REPLAY!$F$2:$F$13))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IF(A22&gt;$B$7,"",IF(AND(A22=$B$7,REPLAY!$A$2&lt;&gt;""),EOMONTH($B$5,-1),REPLAY!B11))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IF(B22="","",SUMIF(REPLAY!$B$2:$EF22,B22,REPLAY!$F$2:$F$13))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IF(A23&gt;$B$7,"",IF(AND(A23=$B$7,REPLAY!$A$2&lt;&gt;""),EOMONTH($B$5,-1),REPLAY!B12))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IF(B23="","",SUMIF(REPLAY!$B$2:$EF23,B23,REPLAY!$F$2:$F$13))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IF(A24&gt;$B$7,"",IF(AND(A24=$B$7,REPLAY!$A$2&lt;&gt;""),EOMONTH($B$5,-1),REPLAY!B13))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IF(B24="","",SUMIF(REPLAY!$B$2:$EF24,B24,REPLAY!$F$2:$F$13))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IF(M25=0,0,EOD!F2)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IF(O25=0,0,EOD!G2)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37" t="s">
        <v>60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9"/>
    </row>
    <row r="32" spans="1:23" ht="60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30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V32" s="10" t="s">
        <v>62</v>
      </c>
      <c r="W32" s="10" t="s">
        <v>61</v>
      </c>
    </row>
    <row r="33" spans="1:23" x14ac:dyDescent="0.25">
      <c r="A33" s="6">
        <v>0</v>
      </c>
      <c r="B33" s="27" t="str">
        <f>IFERROR(IF(A33=0,EOMONTH($B$5,-1)+1,IF(A33&gt;$B$7,"",IF(TRANX!$B$2="",CALCULATION!$B$5,VLOOKUP(A33,$V$33:$W$44,2,FALSE)))),"")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IFERROR(IF(B33="","",VLOOKUP(B5,EOD!$B$2:$G$15,5,FALSE)),"")</f>
        <v/>
      </c>
      <c r="G33" s="28" t="str">
        <f>IFERROR(IF(B33="","",VLOOKUP(B5,EOD!$B$2:$G$15,6,FALSE)),"")</f>
        <v/>
      </c>
      <c r="H33" s="6" t="str">
        <f>IF(B33="","",SUMIF(TRANX!$B$2:$F$13,B33,TRANX!$F$2:$F$13))</f>
        <v/>
      </c>
      <c r="I33" s="28" t="str">
        <f>IF(B33="","",SUMIF(TRANX!$B$2:$E$13,B33,TRANX!$E$2:$E$13))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IF(TRANX!B2="","",IF(TRANX!B2&gt;EOMONTH($B$5,-1)+1,TRANX!B2,""))</f>
        <v/>
      </c>
    </row>
    <row r="34" spans="1:23" x14ac:dyDescent="0.25">
      <c r="A34" s="6">
        <v>1</v>
      </c>
      <c r="B34" s="27" t="str">
        <f>IFERROR(IF(A34=0,EOMONTH($B$5,-1)+1,IF(A34&gt;$B$7,"",IF(TRANX!$B$2="",CALCULATION!$B$5,VLOOKUP(A34,$V$33:$W$44,2,FALSE)))),"")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IF(TRANX!B3="","",IF(TRANX!B3&gt;EOMONTH($B$5,-1)+1,TRANX!B3,""))</f>
        <v/>
      </c>
    </row>
    <row r="35" spans="1:23" x14ac:dyDescent="0.25">
      <c r="A35" s="6">
        <v>2</v>
      </c>
      <c r="B35" s="27" t="str">
        <f>IFERROR(IF(A35=0,EOMONTH($B$5,-1)+1,IF(A35&gt;$B$7,"",IF(TRANX!$B$2="",CALCULATION!$B$5,VLOOKUP(A35,$V$33:$W$44,2,FALSE)))),"")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IF(TRANX!B4="","",IF(TRANX!B4&gt;EOMONTH($B$5,-1)+1,TRANX!B4,""))</f>
        <v/>
      </c>
    </row>
    <row r="36" spans="1:23" x14ac:dyDescent="0.25">
      <c r="A36" s="6">
        <v>3</v>
      </c>
      <c r="B36" s="27" t="str">
        <f>IFERROR(IF(A36=0,EOMONTH($B$5,-1)+1,IF(A36&gt;$B$7,"",IF(TRANX!$B$2="",CALCULATION!$B$5,VLOOKUP(A36,$V$33:$W$44,2,FALSE)))),"")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IF(TRANX!B5="","",IF(TRANX!B5&gt;EOMONTH($B$5,-1)+1,TRANX!B5,""))</f>
        <v/>
      </c>
    </row>
    <row r="37" spans="1:23" x14ac:dyDescent="0.25">
      <c r="A37" s="6">
        <v>4</v>
      </c>
      <c r="B37" s="27" t="str">
        <f>IFERROR(IF(A37=0,EOMONTH($B$5,-1)+1,IF(A37&gt;$B$7,"",IF(TRANX!$B$2="",CALCULATION!$B$5,VLOOKUP(A37,$V$33:$W$44,2,FALSE)))),"")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IF(TRANX!B6="","",IF(TRANX!B6&gt;EOMONTH($B$5,-1)+1,TRANX!B6,""))</f>
        <v/>
      </c>
    </row>
    <row r="38" spans="1:23" x14ac:dyDescent="0.25">
      <c r="A38" s="6">
        <v>5</v>
      </c>
      <c r="B38" s="27" t="str">
        <f>IFERROR(IF(A38=0,EOMONTH($B$5,-1)+1,IF(A38&gt;$B$7,"",IF(TRANX!$B$2="",CALCULATION!$B$5,VLOOKUP(A38,$V$33:$W$44,2,FALSE)))),"")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IF(TRANX!B7="","",IF(TRANX!B7&gt;EOMONTH($B$5,-1)+1,TRANX!B7,""))</f>
        <v/>
      </c>
    </row>
    <row r="39" spans="1:23" x14ac:dyDescent="0.25">
      <c r="A39" s="6">
        <v>6</v>
      </c>
      <c r="B39" s="27" t="str">
        <f>IFERROR(IF(A39=0,EOMONTH($B$5,-1)+1,IF(A39&gt;$B$7,"",IF(TRANX!$B$2="",CALCULATION!$B$5,VLOOKUP(A39,$V$33:$W$44,2,FALSE)))),"")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IF(TRANX!B8="","",IF(TRANX!B8&gt;EOMONTH($B$5,-1)+1,TRANX!B8,""))</f>
        <v/>
      </c>
    </row>
    <row r="40" spans="1:23" x14ac:dyDescent="0.25">
      <c r="A40" s="6">
        <v>7</v>
      </c>
      <c r="B40" s="27" t="str">
        <f>IFERROR(IF(A40=0,EOMONTH($B$5,-1)+1,IF(A40&gt;$B$7,"",IF(TRANX!$B$2="",CALCULATION!$B$5,VLOOKUP(A40,$V$33:$W$44,2,FALSE)))),"")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IF(TRANX!B9="","",IF(TRANX!B9&gt;EOMONTH($B$5,-1)+1,TRANX!B9,""))</f>
        <v/>
      </c>
    </row>
    <row r="41" spans="1:23" x14ac:dyDescent="0.25">
      <c r="A41" s="6">
        <v>8</v>
      </c>
      <c r="B41" s="27" t="str">
        <f>IFERROR(IF(A41=0,EOMONTH($B$5,-1)+1,IF(A41&gt;$B$7,"",IF(TRANX!$B$2="",CALCULATION!$B$5,VLOOKUP(A41,$V$33:$W$44,2,FALSE)))),"")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IF(TRANX!B10="","",IF(TRANX!B10&gt;EOMONTH($B$5,-1)+1,TRANX!B10,""))</f>
        <v/>
      </c>
    </row>
    <row r="42" spans="1:23" x14ac:dyDescent="0.25">
      <c r="A42" s="6">
        <v>9</v>
      </c>
      <c r="B42" s="27" t="str">
        <f>IFERROR(IF(A42=0,EOMONTH($B$5,-1)+1,IF(A42&gt;$B$7,"",IF(TRANX!$B$2="",CALCULATION!$B$5,VLOOKUP(A42,$V$33:$W$44,2,FALSE)))),"")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IF(TRANX!B11="","",IF(TRANX!B11&gt;EOMONTH($B$5,-1)+1,TRANX!B11,""))</f>
        <v/>
      </c>
    </row>
    <row r="43" spans="1:23" x14ac:dyDescent="0.25">
      <c r="A43" s="6">
        <v>10</v>
      </c>
      <c r="B43" s="27" t="str">
        <f>IFERROR(IF(A43=0,EOMONTH($B$5,-1)+1,IF(A43&gt;$B$7,"",IF(TRANX!$B$2="",CALCULATION!$B$5,VLOOKUP(A43,$V$33:$W$44,2,FALSE)))),"")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IF(TRANX!B12="","",IF(TRANX!B12&gt;EOMONTH($B$5,-1)+1,TRANX!B12,""))</f>
        <v/>
      </c>
    </row>
    <row r="44" spans="1:23" x14ac:dyDescent="0.25">
      <c r="A44" s="6">
        <v>11</v>
      </c>
      <c r="B44" s="27" t="str">
        <f>IFERROR(IF(A44=0,EOMONTH($B$5,-1)+1,IF(A44&gt;$B$7,"",IF(TRANX!$B$2="",CALCULATION!$B$5,VLOOKUP(A44,$V$33:$W$44,2,FALSE)))),"")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IF(TRANX!B13="","",IF(TRANX!B13&gt;EOMONTH($B$5,-1)+1,TRANX!B13,""))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IFERROR(IF(A45=0,EOMONTH($B$5,-1)+1,IF(A45&gt;$B$7,"",IF(TRANX!$B$2="",CALCULATION!$B$5,VLOOKUP(A45,$V$33:$W$44,2,FALSE)))),"")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36" t="s">
        <v>56</v>
      </c>
      <c r="B48" s="136"/>
      <c r="C48" s="136"/>
      <c r="D48" s="136"/>
      <c r="E48" s="136"/>
      <c r="F48" s="136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8" sqref="E2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43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5" t="s">
        <v>0</v>
      </c>
      <c r="B1" s="135"/>
      <c r="C1" s="135"/>
      <c r="D1" s="135"/>
      <c r="E1" s="135"/>
      <c r="F1" s="135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8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8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44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8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8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8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8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8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8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8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44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8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8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8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8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8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8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8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8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44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8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8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8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8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8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8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8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8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8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8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8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44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8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8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8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8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8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8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8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8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47</v>
      </c>
      <c r="D40" s="6" t="s">
        <v>28</v>
      </c>
      <c r="E40" s="45">
        <f>H39-H19</f>
        <v>-404</v>
      </c>
      <c r="F40" s="6"/>
      <c r="G40" s="4"/>
      <c r="K40" s="128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47</v>
      </c>
      <c r="D41" s="6" t="s">
        <v>2</v>
      </c>
      <c r="E41" s="45">
        <f>I38-I19</f>
        <v>-1.2344444444444207</v>
      </c>
      <c r="F41" s="6"/>
      <c r="G41" s="4"/>
      <c r="K41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workbookViewId="0">
      <selection sqref="A1:H1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3" spans="1:8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124" t="s">
        <v>5</v>
      </c>
      <c r="D5" s="127" t="s">
        <v>6</v>
      </c>
      <c r="E5" s="88" t="s">
        <v>40</v>
      </c>
      <c r="F5" s="89" t="s">
        <v>46</v>
      </c>
      <c r="G5" s="125" t="s">
        <v>49</v>
      </c>
      <c r="H5" s="89" t="s">
        <v>88</v>
      </c>
    </row>
    <row r="6" spans="1:8" x14ac:dyDescent="0.25">
      <c r="A6" s="83">
        <v>44712</v>
      </c>
      <c r="B6" s="84">
        <v>44607</v>
      </c>
      <c r="C6" s="75" t="s">
        <v>45</v>
      </c>
      <c r="D6" s="75">
        <v>1</v>
      </c>
      <c r="E6" s="126"/>
      <c r="F6" s="86">
        <v>5000</v>
      </c>
      <c r="G6" s="85">
        <v>100000</v>
      </c>
      <c r="H6" s="86">
        <v>100</v>
      </c>
    </row>
    <row r="7" spans="1:8" x14ac:dyDescent="0.25">
      <c r="A7" s="83">
        <v>44712</v>
      </c>
      <c r="B7" s="84">
        <v>44614</v>
      </c>
      <c r="C7" s="75" t="s">
        <v>45</v>
      </c>
      <c r="D7" s="75">
        <v>1</v>
      </c>
      <c r="E7" s="85">
        <v>400</v>
      </c>
      <c r="F7" s="85"/>
      <c r="G7" s="85"/>
      <c r="H7" s="86"/>
    </row>
    <row r="8" spans="1:8" x14ac:dyDescent="0.25">
      <c r="A8" s="79">
        <v>44712</v>
      </c>
      <c r="B8" s="80">
        <v>44635</v>
      </c>
      <c r="C8" s="6" t="s">
        <v>45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45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45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45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46</v>
      </c>
    </row>
    <row r="16" spans="1:8" x14ac:dyDescent="0.25">
      <c r="A16" s="96">
        <v>44620</v>
      </c>
      <c r="B16" s="96">
        <v>44607</v>
      </c>
      <c r="C16" s="6" t="s">
        <v>45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45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45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45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45</v>
      </c>
      <c r="D20" s="59">
        <v>1</v>
      </c>
      <c r="E20" s="101">
        <v>400</v>
      </c>
      <c r="F20" s="101"/>
    </row>
    <row r="22" spans="1:8" ht="21" x14ac:dyDescent="0.35">
      <c r="A22" s="90" t="s">
        <v>71</v>
      </c>
    </row>
    <row r="23" spans="1:8" ht="15.75" thickBot="1" x14ac:dyDescent="0.3"/>
    <row r="24" spans="1:8" ht="30.75" thickBot="1" x14ac:dyDescent="0.3">
      <c r="A24" s="87" t="s">
        <v>48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49</v>
      </c>
      <c r="G24" s="89" t="s">
        <v>88</v>
      </c>
    </row>
    <row r="25" spans="1:8" x14ac:dyDescent="0.25">
      <c r="A25" s="83">
        <v>44620</v>
      </c>
      <c r="B25" s="83">
        <v>44620</v>
      </c>
      <c r="C25" s="75" t="s">
        <v>45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45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45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45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31" t="s">
        <v>73</v>
      </c>
      <c r="B31" s="132"/>
      <c r="C31" s="132"/>
      <c r="D31" s="132"/>
      <c r="E31" s="132"/>
      <c r="F31" s="132"/>
      <c r="G31" s="132"/>
      <c r="H31" s="133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43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86</v>
      </c>
      <c r="D35" s="6" t="s">
        <v>77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86</v>
      </c>
      <c r="D36" s="6" t="s">
        <v>78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86</v>
      </c>
      <c r="D37" s="6" t="s">
        <v>80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86</v>
      </c>
      <c r="D38" s="6" t="s">
        <v>79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86</v>
      </c>
      <c r="D39" s="6" t="s">
        <v>80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86</v>
      </c>
      <c r="D40" s="6" t="s">
        <v>81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86</v>
      </c>
      <c r="D41" s="6" t="s">
        <v>82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86</v>
      </c>
      <c r="D42" s="6" t="s">
        <v>83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86</v>
      </c>
      <c r="D43" s="6" t="s">
        <v>79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86</v>
      </c>
      <c r="D44" s="6" t="s">
        <v>81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86</v>
      </c>
      <c r="D45" s="6" t="s">
        <v>82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86</v>
      </c>
      <c r="D46" s="6" t="s">
        <v>83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86</v>
      </c>
      <c r="D47" s="6" t="s">
        <v>79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86</v>
      </c>
      <c r="D48" s="6" t="s">
        <v>84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86</v>
      </c>
      <c r="D49" s="6" t="s">
        <v>85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86</v>
      </c>
      <c r="D50" s="6" t="s">
        <v>83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86</v>
      </c>
      <c r="D51" s="6" t="s">
        <v>79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44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TRANX</vt:lpstr>
      <vt:lpstr>EOD</vt:lpstr>
      <vt:lpstr>REPLAY</vt:lpstr>
      <vt:lpstr>EXPECTED</vt:lpstr>
      <vt:lpstr>Scenario</vt:lpstr>
      <vt:lpstr>CALCULATION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2025-12-30T18:06:30Z</dcterms:modified>
  <dc:language>en-US</dc:language>
</cp:coreProperties>
</file>