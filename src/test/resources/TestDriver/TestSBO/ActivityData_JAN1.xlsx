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mentAttribute" sheetId="1" state="visible" r:id="rId3"/>
    <sheet name="GLRule" sheetId="2" state="hidden" r:id="rId4"/>
    <sheet name="Sheet1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<sst xmlns="http://schemas.openxmlformats.org/spreadsheetml/2006/main" count="122" uniqueCount="53">
  <si>
    <t xml:space="preserve">PostingDate</t>
  </si>
  <si>
    <t xml:space="preserve">EffectiveDate</t>
  </si>
  <si>
    <t xml:space="preserve">AttributeId</t>
  </si>
  <si>
    <t xml:space="preserve">INSTRUMENTID</t>
  </si>
  <si>
    <t xml:space="preserve">LOAN_AMOUNT</t>
  </si>
  <si>
    <t xml:space="preserve">ACCRUAL_METHOD</t>
  </si>
  <si>
    <t xml:space="preserve">INTEREST_RATE</t>
  </si>
  <si>
    <t xml:space="preserve">LOAN_TERM</t>
  </si>
  <si>
    <t xml:space="preserve">CAPTURE_DATE</t>
  </si>
  <si>
    <t xml:space="preserve">MATURITY_DATE</t>
  </si>
  <si>
    <t xml:space="preserve">PRINCIPAL_BALANCE_CONSUMER</t>
  </si>
  <si>
    <t xml:space="preserve">LOAN_STATUS</t>
  </si>
  <si>
    <t xml:space="preserve">MERCHANT_INDUSTRY</t>
  </si>
  <si>
    <t xml:space="preserve">STATUS_AS_OF</t>
  </si>
  <si>
    <t xml:space="preserve">INTEREST_RECEIVABLE_CONSUMER</t>
  </si>
  <si>
    <t xml:space="preserve">NEXT_PAYMENT_DUE_DATE</t>
  </si>
  <si>
    <t xml:space="preserve">LAST_PAYMENT_MADE_DATE</t>
  </si>
  <si>
    <t xml:space="preserve">IDHJ-EGNY</t>
  </si>
  <si>
    <t xml:space="preserve">actual_360</t>
  </si>
  <si>
    <t xml:space="preserve">current</t>
  </si>
  <si>
    <t xml:space="preserve">Sporting Goods and Outdoors</t>
  </si>
  <si>
    <t xml:space="preserve">System Generated</t>
  </si>
  <si>
    <t xml:space="preserve">Helper Column</t>
  </si>
  <si>
    <t xml:space="preserve">ID</t>
  </si>
  <si>
    <t xml:space="preserve">AccountSubType</t>
  </si>
  <si>
    <t xml:space="preserve">Sign</t>
  </si>
  <si>
    <t xml:space="preserve">Rule</t>
  </si>
  <si>
    <t xml:space="preserve">Criteria</t>
  </si>
  <si>
    <t xml:space="preserve">Revenue</t>
  </si>
  <si>
    <t xml:space="preserve">Positive</t>
  </si>
  <si>
    <t xml:space="preserve">Dr</t>
  </si>
  <si>
    <t xml:space="preserve">amount&gt;1</t>
  </si>
  <si>
    <t xml:space="preserve">Cr</t>
  </si>
  <si>
    <t xml:space="preserve">Negative</t>
  </si>
  <si>
    <t xml:space="preserve">amount&lt;1</t>
  </si>
  <si>
    <t xml:space="preserve">Deferred Revenue</t>
  </si>
  <si>
    <t xml:space="preserve">A/R</t>
  </si>
  <si>
    <t xml:space="preserve">Account</t>
  </si>
  <si>
    <t xml:space="preserve">Attribute</t>
  </si>
  <si>
    <t xml:space="preserve">Def</t>
  </si>
  <si>
    <t xml:space="preserve">Unbilled</t>
  </si>
  <si>
    <t xml:space="preserve">Rev</t>
  </si>
  <si>
    <t xml:space="preserve">Billed</t>
  </si>
  <si>
    <t xml:space="preserve">Un</t>
  </si>
  <si>
    <t xml:space="preserve">Bg def</t>
  </si>
  <si>
    <t xml:space="preserve">new bi</t>
  </si>
  <si>
    <t xml:space="preserve">rev</t>
  </si>
  <si>
    <t xml:space="preserve">end def</t>
  </si>
  <si>
    <t xml:space="preserve">clo un</t>
  </si>
  <si>
    <t xml:space="preserve">Def Revenue</t>
  </si>
  <si>
    <t xml:space="preserve">Clearing</t>
  </si>
  <si>
    <t xml:space="preserve">AR</t>
  </si>
  <si>
    <t xml:space="preserve">Def Rev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</si>
</sst>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5703125" defaultRowHeight="15" customHeight="true" zeroHeight="false" outlineLevelRow="0" outlineLevelCol="0"/>
  <cols>
    <col collapsed="false" customWidth="true" hidden="false" outlineLevel="0" max="5" min="5" style="1" width="15.85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customFormat="false" ht="15" hidden="false" customHeight="false" outlineLevel="0" collapsed="false">
      <c r="A2" s="5" t="n">
        <v>44592</v>
      </c>
      <c r="B2" s="6" t="n">
        <v>44592</v>
      </c>
      <c r="C2" s="7" t="n">
        <v>1</v>
      </c>
      <c r="D2" s="7" t="s">
        <v>17</v>
      </c>
      <c r="E2" s="7" t="n">
        <v>100000</v>
      </c>
      <c r="F2" s="7" t="s">
        <v>18</v>
      </c>
      <c r="G2" s="7" t="n">
        <v>10</v>
      </c>
      <c r="H2" s="7" t="n">
        <v>12</v>
      </c>
      <c r="I2" s="6" t="n">
        <v>44592</v>
      </c>
      <c r="J2" s="6" t="n">
        <v>44957</v>
      </c>
      <c r="K2" s="7" t="n">
        <f aca="false">E2</f>
        <v>100000</v>
      </c>
      <c r="L2" s="7" t="s">
        <v>19</v>
      </c>
      <c r="M2" s="7" t="s">
        <v>20</v>
      </c>
      <c r="N2" s="6" t="n">
        <f aca="false">A2</f>
        <v>44592</v>
      </c>
      <c r="O2" s="7" t="n">
        <v>100</v>
      </c>
      <c r="P2" s="6" t="n">
        <v>45350</v>
      </c>
      <c r="Q2" s="6" t="n">
        <v>45322</v>
      </c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8" activeCellId="0" sqref="B28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7.71"/>
    <col collapsed="false" customWidth="true" hidden="false" outlineLevel="0" max="2" min="2" style="1" width="27"/>
    <col collapsed="false" customWidth="true" hidden="false" outlineLevel="0" max="3" min="3" style="1" width="29"/>
    <col collapsed="false" customWidth="true" hidden="false" outlineLevel="0" max="4" min="4" style="1" width="34.71"/>
  </cols>
  <sheetData>
    <row r="1" customFormat="false" ht="15" hidden="false" customHeight="false" outlineLevel="0" collapsed="false">
      <c r="A1" s="8" t="s">
        <v>21</v>
      </c>
    </row>
    <row r="2" customFormat="false" ht="15" hidden="false" customHeight="false" outlineLevel="0" collapsed="false">
      <c r="A2" s="1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</row>
    <row r="3" customFormat="false" ht="15" hidden="false" customHeight="false" outlineLevel="0" collapsed="false">
      <c r="A3" s="1" t="str">
        <f aca="false">CONCATENATE(C3,F3,E3)</f>
        <v>Revenueamount&gt;1Dr</v>
      </c>
      <c r="B3" s="1" t="n">
        <v>1</v>
      </c>
      <c r="C3" s="1" t="s">
        <v>28</v>
      </c>
      <c r="D3" s="1" t="s">
        <v>29</v>
      </c>
      <c r="E3" s="1" t="s">
        <v>30</v>
      </c>
      <c r="F3" s="1" t="s">
        <v>31</v>
      </c>
    </row>
    <row r="4" customFormat="false" ht="15" hidden="false" customHeight="false" outlineLevel="0" collapsed="false">
      <c r="A4" s="1" t="str">
        <f aca="false">CONCATENATE(C4,F4,E4)</f>
        <v>Revenueamount&gt;1Cr</v>
      </c>
      <c r="B4" s="1" t="n">
        <v>2</v>
      </c>
      <c r="C4" s="9" t="s">
        <v>28</v>
      </c>
      <c r="D4" s="9" t="s">
        <v>29</v>
      </c>
      <c r="E4" s="9" t="s">
        <v>32</v>
      </c>
      <c r="F4" s="10" t="s">
        <v>31</v>
      </c>
    </row>
    <row r="5" customFormat="false" ht="15" hidden="false" customHeight="false" outlineLevel="0" collapsed="false">
      <c r="A5" s="1" t="str">
        <f aca="false">CONCATENATE(C5,F5,E5)</f>
        <v>Revenueamount&lt;1Dr</v>
      </c>
      <c r="B5" s="1" t="n">
        <v>3</v>
      </c>
      <c r="C5" s="9" t="s">
        <v>28</v>
      </c>
      <c r="D5" s="9" t="s">
        <v>33</v>
      </c>
      <c r="E5" s="9" t="s">
        <v>30</v>
      </c>
      <c r="F5" s="10" t="s">
        <v>34</v>
      </c>
    </row>
    <row r="6" customFormat="false" ht="15" hidden="false" customHeight="false" outlineLevel="0" collapsed="false">
      <c r="A6" s="1" t="str">
        <f aca="false">CONCATENATE(C6,F6,E6)</f>
        <v>Revenueamount&lt;1Cr</v>
      </c>
      <c r="B6" s="1" t="n">
        <v>4</v>
      </c>
      <c r="C6" s="1" t="s">
        <v>28</v>
      </c>
      <c r="D6" s="1" t="s">
        <v>33</v>
      </c>
      <c r="E6" s="1" t="s">
        <v>32</v>
      </c>
      <c r="F6" s="1" t="s">
        <v>34</v>
      </c>
    </row>
    <row r="7" customFormat="false" ht="15" hidden="false" customHeight="false" outlineLevel="0" collapsed="false">
      <c r="A7" s="1" t="str">
        <f aca="false">CONCATENATE(C7,F7,E7)</f>
        <v>Deferred Revenueamount&gt;1Dr</v>
      </c>
      <c r="B7" s="1" t="n">
        <v>5</v>
      </c>
      <c r="C7" s="1" t="s">
        <v>35</v>
      </c>
      <c r="D7" s="1" t="s">
        <v>29</v>
      </c>
      <c r="E7" s="1" t="s">
        <v>30</v>
      </c>
      <c r="F7" s="1" t="s">
        <v>31</v>
      </c>
    </row>
    <row r="8" customFormat="false" ht="15" hidden="false" customHeight="false" outlineLevel="0" collapsed="false">
      <c r="A8" s="1" t="str">
        <f aca="false">CONCATENATE(C8,F8,E8)</f>
        <v>Deferred Revenueamount&gt;1Cr</v>
      </c>
      <c r="B8" s="1" t="n">
        <v>6</v>
      </c>
      <c r="C8" s="1" t="s">
        <v>35</v>
      </c>
      <c r="D8" s="1" t="s">
        <v>29</v>
      </c>
      <c r="E8" s="1" t="s">
        <v>32</v>
      </c>
      <c r="F8" s="1" t="s">
        <v>31</v>
      </c>
    </row>
    <row r="9" customFormat="false" ht="15" hidden="false" customHeight="false" outlineLevel="0" collapsed="false">
      <c r="A9" s="1" t="str">
        <f aca="false">CONCATENATE(C9,F9,E9)</f>
        <v>Deferred Revenueamount&lt;1Dr</v>
      </c>
      <c r="B9" s="1" t="n">
        <v>7</v>
      </c>
      <c r="C9" s="1" t="s">
        <v>35</v>
      </c>
      <c r="D9" s="1" t="s">
        <v>33</v>
      </c>
      <c r="E9" s="1" t="s">
        <v>30</v>
      </c>
      <c r="F9" s="1" t="s">
        <v>34</v>
      </c>
    </row>
    <row r="10" customFormat="false" ht="15" hidden="false" customHeight="false" outlineLevel="0" collapsed="false">
      <c r="A10" s="1" t="str">
        <f aca="false">CONCATENATE(C10,F10,E10)</f>
        <v>Deferred Revenueamount&lt;1Cr</v>
      </c>
      <c r="B10" s="1" t="n">
        <v>8</v>
      </c>
      <c r="C10" s="1" t="s">
        <v>35</v>
      </c>
      <c r="D10" s="1" t="s">
        <v>33</v>
      </c>
      <c r="E10" s="1" t="s">
        <v>32</v>
      </c>
      <c r="F10" s="1" t="s">
        <v>34</v>
      </c>
    </row>
    <row r="11" customFormat="false" ht="15" hidden="false" customHeight="false" outlineLevel="0" collapsed="false">
      <c r="A11" s="1" t="str">
        <f aca="false">CONCATENATE(C11,F11,E11)</f>
        <v>A/Ramount&gt;1Dr</v>
      </c>
      <c r="B11" s="1" t="n">
        <v>9</v>
      </c>
      <c r="C11" s="1" t="s">
        <v>36</v>
      </c>
      <c r="D11" s="1" t="s">
        <v>29</v>
      </c>
      <c r="E11" s="1" t="s">
        <v>30</v>
      </c>
      <c r="F11" s="1" t="s">
        <v>31</v>
      </c>
    </row>
    <row r="12" customFormat="false" ht="15" hidden="false" customHeight="false" outlineLevel="0" collapsed="false">
      <c r="A12" s="1" t="str">
        <f aca="false">CONCATENATE(C12,F12,E12)</f>
        <v>A/Ramount&gt;1Cr</v>
      </c>
      <c r="B12" s="1" t="n">
        <v>10</v>
      </c>
      <c r="C12" s="1" t="s">
        <v>36</v>
      </c>
      <c r="D12" s="1" t="s">
        <v>29</v>
      </c>
      <c r="E12" s="1" t="s">
        <v>32</v>
      </c>
      <c r="F12" s="1" t="s">
        <v>31</v>
      </c>
    </row>
    <row r="13" customFormat="false" ht="15" hidden="false" customHeight="false" outlineLevel="0" collapsed="false">
      <c r="A13" s="1" t="str">
        <f aca="false">CONCATENATE(C13,F13,E13)</f>
        <v>A/Ramount&lt;1Dr</v>
      </c>
      <c r="B13" s="1" t="n">
        <v>11</v>
      </c>
      <c r="C13" s="1" t="s">
        <v>36</v>
      </c>
      <c r="D13" s="1" t="s">
        <v>33</v>
      </c>
      <c r="E13" s="1" t="s">
        <v>30</v>
      </c>
      <c r="F13" s="1" t="s">
        <v>34</v>
      </c>
    </row>
    <row r="14" customFormat="false" ht="15" hidden="false" customHeight="false" outlineLevel="0" collapsed="false">
      <c r="A14" s="1" t="str">
        <f aca="false">CONCATENATE(C14,F14,E14)</f>
        <v>A/Ramount&lt;1Cr</v>
      </c>
      <c r="B14" s="1" t="n">
        <v>12</v>
      </c>
      <c r="C14" s="1" t="s">
        <v>36</v>
      </c>
      <c r="D14" s="1" t="s">
        <v>33</v>
      </c>
      <c r="E14" s="1" t="s">
        <v>32</v>
      </c>
      <c r="F14" s="1" t="s">
        <v>34</v>
      </c>
    </row>
    <row r="15" customFormat="false" ht="15" hidden="false" customHeight="false" outlineLevel="0" collapsed="false">
      <c r="A15" s="1" t="str">
        <f aca="false">CONCATENATE(C15,D15,E15)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Q20" activeCellId="0" sqref="Q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9" min="9" style="10" width="8.86"/>
  </cols>
  <sheetData>
    <row r="1" customFormat="false" ht="15" hidden="false" customHeight="false" outlineLevel="0" collapsed="false">
      <c r="B1" s="1" t="n">
        <v>1</v>
      </c>
      <c r="D1" s="1" t="s">
        <v>30</v>
      </c>
      <c r="E1" s="1" t="s">
        <v>32</v>
      </c>
      <c r="G1" s="8" t="s">
        <v>37</v>
      </c>
      <c r="H1" s="8" t="s">
        <v>38</v>
      </c>
      <c r="I1" s="8"/>
    </row>
    <row r="2" customFormat="false" ht="15" hidden="false" customHeight="false" outlineLevel="0" collapsed="false">
      <c r="C2" s="1" t="s">
        <v>39</v>
      </c>
      <c r="D2" s="1" t="n">
        <v>100</v>
      </c>
      <c r="G2" s="1" t="s">
        <v>40</v>
      </c>
      <c r="H2" s="10" t="s">
        <v>40</v>
      </c>
    </row>
    <row r="3" customFormat="false" ht="15" hidden="false" customHeight="false" outlineLevel="0" collapsed="false">
      <c r="C3" s="1" t="s">
        <v>41</v>
      </c>
      <c r="E3" s="1" t="n">
        <v>-100</v>
      </c>
      <c r="G3" s="1" t="s">
        <v>28</v>
      </c>
      <c r="H3" s="10" t="s">
        <v>40</v>
      </c>
    </row>
    <row r="5" customFormat="false" ht="15" hidden="false" customHeight="false" outlineLevel="0" collapsed="false">
      <c r="B5" s="1" t="n">
        <v>2</v>
      </c>
      <c r="C5" s="10" t="str">
        <f aca="false">C2</f>
        <v>Def</v>
      </c>
      <c r="D5" s="10" t="n">
        <v>100</v>
      </c>
      <c r="E5" s="10"/>
      <c r="G5" s="10" t="s">
        <v>40</v>
      </c>
      <c r="H5" s="10" t="s">
        <v>40</v>
      </c>
    </row>
    <row r="6" customFormat="false" ht="15" hidden="false" customHeight="false" outlineLevel="0" collapsed="false">
      <c r="C6" s="10" t="s">
        <v>41</v>
      </c>
      <c r="D6" s="10"/>
      <c r="E6" s="10" t="n">
        <v>-100</v>
      </c>
      <c r="G6" s="10" t="s">
        <v>28</v>
      </c>
      <c r="H6" s="10" t="s">
        <v>40</v>
      </c>
    </row>
    <row r="8" customFormat="false" ht="15" hidden="false" customHeight="false" outlineLevel="0" collapsed="false">
      <c r="B8" s="1" t="n">
        <v>3</v>
      </c>
      <c r="C8" s="10" t="s">
        <v>41</v>
      </c>
      <c r="D8" s="10" t="n">
        <v>200</v>
      </c>
      <c r="E8" s="10"/>
      <c r="F8" s="10"/>
      <c r="G8" s="10" t="s">
        <v>28</v>
      </c>
      <c r="H8" s="10" t="s">
        <v>42</v>
      </c>
    </row>
    <row r="9" customFormat="false" ht="15" hidden="false" customHeight="false" outlineLevel="0" collapsed="false">
      <c r="C9" s="10" t="s">
        <v>39</v>
      </c>
      <c r="D9" s="10"/>
      <c r="E9" s="10" t="n">
        <v>-200</v>
      </c>
      <c r="F9" s="10"/>
      <c r="G9" s="10" t="s">
        <v>40</v>
      </c>
      <c r="H9" s="10" t="s">
        <v>42</v>
      </c>
    </row>
    <row r="10" customFormat="false" ht="15" hidden="false" customHeight="false" outlineLevel="0" collapsed="false">
      <c r="J10" s="10" t="s">
        <v>43</v>
      </c>
      <c r="K10" s="10" t="s">
        <v>44</v>
      </c>
      <c r="L10" s="10" t="s">
        <v>45</v>
      </c>
      <c r="M10" s="10" t="s">
        <v>46</v>
      </c>
      <c r="N10" s="10" t="s">
        <v>47</v>
      </c>
      <c r="O10" s="10" t="s">
        <v>48</v>
      </c>
    </row>
    <row r="11" customFormat="false" ht="15" hidden="false" customHeight="false" outlineLevel="0" collapsed="false">
      <c r="B11" s="1" t="n">
        <v>3</v>
      </c>
      <c r="C11" s="1" t="s">
        <v>39</v>
      </c>
      <c r="D11" s="1" t="n">
        <v>200</v>
      </c>
      <c r="G11" s="10" t="s">
        <v>49</v>
      </c>
      <c r="H11" s="10" t="s">
        <v>42</v>
      </c>
      <c r="M11" s="1" t="n">
        <v>100</v>
      </c>
      <c r="O11" s="1" t="n">
        <v>100</v>
      </c>
    </row>
    <row r="12" customFormat="false" ht="15" hidden="false" customHeight="false" outlineLevel="0" collapsed="false">
      <c r="C12" s="1" t="s">
        <v>41</v>
      </c>
      <c r="E12" s="1" t="n">
        <v>-200</v>
      </c>
      <c r="G12" s="10" t="str">
        <f aca="false">G8</f>
        <v>Revenue</v>
      </c>
      <c r="H12" s="10" t="s">
        <v>42</v>
      </c>
      <c r="J12" s="10" t="n">
        <f aca="false">O11</f>
        <v>100</v>
      </c>
      <c r="M12" s="1" t="n">
        <v>100</v>
      </c>
      <c r="O12" s="10" t="n">
        <f aca="false">J12+M12</f>
        <v>200</v>
      </c>
    </row>
    <row r="13" customFormat="false" ht="15" hidden="false" customHeight="false" outlineLevel="0" collapsed="false">
      <c r="J13" s="10" t="n">
        <f aca="false">O12</f>
        <v>200</v>
      </c>
      <c r="L13" s="1" t="n">
        <v>1200</v>
      </c>
      <c r="M13" s="1" t="n">
        <v>100</v>
      </c>
      <c r="N13" s="10" t="n">
        <f aca="false">L13-J13-M13</f>
        <v>900</v>
      </c>
      <c r="O13" s="1" t="n">
        <v>0</v>
      </c>
    </row>
    <row r="14" customFormat="false" ht="15" hidden="false" customHeight="false" outlineLevel="0" collapsed="false">
      <c r="B14" s="1" t="n">
        <v>3</v>
      </c>
      <c r="C14" s="1" t="s">
        <v>50</v>
      </c>
      <c r="D14" s="1" t="n">
        <v>1200</v>
      </c>
      <c r="G14" s="1" t="s">
        <v>51</v>
      </c>
      <c r="H14" s="10" t="s">
        <v>42</v>
      </c>
      <c r="K14" s="10" t="n">
        <f aca="false">N13</f>
        <v>900</v>
      </c>
      <c r="M14" s="10" t="n">
        <v>100</v>
      </c>
      <c r="N14" s="10" t="n">
        <f aca="false">K14-M14</f>
        <v>800</v>
      </c>
    </row>
    <row r="15" customFormat="false" ht="15" hidden="false" customHeight="false" outlineLevel="0" collapsed="false">
      <c r="C15" s="1" t="s">
        <v>52</v>
      </c>
      <c r="E15" s="1" t="n">
        <v>-1200</v>
      </c>
      <c r="G15" s="10" t="str">
        <f aca="false">G11</f>
        <v>Def Revenue</v>
      </c>
      <c r="H15" s="10" t="s">
        <v>42</v>
      </c>
      <c r="K15" s="10" t="n">
        <f aca="false">N14</f>
        <v>800</v>
      </c>
      <c r="L15" s="10"/>
      <c r="M15" s="10" t="n">
        <v>100</v>
      </c>
      <c r="N15" s="10" t="n">
        <f aca="false">K15-M15</f>
        <v>700</v>
      </c>
    </row>
    <row r="16" customFormat="false" ht="15" hidden="false" customHeight="false" outlineLevel="0" collapsed="false">
      <c r="K16" s="10" t="n">
        <f aca="false">N15</f>
        <v>700</v>
      </c>
      <c r="L16" s="10"/>
      <c r="M16" s="10" t="n">
        <v>100</v>
      </c>
      <c r="N16" s="10" t="n">
        <f aca="false">K16-M16</f>
        <v>600</v>
      </c>
    </row>
    <row r="17" customFormat="false" ht="15" hidden="false" customHeight="false" outlineLevel="0" collapsed="false">
      <c r="B17" s="1" t="n">
        <v>3</v>
      </c>
      <c r="C17" s="1" t="s">
        <v>39</v>
      </c>
      <c r="D17" s="1" t="n">
        <v>100</v>
      </c>
      <c r="G17" s="10" t="s">
        <v>49</v>
      </c>
      <c r="H17" s="10" t="s">
        <v>42</v>
      </c>
      <c r="K17" s="10" t="n">
        <f aca="false">N16</f>
        <v>600</v>
      </c>
      <c r="L17" s="10"/>
      <c r="M17" s="10" t="n">
        <v>100</v>
      </c>
      <c r="N17" s="10" t="n">
        <f aca="false">K17-M17</f>
        <v>500</v>
      </c>
    </row>
    <row r="18" customFormat="false" ht="15" hidden="false" customHeight="false" outlineLevel="0" collapsed="false">
      <c r="C18" s="1" t="s">
        <v>41</v>
      </c>
      <c r="E18" s="1" t="n">
        <v>-100</v>
      </c>
      <c r="G18" s="10" t="str">
        <f aca="false">G12</f>
        <v>Revenue</v>
      </c>
      <c r="H18" s="10" t="s">
        <v>42</v>
      </c>
      <c r="K18" s="10" t="n">
        <f aca="false">N17</f>
        <v>500</v>
      </c>
      <c r="L18" s="10"/>
      <c r="M18" s="10" t="n">
        <v>100</v>
      </c>
      <c r="N18" s="10" t="n">
        <f aca="false">K18-M18</f>
        <v>400</v>
      </c>
    </row>
    <row r="19" customFormat="false" ht="15" hidden="false" customHeight="false" outlineLevel="0" collapsed="false">
      <c r="K19" s="10" t="n">
        <f aca="false">N18</f>
        <v>400</v>
      </c>
      <c r="L19" s="10"/>
      <c r="M19" s="10" t="n">
        <v>100</v>
      </c>
      <c r="N19" s="10" t="n">
        <f aca="false">K19-M19</f>
        <v>300</v>
      </c>
    </row>
    <row r="20" customFormat="false" ht="15" hidden="false" customHeight="false" outlineLevel="0" collapsed="false">
      <c r="K20" s="10" t="n">
        <f aca="false">N19</f>
        <v>300</v>
      </c>
      <c r="L20" s="10"/>
      <c r="M20" s="10" t="n">
        <v>100</v>
      </c>
      <c r="N20" s="10" t="n">
        <f aca="false">K20-M20</f>
        <v>200</v>
      </c>
    </row>
    <row r="21" customFormat="false" ht="15" hidden="false" customHeight="false" outlineLevel="0" collapsed="false">
      <c r="C21" s="1" t="s">
        <v>40</v>
      </c>
      <c r="D21" s="1" t="s">
        <v>28</v>
      </c>
      <c r="E21" s="1" t="s">
        <v>51</v>
      </c>
      <c r="F21" s="1" t="s">
        <v>49</v>
      </c>
      <c r="K21" s="10" t="n">
        <f aca="false">N20</f>
        <v>200</v>
      </c>
      <c r="L21" s="10"/>
      <c r="M21" s="10" t="n">
        <v>100</v>
      </c>
      <c r="N21" s="10" t="n">
        <f aca="false">K21-M21</f>
        <v>100</v>
      </c>
    </row>
    <row r="22" customFormat="false" ht="15" hidden="false" customHeight="false" outlineLevel="0" collapsed="false">
      <c r="B22" s="1" t="n">
        <v>1</v>
      </c>
      <c r="C22" s="1" t="n">
        <f aca="false">D2</f>
        <v>100</v>
      </c>
      <c r="D22" s="1" t="n">
        <f aca="false">E3</f>
        <v>-100</v>
      </c>
      <c r="E22" s="1" t="n">
        <v>0</v>
      </c>
      <c r="F22" s="1" t="n">
        <v>0</v>
      </c>
      <c r="K22" s="10" t="n">
        <f aca="false">N21</f>
        <v>100</v>
      </c>
      <c r="L22" s="10"/>
      <c r="M22" s="10" t="n">
        <v>100</v>
      </c>
      <c r="N22" s="10" t="n">
        <f aca="false">K22-M22</f>
        <v>0</v>
      </c>
    </row>
    <row r="23" customFormat="false" ht="15" hidden="false" customHeight="false" outlineLevel="0" collapsed="false">
      <c r="B23" s="1" t="n">
        <v>2</v>
      </c>
      <c r="C23" s="1" t="n">
        <f aca="false">D5</f>
        <v>100</v>
      </c>
      <c r="D23" s="1" t="n">
        <f aca="false">E6</f>
        <v>-100</v>
      </c>
      <c r="E23" s="1" t="n">
        <v>0</v>
      </c>
      <c r="F23" s="1" t="n">
        <v>0</v>
      </c>
      <c r="G23" s="10"/>
    </row>
    <row r="24" customFormat="false" ht="15" hidden="false" customHeight="false" outlineLevel="0" collapsed="false">
      <c r="B24" s="1" t="n">
        <v>3</v>
      </c>
      <c r="C24" s="1" t="n">
        <f aca="false">E9</f>
        <v>-200</v>
      </c>
      <c r="D24" s="1" t="n">
        <f aca="false">D8+E12+E18</f>
        <v>-100</v>
      </c>
      <c r="E24" s="1" t="n">
        <f aca="false">D14</f>
        <v>1200</v>
      </c>
      <c r="F24" s="1" t="n">
        <f aca="false">D11+E15+D17</f>
        <v>-900</v>
      </c>
      <c r="G24" s="10"/>
    </row>
    <row r="25" customFormat="false" ht="15" hidden="false" customHeight="false" outlineLevel="0" collapsed="false">
      <c r="C25" s="1" t="n">
        <f aca="false">SUM(C22:C24)</f>
        <v>0</v>
      </c>
      <c r="D25" s="1" t="n">
        <f aca="false">SUM(D22:D24)</f>
        <v>-300</v>
      </c>
      <c r="E25" s="10" t="n">
        <f aca="false">SUM(E22:E24)</f>
        <v>1200</v>
      </c>
      <c r="F25" s="10" t="n">
        <f aca="false">SUM(F22:F24)</f>
        <v>-900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2024-02-24T05:30:44Z</dcterms:created>
  <dc:creator>Rafay Ahmed</dc:creator>
  <dc:description/>
  <dc:language>en-US</dc:language>
  <cp:lastModifiedBy/>
  <dcterms:modified xsi:type="dcterms:W3CDTF">2025-11-18T23:29:27Z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