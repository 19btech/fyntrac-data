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Test" sheetId="1" state="visible" r:id="rId3"/>
    <sheet name="O_TransactionActivity" sheetId="2" state="visible" r:id="rId4"/>
    <sheet name="O_Attribute" sheetId="3" state="visible" r:id="rId5"/>
    <sheet name="O_Instrument" sheetId="4" state="visible" r:id="rId6"/>
    <sheet name="O_Metric" sheetId="5" state="visible" r:id="rId7"/>
    <sheet name="xxInstrumentAttribu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<sst xmlns="http://schemas.openxmlformats.org/spreadsheetml/2006/main" count="218" uniqueCount="75">
  <si>
    <t xml:space="preserve">Steps</t>
  </si>
  <si>
    <t xml:space="preserve">Type</t>
  </si>
  <si>
    <t xml:space="preserve">Input</t>
  </si>
  <si>
    <t xml:space="preserve">LOAD_REF_DATA</t>
  </si>
  <si>
    <t xml:space="preserve">FILE_UPLOAD</t>
  </si>
  <si>
    <t xml:space="preserve">ReferenceData/RefData_SBO_EVENTS.xlsx</t>
  </si>
  <si>
    <t xml:space="preserve">EVENT_CONFIGURATION</t>
  </si>
  <si>
    <t xml:space="preserve">CONFIGURATION</t>
  </si>
  <si>
    <t xml:space="preserve">TestSBO/EventConfigurations.json</t>
  </si>
  <si>
    <t xml:space="preserve">MODEL_UPLOAD</t>
  </si>
  <si>
    <t xml:space="preserve">Model/SBO_MODEL_EVENTS_All_Trigger.xlsx</t>
  </si>
  <si>
    <t xml:space="preserve">MODEL_CONFIGURATION</t>
  </si>
  <si>
    <t xml:space="preserve">ATTRIBUTE</t>
  </si>
  <si>
    <t xml:space="preserve">ACTIVITY_UPLOAD</t>
  </si>
  <si>
    <t xml:space="preserve">TestSBO/ActivityData_JAN1.xlsx</t>
  </si>
  <si>
    <t xml:space="preserve">MODEL_EXECUTION</t>
  </si>
  <si>
    <t xml:space="preserve">EXECUTION</t>
  </si>
  <si>
    <t xml:space="preserve">TestSBO/ActivityData_FEB3.xlsx</t>
  </si>
  <si>
    <t xml:space="preserve">TestSBO/ActivityData_FEB5.xlsx</t>
  </si>
  <si>
    <t xml:space="preserve">TransactionActivity</t>
  </si>
  <si>
    <t xml:space="preserve">{"instrumentId": "IDHJ-EGNY"}</t>
  </si>
  <si>
    <t xml:space="preserve">postingDate ASC</t>
  </si>
  <si>
    <t xml:space="preserve">attributeId ASC</t>
  </si>
  <si>
    <t xml:space="preserve">transactionName ASC</t>
  </si>
  <si>
    <t xml:space="preserve">source ASC</t>
  </si>
  <si>
    <t xml:space="preserve">effectiveDate ASC</t>
  </si>
  <si>
    <t xml:space="preserve">instrumentId</t>
  </si>
  <si>
    <t xml:space="preserve">amount</t>
  </si>
  <si>
    <t xml:space="preserve">originalPeriodId</t>
  </si>
  <si>
    <t xml:space="preserve">accountingPeriod.periodId</t>
  </si>
  <si>
    <t xml:space="preserve">isReplayable</t>
  </si>
  <si>
    <t xml:space="preserve">PURCHASE_INTEREST</t>
  </si>
  <si>
    <t xml:space="preserve">MODEL</t>
  </si>
  <si>
    <t xml:space="preserve">IDHJ-EGNY</t>
  </si>
  <si>
    <t xml:space="preserve">PURCHASE_UPB</t>
  </si>
  <si>
    <t xml:space="preserve">SERVICING_INTEREST_ACCRUAL</t>
  </si>
  <si>
    <t xml:space="preserve">PAYMENT_INTEREST</t>
  </si>
  <si>
    <t xml:space="preserve">PAYMENT_UPB</t>
  </si>
  <si>
    <t xml:space="preserve">REMIT</t>
  </si>
  <si>
    <t xml:space="preserve">ETL</t>
  </si>
  <si>
    <t xml:space="preserve">AttributeLevelLtd</t>
  </si>
  <si>
    <t xml:space="preserve">metricName ASC</t>
  </si>
  <si>
    <t xml:space="preserve">balance.beginningBalance</t>
  </si>
  <si>
    <t xml:space="preserve">balance.activity</t>
  </si>
  <si>
    <t xml:space="preserve">balance.endingBalance</t>
  </si>
  <si>
    <t xml:space="preserve">ACCRUED_INTEREST_RECEIVABLE</t>
  </si>
  <si>
    <t xml:space="preserve">UNPAID_PRINCIPAL_BALANCE</t>
  </si>
  <si>
    <t xml:space="preserve">InstrumentLevelLtd</t>
  </si>
  <si>
    <t xml:space="preserve">MetricLevelLtd</t>
  </si>
  <si>
    <t xml:space="preserve">{}</t>
  </si>
  <si>
    <t xml:space="preserve">InstrumentAttribute</t>
  </si>
  <si>
    <t xml:space="preserve">{"instrumentId": "SO1"}</t>
  </si>
  <si>
    <t xml:space="preserve">effectiveDate</t>
  </si>
  <si>
    <t xml:space="preserve">batchId</t>
  </si>
  <si>
    <t xml:space="preserve">endDate</t>
  </si>
  <si>
    <t xml:space="preserve">periodId</t>
  </si>
  <si>
    <t xml:space="preserve">source</t>
  </si>
  <si>
    <t xml:space="preserve">attributes.LOAN_AMOUNT</t>
  </si>
  <si>
    <t xml:space="preserve">attributes.ACCRUAL_METHOD</t>
  </si>
  <si>
    <t xml:space="preserve">attributes.INTEREST_RATE</t>
  </si>
  <si>
    <t xml:space="preserve">attributes.LOAN_TERM</t>
  </si>
  <si>
    <t xml:space="preserve">attributes.CAPTURE_DATE</t>
  </si>
  <si>
    <t xml:space="preserve">attributes.MATURITY_DATE</t>
  </si>
  <si>
    <t xml:space="preserve">attributes.PRINCIPAL_BALANCE_CONSUMER</t>
  </si>
  <si>
    <t xml:space="preserve">attributes.LOAN_STATUS</t>
  </si>
  <si>
    <t xml:space="preserve">attributes.MERCHANT_INDUSTRY</t>
  </si>
  <si>
    <t xml:space="preserve">attributes.STATUS_AS_OF</t>
  </si>
  <si>
    <t xml:space="preserve">attributes.INTEREST_RECEIVABLE_CONSUMER</t>
  </si>
  <si>
    <t xml:space="preserve">attributes.NEXT_PAYMENT_DUE_DATE</t>
  </si>
  <si>
    <t xml:space="preserve">attributes.LAST_PAYMENT_MADE_DATE</t>
  </si>
  <si>
    <t xml:space="preserve">2022-01-31T00:00:00.000Z</t>
  </si>
  <si>
    <t xml:space="preserve">2022-02-05T00:00:00.000Z</t>
  </si>
  <si>
    <t xml:space="preserve">USD</t>
  </si>
  <si>
    <t xml:space="preserve">2022-01-15T18:30:00.000Z</t>
  </si>
  <si>
    <t xml:space="preserve">INVOICE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</si>
</sst>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#,##0.0000_);[RED]\(#,##0.0000\)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i val="true"/>
      <sz val="10"/>
      <color rgb="FFC77DBB"/>
      <name val="Arial"/>
      <family val="2"/>
      <charset val="1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7" activeCellId="0" sqref="A3:A19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20.14"/>
    <col collapsed="false" customWidth="true" hidden="false" outlineLevel="0" max="3" min="3" style="1" width="42.71"/>
    <col collapsed="false" customWidth="true" hidden="false" outlineLevel="0" max="4" min="4" style="1" width="31.16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2.7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2.75" hidden="false" customHeight="true" outlineLevel="0" collapsed="false">
      <c r="A3" s="2" t="s">
        <v>6</v>
      </c>
      <c r="B3" s="1" t="s">
        <v>7</v>
      </c>
      <c r="C3" s="1" t="s">
        <v>8</v>
      </c>
    </row>
    <row r="4" customFormat="false" ht="12.75" hidden="false" customHeight="true" outlineLevel="0" collapsed="false">
      <c r="A4" s="1" t="s">
        <v>9</v>
      </c>
      <c r="B4" s="1" t="s">
        <v>4</v>
      </c>
      <c r="C4" s="1" t="s">
        <v>10</v>
      </c>
    </row>
    <row r="5" customFormat="false" ht="12.75" hidden="false" customHeight="true" outlineLevel="0" collapsed="false">
      <c r="A5" s="1" t="s">
        <v>11</v>
      </c>
      <c r="B5" s="1" t="s">
        <v>7</v>
      </c>
      <c r="C5" s="1" t="s">
        <v>12</v>
      </c>
    </row>
    <row r="6" customFormat="false" ht="12.75" hidden="false" customHeight="true" outlineLevel="0" collapsed="false">
      <c r="A6" s="1" t="s">
        <v>13</v>
      </c>
      <c r="B6" s="1" t="s">
        <v>4</v>
      </c>
      <c r="C6" s="1" t="s">
        <v>14</v>
      </c>
    </row>
    <row r="7" customFormat="false" ht="12.75" hidden="false" customHeight="true" outlineLevel="0" collapsed="false">
      <c r="A7" s="1" t="s">
        <v>15</v>
      </c>
      <c r="B7" s="1" t="s">
        <v>16</v>
      </c>
      <c r="C7" s="3" t="n">
        <v>44592</v>
      </c>
    </row>
    <row r="8" customFormat="false" ht="12.75" hidden="false" customHeight="true" outlineLevel="0" collapsed="false">
      <c r="A8" s="1" t="s">
        <v>15</v>
      </c>
      <c r="B8" s="1" t="s">
        <v>16</v>
      </c>
      <c r="C8" s="3" t="n">
        <v>44593</v>
      </c>
    </row>
    <row r="9" customFormat="false" ht="12.75" hidden="false" customHeight="true" outlineLevel="0" collapsed="false">
      <c r="A9" s="1" t="s">
        <v>15</v>
      </c>
      <c r="B9" s="1" t="s">
        <v>16</v>
      </c>
      <c r="C9" s="3" t="n">
        <v>44594</v>
      </c>
    </row>
    <row r="10" customFormat="false" ht="12.75" hidden="false" customHeight="true" outlineLevel="0" collapsed="false">
      <c r="A10" s="1" t="s">
        <v>13</v>
      </c>
      <c r="B10" s="1" t="s">
        <v>4</v>
      </c>
      <c r="C10" s="1" t="s">
        <v>17</v>
      </c>
    </row>
    <row r="11" customFormat="false" ht="12.75" hidden="false" customHeight="true" outlineLevel="0" collapsed="false">
      <c r="A11" s="1" t="s">
        <v>15</v>
      </c>
      <c r="B11" s="1" t="s">
        <v>16</v>
      </c>
      <c r="C11" s="3" t="n">
        <v>44595</v>
      </c>
    </row>
    <row r="12" customFormat="false" ht="12.75" hidden="false" customHeight="true" outlineLevel="0" collapsed="false">
      <c r="A12" s="1" t="s">
        <v>15</v>
      </c>
      <c r="B12" s="1" t="s">
        <v>16</v>
      </c>
      <c r="C12" s="3" t="n">
        <v>44596</v>
      </c>
    </row>
    <row r="13" customFormat="false" ht="12.75" hidden="false" customHeight="true" outlineLevel="0" collapsed="false">
      <c r="A13" s="1" t="s">
        <v>13</v>
      </c>
      <c r="B13" s="1" t="s">
        <v>4</v>
      </c>
      <c r="C13" s="1" t="s">
        <v>18</v>
      </c>
    </row>
    <row r="14" customFormat="false" ht="12.75" hidden="false" customHeight="true" outlineLevel="0" collapsed="false">
      <c r="A14" s="1" t="s">
        <v>15</v>
      </c>
      <c r="B14" s="1" t="s">
        <v>16</v>
      </c>
      <c r="C14" s="3" t="n">
        <v>44597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14" activeCellId="1" sqref="A3:A19 G14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2" min="1" style="1" width="21.71"/>
    <col collapsed="false" customWidth="true" hidden="false" outlineLevel="0" max="3" min="3" style="1" width="35.14"/>
    <col collapsed="false" customWidth="true" hidden="false" outlineLevel="0" max="7" min="4" style="1" width="21.71"/>
    <col collapsed="false" customWidth="true" hidden="false" outlineLevel="0" max="9" min="8" style="1" width="23.14"/>
  </cols>
  <sheetData>
    <row r="1" customFormat="false" ht="13.8" hidden="false" customHeight="false" outlineLevel="0" collapsed="false">
      <c r="A1" s="4" t="s">
        <v>19</v>
      </c>
      <c r="B1" s="5" t="s">
        <v>20</v>
      </c>
      <c r="G1" s="5"/>
    </row>
    <row r="2" customFormat="false" ht="12.75" hidden="false" customHeight="false" outlineLevel="0" collapsed="false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customFormat="false" ht="12.75" hidden="false" customHeight="false" outlineLevel="0" collapsed="false">
      <c r="A3" s="7" t="n">
        <v>20220131</v>
      </c>
      <c r="B3" s="7" t="n">
        <v>1</v>
      </c>
      <c r="C3" s="7" t="s">
        <v>31</v>
      </c>
      <c r="D3" s="7" t="s">
        <v>32</v>
      </c>
      <c r="E3" s="7" t="n">
        <v>20220131</v>
      </c>
      <c r="F3" s="7" t="s">
        <v>33</v>
      </c>
      <c r="G3" s="8" t="n">
        <v>100</v>
      </c>
      <c r="H3" s="7" t="n">
        <v>202201</v>
      </c>
      <c r="I3" s="7" t="n">
        <v>202201</v>
      </c>
      <c r="J3" s="7" t="n">
        <v>0</v>
      </c>
    </row>
    <row r="4" customFormat="false" ht="12.75" hidden="false" customHeight="false" outlineLevel="0" collapsed="false">
      <c r="A4" s="7" t="n">
        <v>20220131</v>
      </c>
      <c r="B4" s="7" t="n">
        <v>1</v>
      </c>
      <c r="C4" s="7" t="s">
        <v>34</v>
      </c>
      <c r="D4" s="7" t="s">
        <v>32</v>
      </c>
      <c r="E4" s="7" t="n">
        <v>20220131</v>
      </c>
      <c r="F4" s="7" t="s">
        <v>33</v>
      </c>
      <c r="G4" s="8" t="n">
        <v>100000</v>
      </c>
      <c r="H4" s="7" t="n">
        <v>202201</v>
      </c>
      <c r="I4" s="7" t="n">
        <v>202201</v>
      </c>
      <c r="J4" s="7" t="n">
        <v>0</v>
      </c>
    </row>
    <row r="5" customFormat="false" ht="12.75" hidden="false" customHeight="false" outlineLevel="0" collapsed="false">
      <c r="A5" s="7" t="n">
        <v>20220201</v>
      </c>
      <c r="B5" s="7" t="n">
        <v>1</v>
      </c>
      <c r="C5" s="7" t="s">
        <v>35</v>
      </c>
      <c r="D5" s="7" t="s">
        <v>32</v>
      </c>
      <c r="E5" s="7" t="n">
        <v>20220201</v>
      </c>
      <c r="F5" s="7" t="s">
        <v>33</v>
      </c>
      <c r="G5" s="8" t="n">
        <v>27.7778</v>
      </c>
      <c r="H5" s="7" t="n">
        <v>202202</v>
      </c>
      <c r="I5" s="7" t="n">
        <v>202202</v>
      </c>
      <c r="J5" s="7" t="n">
        <v>0</v>
      </c>
    </row>
    <row r="6" customFormat="false" ht="12.75" hidden="false" customHeight="false" outlineLevel="0" collapsed="false">
      <c r="A6" s="7" t="n">
        <v>20220202</v>
      </c>
      <c r="B6" s="7" t="n">
        <v>1</v>
      </c>
      <c r="C6" s="7" t="s">
        <v>35</v>
      </c>
      <c r="D6" s="7" t="s">
        <v>32</v>
      </c>
      <c r="E6" s="7" t="n">
        <v>20220202</v>
      </c>
      <c r="F6" s="7" t="s">
        <v>33</v>
      </c>
      <c r="G6" s="8" t="n">
        <v>27.7778</v>
      </c>
      <c r="H6" s="7" t="n">
        <v>202202</v>
      </c>
      <c r="I6" s="7" t="n">
        <v>202202</v>
      </c>
      <c r="J6" s="7" t="n">
        <v>0</v>
      </c>
    </row>
    <row r="7" customFormat="false" ht="12.75" hidden="false" customHeight="false" outlineLevel="0" collapsed="false">
      <c r="A7" s="7" t="n">
        <v>20220203</v>
      </c>
      <c r="B7" s="7" t="n">
        <v>1</v>
      </c>
      <c r="C7" s="7" t="s">
        <v>36</v>
      </c>
      <c r="D7" s="7" t="s">
        <v>32</v>
      </c>
      <c r="E7" s="7" t="n">
        <v>20220203</v>
      </c>
      <c r="F7" s="7" t="s">
        <v>33</v>
      </c>
      <c r="G7" s="8" t="n">
        <v>-155.5556</v>
      </c>
      <c r="H7" s="7" t="n">
        <v>202202</v>
      </c>
      <c r="I7" s="7" t="n">
        <v>202202</v>
      </c>
      <c r="J7" s="7" t="n">
        <v>0</v>
      </c>
    </row>
    <row r="8" customFormat="false" ht="12.75" hidden="false" customHeight="false" outlineLevel="0" collapsed="false">
      <c r="A8" s="7" t="n">
        <v>20220203</v>
      </c>
      <c r="B8" s="7" t="n">
        <v>1</v>
      </c>
      <c r="C8" s="7" t="s">
        <v>37</v>
      </c>
      <c r="D8" s="7" t="s">
        <v>32</v>
      </c>
      <c r="E8" s="7" t="n">
        <v>20220203</v>
      </c>
      <c r="F8" s="7" t="s">
        <v>33</v>
      </c>
      <c r="G8" s="8" t="n">
        <v>-54.4444</v>
      </c>
      <c r="H8" s="7" t="n">
        <v>202202</v>
      </c>
      <c r="I8" s="7" t="n">
        <v>202202</v>
      </c>
      <c r="J8" s="7" t="n">
        <v>0</v>
      </c>
    </row>
    <row r="9" customFormat="false" ht="12.75" hidden="false" customHeight="false" outlineLevel="0" collapsed="false">
      <c r="A9" s="7" t="n">
        <v>20220203</v>
      </c>
      <c r="B9" s="7" t="n">
        <v>1</v>
      </c>
      <c r="C9" s="7" t="s">
        <v>38</v>
      </c>
      <c r="D9" s="7" t="s">
        <v>39</v>
      </c>
      <c r="E9" s="7" t="n">
        <v>20220203</v>
      </c>
      <c r="F9" s="7" t="s">
        <v>33</v>
      </c>
      <c r="G9" s="8" t="n">
        <v>210</v>
      </c>
      <c r="H9" s="7" t="n">
        <v>202202</v>
      </c>
      <c r="I9" s="7" t="n">
        <v>202202</v>
      </c>
      <c r="J9" s="7" t="n">
        <v>0</v>
      </c>
    </row>
    <row r="10" customFormat="false" ht="12.75" hidden="false" customHeight="false" outlineLevel="0" collapsed="false">
      <c r="A10" s="7" t="n">
        <v>20220203</v>
      </c>
      <c r="B10" s="7" t="n">
        <v>1</v>
      </c>
      <c r="C10" s="7" t="s">
        <v>35</v>
      </c>
      <c r="D10" s="7" t="s">
        <v>32</v>
      </c>
      <c r="E10" s="7" t="n">
        <v>20220203</v>
      </c>
      <c r="F10" s="7" t="s">
        <v>33</v>
      </c>
      <c r="G10" s="8" t="n">
        <v>27.7627</v>
      </c>
      <c r="H10" s="7" t="n">
        <v>202202</v>
      </c>
      <c r="I10" s="7" t="n">
        <v>202202</v>
      </c>
      <c r="J10" s="7" t="n">
        <v>0</v>
      </c>
    </row>
    <row r="11" customFormat="false" ht="12.75" hidden="false" customHeight="false" outlineLevel="0" collapsed="false">
      <c r="A11" s="7" t="n">
        <v>20220204</v>
      </c>
      <c r="B11" s="7" t="n">
        <v>1</v>
      </c>
      <c r="C11" s="7" t="s">
        <v>35</v>
      </c>
      <c r="D11" s="7" t="s">
        <v>32</v>
      </c>
      <c r="E11" s="7" t="n">
        <v>20220204</v>
      </c>
      <c r="F11" s="7" t="s">
        <v>33</v>
      </c>
      <c r="G11" s="8" t="n">
        <v>27.7627</v>
      </c>
      <c r="H11" s="7" t="n">
        <v>202202</v>
      </c>
      <c r="I11" s="7" t="n">
        <v>202202</v>
      </c>
      <c r="J11" s="7" t="n">
        <v>0</v>
      </c>
    </row>
    <row r="12" customFormat="false" ht="12.75" hidden="false" customHeight="false" outlineLevel="0" collapsed="false">
      <c r="A12" s="7" t="n">
        <v>20220205</v>
      </c>
      <c r="B12" s="7" t="n">
        <v>1</v>
      </c>
      <c r="C12" s="7" t="s">
        <v>35</v>
      </c>
      <c r="D12" s="7" t="s">
        <v>32</v>
      </c>
      <c r="E12" s="7" t="n">
        <v>20220205</v>
      </c>
      <c r="F12" s="7" t="s">
        <v>33</v>
      </c>
      <c r="G12" s="8" t="n">
        <v>41.644</v>
      </c>
      <c r="H12" s="7" t="n">
        <v>202202</v>
      </c>
      <c r="I12" s="7" t="n">
        <v>202202</v>
      </c>
      <c r="J12" s="7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" activeCellId="1" sqref="A3:A19 B1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3.71"/>
    <col collapsed="false" customWidth="true" hidden="false" outlineLevel="0" max="3" min="3" style="1" width="34.42"/>
    <col collapsed="false" customWidth="true" hidden="false" outlineLevel="0" max="4" min="4" style="1" width="11.14"/>
    <col collapsed="false" customWidth="true" hidden="false" outlineLevel="0" max="5" min="5" style="1" width="23.42"/>
    <col collapsed="false" customWidth="true" hidden="false" outlineLevel="0" max="6" min="6" style="1" width="13.86"/>
    <col collapsed="false" customWidth="true" hidden="false" outlineLevel="0" max="7" min="7" style="1" width="20.71"/>
  </cols>
  <sheetData>
    <row r="1" customFormat="false" ht="13.8" hidden="false" customHeight="false" outlineLevel="0" collapsed="false">
      <c r="A1" s="4" t="s">
        <v>40</v>
      </c>
      <c r="B1" s="5" t="s">
        <v>20</v>
      </c>
    </row>
    <row r="2" customFormat="false" ht="12.75" hidden="false" customHeight="true" outlineLevel="0" collapsed="false">
      <c r="A2" s="1" t="s">
        <v>21</v>
      </c>
      <c r="B2" s="1" t="s">
        <v>22</v>
      </c>
      <c r="C2" s="1" t="s">
        <v>41</v>
      </c>
      <c r="D2" s="1" t="s">
        <v>26</v>
      </c>
      <c r="E2" s="1" t="s">
        <v>42</v>
      </c>
      <c r="F2" s="1" t="s">
        <v>43</v>
      </c>
      <c r="G2" s="1" t="s">
        <v>44</v>
      </c>
    </row>
    <row r="3" customFormat="false" ht="12.75" hidden="false" customHeight="true" outlineLevel="0" collapsed="false">
      <c r="A3" s="7" t="n">
        <v>20220131</v>
      </c>
      <c r="B3" s="7" t="n">
        <v>1</v>
      </c>
      <c r="C3" s="7" t="s">
        <v>45</v>
      </c>
      <c r="D3" s="7" t="s">
        <v>33</v>
      </c>
      <c r="E3" s="7" t="n">
        <v>0</v>
      </c>
      <c r="F3" s="8" t="n">
        <v>100</v>
      </c>
      <c r="G3" s="8" t="n">
        <v>100</v>
      </c>
    </row>
    <row r="4" customFormat="false" ht="12.75" hidden="false" customHeight="true" outlineLevel="0" collapsed="false">
      <c r="A4" s="7" t="n">
        <v>20220131</v>
      </c>
      <c r="B4" s="7" t="n">
        <v>1</v>
      </c>
      <c r="C4" s="7" t="s">
        <v>46</v>
      </c>
      <c r="D4" s="7" t="s">
        <v>33</v>
      </c>
      <c r="E4" s="7" t="n">
        <v>0</v>
      </c>
      <c r="F4" s="8" t="n">
        <v>100000</v>
      </c>
      <c r="G4" s="8" t="n">
        <v>100000</v>
      </c>
    </row>
    <row r="5" customFormat="false" ht="12.75" hidden="false" customHeight="true" outlineLevel="0" collapsed="false">
      <c r="A5" s="7" t="n">
        <v>20220201</v>
      </c>
      <c r="B5" s="7" t="n">
        <v>1</v>
      </c>
      <c r="C5" s="7" t="s">
        <v>45</v>
      </c>
      <c r="D5" s="7" t="s">
        <v>33</v>
      </c>
      <c r="E5" s="8" t="n">
        <f aca="false">G3</f>
        <v>100</v>
      </c>
      <c r="F5" s="8" t="n">
        <f aca="false">F6</f>
        <v>27.7778</v>
      </c>
      <c r="G5" s="8" t="n">
        <f aca="false">E5+F5</f>
        <v>127.7778</v>
      </c>
    </row>
    <row r="6" customFormat="false" ht="12.75" hidden="false" customHeight="true" outlineLevel="0" collapsed="false">
      <c r="A6" s="7" t="n">
        <v>20220201</v>
      </c>
      <c r="B6" s="7" t="n">
        <v>1</v>
      </c>
      <c r="C6" s="7" t="s">
        <v>35</v>
      </c>
      <c r="D6" s="7" t="s">
        <v>33</v>
      </c>
      <c r="E6" s="7" t="n">
        <v>0</v>
      </c>
      <c r="F6" s="8" t="n">
        <f aca="false">O_TransactionActivity!G5</f>
        <v>27.7778</v>
      </c>
      <c r="G6" s="7" t="n">
        <f aca="false">E6+F6</f>
        <v>27.7778</v>
      </c>
    </row>
    <row r="7" customFormat="false" ht="12.75" hidden="false" customHeight="true" outlineLevel="0" collapsed="false">
      <c r="A7" s="7" t="n">
        <v>20220201</v>
      </c>
      <c r="B7" s="7" t="n">
        <v>1</v>
      </c>
      <c r="C7" s="7" t="s">
        <v>46</v>
      </c>
      <c r="D7" s="7" t="s">
        <v>33</v>
      </c>
      <c r="E7" s="8" t="n">
        <f aca="false">F4</f>
        <v>100000</v>
      </c>
      <c r="F7" s="8" t="n">
        <v>0</v>
      </c>
      <c r="G7" s="8" t="n">
        <f aca="false">E7+F7</f>
        <v>100000</v>
      </c>
    </row>
    <row r="8" customFormat="false" ht="12.75" hidden="false" customHeight="true" outlineLevel="0" collapsed="false">
      <c r="A8" s="7" t="n">
        <v>20220202</v>
      </c>
      <c r="B8" s="7" t="n">
        <v>1</v>
      </c>
      <c r="C8" s="7" t="s">
        <v>45</v>
      </c>
      <c r="D8" s="7" t="s">
        <v>33</v>
      </c>
      <c r="E8" s="8" t="n">
        <f aca="false">G5</f>
        <v>127.7778</v>
      </c>
      <c r="F8" s="8" t="n">
        <f aca="false">F9</f>
        <v>27.7778</v>
      </c>
      <c r="G8" s="7" t="n">
        <f aca="false">E8+F8</f>
        <v>155.5556</v>
      </c>
    </row>
    <row r="9" customFormat="false" ht="12.75" hidden="false" customHeight="true" outlineLevel="0" collapsed="false">
      <c r="A9" s="7" t="n">
        <v>20220202</v>
      </c>
      <c r="B9" s="7" t="n">
        <v>1</v>
      </c>
      <c r="C9" s="7" t="s">
        <v>35</v>
      </c>
      <c r="D9" s="7" t="s">
        <v>33</v>
      </c>
      <c r="E9" s="8" t="n">
        <f aca="false">G6</f>
        <v>27.7778</v>
      </c>
      <c r="F9" s="8" t="n">
        <f aca="false">E9</f>
        <v>27.7778</v>
      </c>
      <c r="G9" s="7" t="n">
        <f aca="false">E9+F9</f>
        <v>55.5556</v>
      </c>
    </row>
    <row r="10" customFormat="false" ht="12.75" hidden="false" customHeight="true" outlineLevel="0" collapsed="false">
      <c r="A10" s="7" t="n">
        <v>20220202</v>
      </c>
      <c r="B10" s="7" t="n">
        <v>1</v>
      </c>
      <c r="C10" s="7" t="s">
        <v>46</v>
      </c>
      <c r="D10" s="7" t="s">
        <v>33</v>
      </c>
      <c r="E10" s="8" t="n">
        <f aca="false">G7</f>
        <v>100000</v>
      </c>
      <c r="F10" s="8" t="n">
        <v>0</v>
      </c>
      <c r="G10" s="7" t="n">
        <f aca="false">E10+F10</f>
        <v>100000</v>
      </c>
    </row>
    <row r="11" customFormat="false" ht="12.75" hidden="false" customHeight="true" outlineLevel="0" collapsed="false">
      <c r="A11" s="7" t="n">
        <v>20220203</v>
      </c>
      <c r="B11" s="7" t="n">
        <v>1</v>
      </c>
      <c r="C11" s="7" t="s">
        <v>45</v>
      </c>
      <c r="D11" s="7" t="s">
        <v>33</v>
      </c>
      <c r="E11" s="7" t="n">
        <f aca="false">G8</f>
        <v>155.5556</v>
      </c>
      <c r="F11" s="7" t="n">
        <f aca="false">O_TransactionActivity!G7+O_TransactionActivity!G10</f>
        <v>-127.7929</v>
      </c>
      <c r="G11" s="7" t="n">
        <f aca="false">E11+F11</f>
        <v>27.7627</v>
      </c>
    </row>
    <row r="12" customFormat="false" ht="12.75" hidden="false" customHeight="true" outlineLevel="0" collapsed="false">
      <c r="A12" s="7" t="n">
        <v>20220203</v>
      </c>
      <c r="B12" s="7" t="n">
        <v>1</v>
      </c>
      <c r="C12" s="7" t="s">
        <v>35</v>
      </c>
      <c r="D12" s="7" t="s">
        <v>33</v>
      </c>
      <c r="E12" s="7" t="n">
        <f aca="false">G9</f>
        <v>55.5556</v>
      </c>
      <c r="F12" s="7" t="n">
        <f aca="false">O_TransactionActivity!G10</f>
        <v>27.7627</v>
      </c>
      <c r="G12" s="7" t="n">
        <f aca="false">E12+F12</f>
        <v>83.3183</v>
      </c>
    </row>
    <row r="13" customFormat="false" ht="12.75" hidden="false" customHeight="true" outlineLevel="0" collapsed="false">
      <c r="A13" s="7" t="n">
        <v>20220203</v>
      </c>
      <c r="B13" s="7" t="n">
        <v>1</v>
      </c>
      <c r="C13" s="7" t="s">
        <v>46</v>
      </c>
      <c r="D13" s="7" t="s">
        <v>33</v>
      </c>
      <c r="E13" s="7" t="n">
        <f aca="false">G10</f>
        <v>100000</v>
      </c>
      <c r="F13" s="7" t="n">
        <f aca="false">O_TransactionActivity!G8</f>
        <v>-54.4444</v>
      </c>
      <c r="G13" s="7" t="n">
        <f aca="false">E13+F13</f>
        <v>99945.5556</v>
      </c>
    </row>
    <row r="14" customFormat="false" ht="12.75" hidden="false" customHeight="true" outlineLevel="0" collapsed="false">
      <c r="A14" s="7" t="n">
        <v>20220204</v>
      </c>
      <c r="B14" s="7" t="n">
        <v>1</v>
      </c>
      <c r="C14" s="7" t="s">
        <v>45</v>
      </c>
      <c r="D14" s="7" t="s">
        <v>33</v>
      </c>
      <c r="E14" s="7" t="n">
        <f aca="false">G11</f>
        <v>27.7627</v>
      </c>
      <c r="F14" s="7" t="n">
        <f aca="false">O_TransactionActivity!G11</f>
        <v>27.7627</v>
      </c>
      <c r="G14" s="7" t="n">
        <f aca="false">E14+F14</f>
        <v>55.5254</v>
      </c>
    </row>
    <row r="15" customFormat="false" ht="12.75" hidden="false" customHeight="true" outlineLevel="0" collapsed="false">
      <c r="A15" s="7" t="n">
        <v>20220204</v>
      </c>
      <c r="B15" s="7" t="n">
        <v>1</v>
      </c>
      <c r="C15" s="7" t="s">
        <v>35</v>
      </c>
      <c r="D15" s="7" t="s">
        <v>33</v>
      </c>
      <c r="E15" s="7" t="n">
        <f aca="false">G12</f>
        <v>83.3183</v>
      </c>
      <c r="F15" s="7" t="n">
        <f aca="false">F14</f>
        <v>27.7627</v>
      </c>
      <c r="G15" s="7" t="n">
        <f aca="false">E15+F15</f>
        <v>111.081</v>
      </c>
    </row>
    <row r="16" customFormat="false" ht="12.75" hidden="false" customHeight="true" outlineLevel="0" collapsed="false">
      <c r="A16" s="7" t="n">
        <v>20220204</v>
      </c>
      <c r="B16" s="7" t="n">
        <v>1</v>
      </c>
      <c r="C16" s="7" t="s">
        <v>46</v>
      </c>
      <c r="D16" s="7" t="s">
        <v>33</v>
      </c>
      <c r="E16" s="7" t="n">
        <f aca="false">G13</f>
        <v>99945.5556</v>
      </c>
      <c r="F16" s="7" t="n">
        <v>0</v>
      </c>
      <c r="G16" s="7" t="n">
        <f aca="false">E16+F16</f>
        <v>99945.5556</v>
      </c>
    </row>
    <row r="17" customFormat="false" ht="12.75" hidden="false" customHeight="true" outlineLevel="0" collapsed="false">
      <c r="A17" s="7" t="n">
        <v>20220205</v>
      </c>
      <c r="B17" s="7" t="n">
        <v>1</v>
      </c>
      <c r="C17" s="7" t="s">
        <v>45</v>
      </c>
      <c r="D17" s="7" t="s">
        <v>33</v>
      </c>
      <c r="E17" s="7" t="n">
        <f aca="false">G14</f>
        <v>55.5254</v>
      </c>
      <c r="F17" s="7" t="n">
        <f aca="false">O_TransactionActivity!G12</f>
        <v>41.644</v>
      </c>
      <c r="G17" s="7" t="n">
        <f aca="false">E17+F17</f>
        <v>97.1694</v>
      </c>
    </row>
    <row r="18" customFormat="false" ht="12.75" hidden="false" customHeight="true" outlineLevel="0" collapsed="false">
      <c r="A18" s="7" t="n">
        <v>20220205</v>
      </c>
      <c r="B18" s="7" t="n">
        <v>1</v>
      </c>
      <c r="C18" s="7" t="s">
        <v>35</v>
      </c>
      <c r="D18" s="7" t="s">
        <v>33</v>
      </c>
      <c r="E18" s="7" t="n">
        <f aca="false">G15</f>
        <v>111.081</v>
      </c>
      <c r="F18" s="7" t="n">
        <f aca="false">F17</f>
        <v>41.644</v>
      </c>
      <c r="G18" s="7" t="n">
        <f aca="false">E18+F18</f>
        <v>152.725</v>
      </c>
    </row>
    <row r="19" customFormat="false" ht="12.75" hidden="false" customHeight="true" outlineLevel="0" collapsed="false">
      <c r="A19" s="7" t="n">
        <v>20220205</v>
      </c>
      <c r="B19" s="7" t="n">
        <v>1</v>
      </c>
      <c r="C19" s="7" t="s">
        <v>46</v>
      </c>
      <c r="D19" s="7" t="s">
        <v>33</v>
      </c>
      <c r="E19" s="7" t="n">
        <f aca="false">G16</f>
        <v>99945.5556</v>
      </c>
      <c r="F19" s="7" t="n">
        <v>0</v>
      </c>
      <c r="G19" s="7" t="n">
        <f aca="false">E19+F19</f>
        <v>99945.5556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3" activeCellId="0" sqref="A3:A19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1.71"/>
    <col collapsed="false" customWidth="true" hidden="false" outlineLevel="0" max="2" min="2" style="1" width="46.57"/>
    <col collapsed="false" customWidth="true" hidden="false" outlineLevel="0" max="3" min="3" style="1" width="21.71"/>
    <col collapsed="false" customWidth="true" hidden="false" outlineLevel="0" max="4" min="4" style="1" width="14.23"/>
    <col collapsed="false" customWidth="true" hidden="false" outlineLevel="0" max="5" min="5" style="1" width="23.62"/>
    <col collapsed="false" customWidth="true" hidden="false" outlineLevel="0" max="6" min="6" style="1" width="21.07"/>
  </cols>
  <sheetData>
    <row r="1" customFormat="false" ht="13.8" hidden="false" customHeight="false" outlineLevel="0" collapsed="false">
      <c r="A1" s="4" t="s">
        <v>47</v>
      </c>
      <c r="B1" s="5" t="s">
        <v>20</v>
      </c>
    </row>
    <row r="2" customFormat="false" ht="12.75" hidden="false" customHeight="false" outlineLevel="0" collapsed="false">
      <c r="A2" s="1" t="s">
        <v>21</v>
      </c>
      <c r="B2" s="1" t="s">
        <v>41</v>
      </c>
      <c r="C2" s="1" t="s">
        <v>26</v>
      </c>
      <c r="D2" s="7" t="s">
        <v>42</v>
      </c>
      <c r="E2" s="7" t="s">
        <v>43</v>
      </c>
      <c r="F2" s="7" t="s">
        <v>44</v>
      </c>
    </row>
    <row r="3" customFormat="false" ht="12.75" hidden="false" customHeight="false" outlineLevel="0" collapsed="false">
      <c r="A3" s="7" t="n">
        <v>20220131</v>
      </c>
      <c r="B3" s="7" t="s">
        <v>45</v>
      </c>
      <c r="C3" s="1" t="s">
        <v>33</v>
      </c>
      <c r="D3" s="7" t="n">
        <v>0</v>
      </c>
      <c r="E3" s="7" t="n">
        <v>100</v>
      </c>
      <c r="F3" s="7" t="n">
        <v>100</v>
      </c>
    </row>
    <row r="4" customFormat="false" ht="12.75" hidden="false" customHeight="false" outlineLevel="0" collapsed="false">
      <c r="A4" s="7" t="n">
        <v>20220131</v>
      </c>
      <c r="B4" s="7" t="s">
        <v>46</v>
      </c>
      <c r="C4" s="1" t="s">
        <v>33</v>
      </c>
      <c r="D4" s="7" t="n">
        <v>0</v>
      </c>
      <c r="E4" s="7" t="n">
        <v>100000</v>
      </c>
      <c r="F4" s="7" t="n">
        <v>100000</v>
      </c>
    </row>
    <row r="5" customFormat="false" ht="12.75" hidden="false" customHeight="false" outlineLevel="0" collapsed="false">
      <c r="A5" s="7" t="n">
        <v>20220201</v>
      </c>
      <c r="B5" s="7" t="s">
        <v>45</v>
      </c>
      <c r="C5" s="1" t="s">
        <v>33</v>
      </c>
      <c r="D5" s="7" t="n">
        <v>100</v>
      </c>
      <c r="E5" s="7" t="n">
        <v>27.7778</v>
      </c>
      <c r="F5" s="7" t="n">
        <v>127.7778</v>
      </c>
    </row>
    <row r="6" customFormat="false" ht="12.75" hidden="false" customHeight="false" outlineLevel="0" collapsed="false">
      <c r="A6" s="7" t="n">
        <v>20220201</v>
      </c>
      <c r="B6" s="7" t="s">
        <v>35</v>
      </c>
      <c r="C6" s="1" t="s">
        <v>33</v>
      </c>
      <c r="D6" s="7" t="n">
        <v>0</v>
      </c>
      <c r="E6" s="7" t="n">
        <v>27.7778</v>
      </c>
      <c r="F6" s="7" t="n">
        <v>27.7778</v>
      </c>
    </row>
    <row r="7" customFormat="false" ht="12.75" hidden="false" customHeight="true" outlineLevel="0" collapsed="false">
      <c r="A7" s="7" t="n">
        <v>20220201</v>
      </c>
      <c r="B7" s="7" t="s">
        <v>46</v>
      </c>
      <c r="C7" s="1" t="s">
        <v>33</v>
      </c>
      <c r="D7" s="7" t="n">
        <v>100000</v>
      </c>
      <c r="E7" s="7" t="n">
        <v>0</v>
      </c>
      <c r="F7" s="7" t="n">
        <v>100000</v>
      </c>
    </row>
    <row r="8" customFormat="false" ht="12.75" hidden="false" customHeight="true" outlineLevel="0" collapsed="false">
      <c r="A8" s="7" t="n">
        <v>20220202</v>
      </c>
      <c r="B8" s="7" t="s">
        <v>45</v>
      </c>
      <c r="C8" s="1" t="s">
        <v>33</v>
      </c>
      <c r="D8" s="7" t="n">
        <v>127.7778</v>
      </c>
      <c r="E8" s="7" t="n">
        <v>27.7778</v>
      </c>
      <c r="F8" s="7" t="n">
        <v>155.5556</v>
      </c>
    </row>
    <row r="9" customFormat="false" ht="12.75" hidden="false" customHeight="true" outlineLevel="0" collapsed="false">
      <c r="A9" s="7" t="n">
        <v>20220202</v>
      </c>
      <c r="B9" s="7" t="s">
        <v>35</v>
      </c>
      <c r="C9" s="1" t="s">
        <v>33</v>
      </c>
      <c r="D9" s="7" t="n">
        <v>27.7778</v>
      </c>
      <c r="E9" s="7" t="n">
        <v>27.7778</v>
      </c>
      <c r="F9" s="7" t="n">
        <v>55.5556</v>
      </c>
    </row>
    <row r="10" customFormat="false" ht="12.75" hidden="false" customHeight="true" outlineLevel="0" collapsed="false">
      <c r="A10" s="7" t="n">
        <v>20220202</v>
      </c>
      <c r="B10" s="7" t="s">
        <v>46</v>
      </c>
      <c r="C10" s="1" t="s">
        <v>33</v>
      </c>
      <c r="D10" s="7" t="n">
        <v>100000</v>
      </c>
      <c r="E10" s="7" t="n">
        <v>0</v>
      </c>
      <c r="F10" s="7" t="n">
        <v>100000</v>
      </c>
    </row>
    <row r="11" customFormat="false" ht="12.75" hidden="false" customHeight="true" outlineLevel="0" collapsed="false">
      <c r="A11" s="7" t="n">
        <v>20220203</v>
      </c>
      <c r="B11" s="7" t="s">
        <v>45</v>
      </c>
      <c r="C11" s="1" t="s">
        <v>33</v>
      </c>
      <c r="D11" s="7" t="n">
        <v>155.5556</v>
      </c>
      <c r="E11" s="7" t="n">
        <v>-127.7929</v>
      </c>
      <c r="F11" s="7" t="n">
        <v>27.7627</v>
      </c>
    </row>
    <row r="12" customFormat="false" ht="12.75" hidden="false" customHeight="true" outlineLevel="0" collapsed="false">
      <c r="A12" s="7" t="n">
        <v>20220203</v>
      </c>
      <c r="B12" s="7" t="s">
        <v>35</v>
      </c>
      <c r="C12" s="1" t="s">
        <v>33</v>
      </c>
      <c r="D12" s="7" t="n">
        <v>55.5556</v>
      </c>
      <c r="E12" s="7" t="n">
        <v>27.7627</v>
      </c>
      <c r="F12" s="7" t="n">
        <v>83.3183</v>
      </c>
    </row>
    <row r="13" customFormat="false" ht="12.75" hidden="false" customHeight="true" outlineLevel="0" collapsed="false">
      <c r="A13" s="7" t="n">
        <v>20220203</v>
      </c>
      <c r="B13" s="7" t="s">
        <v>46</v>
      </c>
      <c r="C13" s="1" t="s">
        <v>33</v>
      </c>
      <c r="D13" s="7" t="n">
        <v>100000</v>
      </c>
      <c r="E13" s="7" t="n">
        <v>-54.4444</v>
      </c>
      <c r="F13" s="7" t="n">
        <v>99945.5556</v>
      </c>
    </row>
    <row r="14" customFormat="false" ht="12.75" hidden="false" customHeight="true" outlineLevel="0" collapsed="false">
      <c r="A14" s="7" t="n">
        <v>20220204</v>
      </c>
      <c r="B14" s="7" t="s">
        <v>45</v>
      </c>
      <c r="C14" s="1" t="s">
        <v>33</v>
      </c>
      <c r="D14" s="7" t="n">
        <v>27.7627</v>
      </c>
      <c r="E14" s="7" t="n">
        <v>27.7627</v>
      </c>
      <c r="F14" s="7" t="n">
        <v>55.5254</v>
      </c>
    </row>
    <row r="15" customFormat="false" ht="12.75" hidden="false" customHeight="true" outlineLevel="0" collapsed="false">
      <c r="A15" s="7" t="n">
        <v>20220204</v>
      </c>
      <c r="B15" s="7" t="s">
        <v>35</v>
      </c>
      <c r="C15" s="1" t="s">
        <v>33</v>
      </c>
      <c r="D15" s="7" t="n">
        <v>83.3183</v>
      </c>
      <c r="E15" s="7" t="n">
        <v>27.7627</v>
      </c>
      <c r="F15" s="7" t="n">
        <v>111.081</v>
      </c>
    </row>
    <row r="16" customFormat="false" ht="12.75" hidden="false" customHeight="true" outlineLevel="0" collapsed="false">
      <c r="A16" s="7" t="n">
        <v>20220204</v>
      </c>
      <c r="B16" s="7" t="s">
        <v>46</v>
      </c>
      <c r="C16" s="1" t="s">
        <v>33</v>
      </c>
      <c r="D16" s="7" t="n">
        <v>99945.5556</v>
      </c>
      <c r="E16" s="7" t="n">
        <v>0</v>
      </c>
      <c r="F16" s="7" t="n">
        <v>99945.5556</v>
      </c>
    </row>
    <row r="17" customFormat="false" ht="12.75" hidden="false" customHeight="true" outlineLevel="0" collapsed="false">
      <c r="A17" s="7" t="n">
        <v>20220205</v>
      </c>
      <c r="B17" s="7" t="s">
        <v>45</v>
      </c>
      <c r="C17" s="1" t="s">
        <v>33</v>
      </c>
      <c r="D17" s="7" t="n">
        <v>55.5254</v>
      </c>
      <c r="E17" s="7" t="n">
        <v>41.644</v>
      </c>
      <c r="F17" s="7" t="n">
        <v>97.1694</v>
      </c>
    </row>
    <row r="18" customFormat="false" ht="12.75" hidden="false" customHeight="true" outlineLevel="0" collapsed="false">
      <c r="A18" s="7" t="n">
        <v>20220205</v>
      </c>
      <c r="B18" s="7" t="s">
        <v>35</v>
      </c>
      <c r="C18" s="1" t="s">
        <v>33</v>
      </c>
      <c r="D18" s="7" t="n">
        <v>111.081</v>
      </c>
      <c r="E18" s="7" t="n">
        <v>41.644</v>
      </c>
      <c r="F18" s="7" t="n">
        <v>152.725</v>
      </c>
    </row>
    <row r="19" customFormat="false" ht="12.75" hidden="false" customHeight="true" outlineLevel="0" collapsed="false">
      <c r="A19" s="7" t="n">
        <v>20220205</v>
      </c>
      <c r="B19" s="7" t="s">
        <v>46</v>
      </c>
      <c r="C19" s="1" t="s">
        <v>33</v>
      </c>
      <c r="D19" s="7" t="n">
        <v>99945.5556</v>
      </c>
      <c r="E19" s="7" t="n">
        <v>0</v>
      </c>
      <c r="F19" s="7" t="n">
        <v>99945.5556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3" activeCellId="0" sqref="A3:A19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1.71"/>
    <col collapsed="false" customWidth="true" hidden="false" outlineLevel="0" max="2" min="2" style="1" width="46.57"/>
    <col collapsed="false" customWidth="true" hidden="false" outlineLevel="0" max="3" min="3" style="1" width="23.57"/>
    <col collapsed="false" customWidth="true" hidden="false" outlineLevel="0" max="5" min="4" style="1" width="24.86"/>
    <col collapsed="false" customWidth="true" hidden="false" outlineLevel="0" max="6" min="6" style="1" width="23.57"/>
    <col collapsed="false" customWidth="true" hidden="false" outlineLevel="0" max="7" min="7" style="1" width="21"/>
  </cols>
  <sheetData>
    <row r="1" customFormat="false" ht="13.8" hidden="false" customHeight="false" outlineLevel="0" collapsed="false">
      <c r="A1" s="4" t="s">
        <v>48</v>
      </c>
      <c r="B1" s="5" t="s">
        <v>49</v>
      </c>
    </row>
    <row r="2" customFormat="false" ht="12.75" hidden="false" customHeight="false" outlineLevel="0" collapsed="false">
      <c r="A2" s="7" t="s">
        <v>21</v>
      </c>
      <c r="B2" s="7" t="s">
        <v>41</v>
      </c>
      <c r="C2" s="7" t="s">
        <v>42</v>
      </c>
      <c r="D2" s="7" t="s">
        <v>43</v>
      </c>
      <c r="E2" s="7" t="s">
        <v>44</v>
      </c>
    </row>
    <row r="3" customFormat="false" ht="12.75" hidden="false" customHeight="false" outlineLevel="0" collapsed="false">
      <c r="A3" s="7" t="n">
        <v>20220131</v>
      </c>
      <c r="B3" s="7" t="s">
        <v>45</v>
      </c>
      <c r="C3" s="7" t="n">
        <v>0</v>
      </c>
      <c r="D3" s="7" t="n">
        <v>100</v>
      </c>
      <c r="E3" s="7" t="n">
        <v>100</v>
      </c>
    </row>
    <row r="4" customFormat="false" ht="12.75" hidden="false" customHeight="false" outlineLevel="0" collapsed="false">
      <c r="A4" s="7" t="n">
        <v>20220131</v>
      </c>
      <c r="B4" s="7" t="s">
        <v>46</v>
      </c>
      <c r="C4" s="7" t="n">
        <v>0</v>
      </c>
      <c r="D4" s="7" t="n">
        <v>100000</v>
      </c>
      <c r="E4" s="7" t="n">
        <v>100000</v>
      </c>
    </row>
    <row r="5" customFormat="false" ht="12.75" hidden="false" customHeight="false" outlineLevel="0" collapsed="false">
      <c r="A5" s="7" t="n">
        <v>20220201</v>
      </c>
      <c r="B5" s="7" t="s">
        <v>45</v>
      </c>
      <c r="C5" s="7" t="n">
        <v>100</v>
      </c>
      <c r="D5" s="7" t="n">
        <v>27.7778</v>
      </c>
      <c r="E5" s="7" t="n">
        <v>127.7778</v>
      </c>
    </row>
    <row r="6" customFormat="false" ht="12.75" hidden="false" customHeight="false" outlineLevel="0" collapsed="false">
      <c r="A6" s="7" t="n">
        <v>20220201</v>
      </c>
      <c r="B6" s="7" t="s">
        <v>35</v>
      </c>
      <c r="C6" s="7" t="n">
        <v>0</v>
      </c>
      <c r="D6" s="7" t="n">
        <v>27.7778</v>
      </c>
      <c r="E6" s="7" t="n">
        <v>27.7778</v>
      </c>
    </row>
    <row r="7" customFormat="false" ht="12.75" hidden="false" customHeight="true" outlineLevel="0" collapsed="false">
      <c r="A7" s="7" t="n">
        <v>20220201</v>
      </c>
      <c r="B7" s="7" t="s">
        <v>46</v>
      </c>
      <c r="C7" s="7" t="n">
        <v>100000</v>
      </c>
      <c r="D7" s="7" t="n">
        <v>0</v>
      </c>
      <c r="E7" s="7" t="n">
        <v>100000</v>
      </c>
    </row>
    <row r="8" customFormat="false" ht="12.75" hidden="false" customHeight="true" outlineLevel="0" collapsed="false">
      <c r="A8" s="7" t="n">
        <v>20220202</v>
      </c>
      <c r="B8" s="7" t="s">
        <v>45</v>
      </c>
      <c r="C8" s="7" t="n">
        <v>127.7778</v>
      </c>
      <c r="D8" s="7" t="n">
        <v>27.7778</v>
      </c>
      <c r="E8" s="7" t="n">
        <v>155.5556</v>
      </c>
    </row>
    <row r="9" customFormat="false" ht="12.75" hidden="false" customHeight="true" outlineLevel="0" collapsed="false">
      <c r="A9" s="7" t="n">
        <v>20220202</v>
      </c>
      <c r="B9" s="7" t="s">
        <v>35</v>
      </c>
      <c r="C9" s="7" t="n">
        <v>27.7778</v>
      </c>
      <c r="D9" s="7" t="n">
        <v>27.7778</v>
      </c>
      <c r="E9" s="7" t="n">
        <v>55.5556</v>
      </c>
    </row>
    <row r="10" customFormat="false" ht="12.75" hidden="false" customHeight="true" outlineLevel="0" collapsed="false">
      <c r="A10" s="7" t="n">
        <v>20220202</v>
      </c>
      <c r="B10" s="7" t="s">
        <v>46</v>
      </c>
      <c r="C10" s="7" t="n">
        <v>100000</v>
      </c>
      <c r="D10" s="7" t="n">
        <v>0</v>
      </c>
      <c r="E10" s="7" t="n">
        <v>100000</v>
      </c>
    </row>
    <row r="11" customFormat="false" ht="12.75" hidden="false" customHeight="true" outlineLevel="0" collapsed="false">
      <c r="A11" s="7" t="n">
        <v>20220203</v>
      </c>
      <c r="B11" s="7" t="s">
        <v>45</v>
      </c>
      <c r="C11" s="7" t="n">
        <v>155.5556</v>
      </c>
      <c r="D11" s="7" t="n">
        <v>-127.7929</v>
      </c>
      <c r="E11" s="7" t="n">
        <v>27.7627</v>
      </c>
    </row>
    <row r="12" customFormat="false" ht="12.75" hidden="false" customHeight="true" outlineLevel="0" collapsed="false">
      <c r="A12" s="7" t="n">
        <v>20220203</v>
      </c>
      <c r="B12" s="7" t="s">
        <v>35</v>
      </c>
      <c r="C12" s="7" t="n">
        <v>55.5556</v>
      </c>
      <c r="D12" s="7" t="n">
        <v>27.7627</v>
      </c>
      <c r="E12" s="7" t="n">
        <v>83.3183</v>
      </c>
    </row>
    <row r="13" customFormat="false" ht="12.75" hidden="false" customHeight="true" outlineLevel="0" collapsed="false">
      <c r="A13" s="7" t="n">
        <v>20220203</v>
      </c>
      <c r="B13" s="7" t="s">
        <v>46</v>
      </c>
      <c r="C13" s="7" t="n">
        <v>100000</v>
      </c>
      <c r="D13" s="7" t="n">
        <v>-54.4444</v>
      </c>
      <c r="E13" s="7" t="n">
        <v>99945.5556</v>
      </c>
    </row>
    <row r="14" customFormat="false" ht="12.75" hidden="false" customHeight="true" outlineLevel="0" collapsed="false">
      <c r="A14" s="7" t="n">
        <v>20220204</v>
      </c>
      <c r="B14" s="7" t="s">
        <v>45</v>
      </c>
      <c r="C14" s="7" t="n">
        <v>27.7627</v>
      </c>
      <c r="D14" s="7" t="n">
        <v>27.7627</v>
      </c>
      <c r="E14" s="7" t="n">
        <v>55.5254</v>
      </c>
    </row>
    <row r="15" customFormat="false" ht="12.75" hidden="false" customHeight="true" outlineLevel="0" collapsed="false">
      <c r="A15" s="7" t="n">
        <v>20220204</v>
      </c>
      <c r="B15" s="7" t="s">
        <v>35</v>
      </c>
      <c r="C15" s="7" t="n">
        <v>83.3183</v>
      </c>
      <c r="D15" s="7" t="n">
        <v>27.7627</v>
      </c>
      <c r="E15" s="7" t="n">
        <v>111.081</v>
      </c>
    </row>
    <row r="16" customFormat="false" ht="12.75" hidden="false" customHeight="true" outlineLevel="0" collapsed="false">
      <c r="A16" s="7" t="n">
        <v>20220204</v>
      </c>
      <c r="B16" s="7" t="s">
        <v>46</v>
      </c>
      <c r="C16" s="7" t="n">
        <v>99945.5556</v>
      </c>
      <c r="D16" s="7" t="n">
        <v>0</v>
      </c>
      <c r="E16" s="7" t="n">
        <v>99945.5556</v>
      </c>
    </row>
    <row r="17" customFormat="false" ht="12.75" hidden="false" customHeight="true" outlineLevel="0" collapsed="false">
      <c r="A17" s="7" t="n">
        <v>20220205</v>
      </c>
      <c r="B17" s="7" t="s">
        <v>45</v>
      </c>
      <c r="C17" s="7" t="n">
        <v>55.5254</v>
      </c>
      <c r="D17" s="7" t="n">
        <v>41.644</v>
      </c>
      <c r="E17" s="7" t="n">
        <v>97.1694</v>
      </c>
    </row>
    <row r="18" customFormat="false" ht="12.75" hidden="false" customHeight="true" outlineLevel="0" collapsed="false">
      <c r="A18" s="7" t="n">
        <v>20220205</v>
      </c>
      <c r="B18" s="7" t="s">
        <v>35</v>
      </c>
      <c r="C18" s="7" t="n">
        <v>111.081</v>
      </c>
      <c r="D18" s="7" t="n">
        <v>41.644</v>
      </c>
      <c r="E18" s="7" t="n">
        <v>152.725</v>
      </c>
    </row>
    <row r="19" customFormat="false" ht="12.75" hidden="false" customHeight="true" outlineLevel="0" collapsed="false">
      <c r="A19" s="7" t="n">
        <v>20220205</v>
      </c>
      <c r="B19" s="7" t="s">
        <v>46</v>
      </c>
      <c r="C19" s="7" t="n">
        <v>99945.5556</v>
      </c>
      <c r="D19" s="7" t="n">
        <v>0</v>
      </c>
      <c r="E19" s="7" t="n">
        <v>99945.5556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2" activeCellId="1" sqref="A3:A19 D22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1.71"/>
    <col collapsed="false" customWidth="true" hidden="false" outlineLevel="0" max="2" min="2" style="1" width="21.84"/>
    <col collapsed="false" customWidth="true" hidden="false" outlineLevel="0" max="3" min="3" style="1" width="24.14"/>
    <col collapsed="false" customWidth="true" hidden="false" outlineLevel="0" max="5" min="5" style="1" width="24.71"/>
    <col collapsed="false" customWidth="true" hidden="false" outlineLevel="0" max="6" min="6" style="1" width="23.14"/>
    <col collapsed="false" customWidth="true" hidden="false" outlineLevel="0" max="8" min="8" style="1" width="7"/>
    <col collapsed="false" customWidth="true" hidden="false" outlineLevel="0" max="9" min="9" style="1" width="20.42"/>
    <col collapsed="false" customWidth="true" hidden="false" outlineLevel="0" max="10" min="10" style="1" width="21.14"/>
    <col collapsed="false" customWidth="true" hidden="false" outlineLevel="0" max="12" min="11" style="1" width="24.14"/>
    <col collapsed="false" customWidth="true" hidden="false" outlineLevel="0" max="13" min="13" style="1" width="19"/>
    <col collapsed="false" customWidth="true" hidden="false" outlineLevel="0" max="14" min="14" style="1" width="31.57"/>
    <col collapsed="false" customWidth="true" hidden="false" outlineLevel="0" max="15" min="15" style="1" width="16.71"/>
    <col collapsed="false" customWidth="true" hidden="false" outlineLevel="0" max="16" min="16" style="1" width="26.29"/>
    <col collapsed="false" customWidth="true" hidden="false" outlineLevel="0" max="17" min="17" style="1" width="21.71"/>
    <col collapsed="false" customWidth="true" hidden="false" outlineLevel="0" max="18" min="18" style="1" width="30.43"/>
  </cols>
  <sheetData>
    <row r="1" customFormat="false" ht="13.8" hidden="false" customHeight="false" outlineLevel="0" collapsed="false">
      <c r="A1" s="4" t="s">
        <v>50</v>
      </c>
      <c r="B1" s="5" t="s">
        <v>51</v>
      </c>
    </row>
    <row r="2" customFormat="false" ht="12.75" hidden="false" customHeight="false" outlineLevel="0" collapsed="false">
      <c r="A2" s="1" t="s">
        <v>21</v>
      </c>
      <c r="B2" s="1" t="s">
        <v>22</v>
      </c>
      <c r="C2" s="1" t="s">
        <v>52</v>
      </c>
      <c r="D2" s="1" t="s">
        <v>26</v>
      </c>
      <c r="E2" s="1" t="s">
        <v>53</v>
      </c>
      <c r="F2" s="1" t="s">
        <v>54</v>
      </c>
      <c r="G2" s="1" t="s">
        <v>55</v>
      </c>
      <c r="H2" s="1" t="s">
        <v>56</v>
      </c>
      <c r="I2" s="1" t="s">
        <v>57</v>
      </c>
      <c r="J2" s="1" t="s">
        <v>58</v>
      </c>
      <c r="K2" s="1" t="s">
        <v>59</v>
      </c>
      <c r="L2" s="1" t="s">
        <v>60</v>
      </c>
      <c r="M2" s="1" t="s">
        <v>61</v>
      </c>
      <c r="N2" s="1" t="s">
        <v>62</v>
      </c>
      <c r="O2" s="1" t="s">
        <v>63</v>
      </c>
      <c r="P2" s="1" t="s">
        <v>64</v>
      </c>
      <c r="Q2" s="1" t="s">
        <v>65</v>
      </c>
      <c r="R2" s="1" t="s">
        <v>66</v>
      </c>
      <c r="S2" s="1" t="s">
        <v>67</v>
      </c>
      <c r="T2" s="1" t="s">
        <v>68</v>
      </c>
      <c r="U2" s="1" t="s">
        <v>69</v>
      </c>
    </row>
    <row r="3" customFormat="false" ht="12.75" hidden="false" customHeight="false" outlineLevel="0" collapsed="false">
      <c r="A3" s="1" t="n">
        <v>20220131</v>
      </c>
      <c r="B3" s="1" t="n">
        <v>1</v>
      </c>
      <c r="C3" s="1" t="s">
        <v>70</v>
      </c>
      <c r="D3" s="1" t="s">
        <v>33</v>
      </c>
      <c r="E3" s="1" t="n">
        <v>1</v>
      </c>
      <c r="F3" s="1" t="s">
        <v>71</v>
      </c>
      <c r="G3" s="1" t="n">
        <v>202201</v>
      </c>
      <c r="H3" s="1" t="s">
        <v>39</v>
      </c>
      <c r="I3" s="1" t="s">
        <v>72</v>
      </c>
      <c r="K3" s="1" t="s">
        <v>73</v>
      </c>
      <c r="O3" s="1" t="s">
        <v>74</v>
      </c>
      <c r="Q3" s="1" t="n">
        <v>0</v>
      </c>
      <c r="R3" s="1" t="s">
        <v>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5015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2025-06-10T09:23:35Z</dcterms:created>
  <dc:creator/>
  <dc:description/>
  <dc:language>en-US</dc:language>
  <cp:lastModifiedBy/>
  <dcterms:modified xsi:type="dcterms:W3CDTF">2025-11-21T18:16:22Z</dcterms:modified>
  <cp:revision>152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