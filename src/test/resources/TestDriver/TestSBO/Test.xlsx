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"/>
    </mc:Choice>
  </mc:AlternateContent>
  <xr:revisionPtr revIDLastSave="0" documentId="13_ncr:1_{73019EE5-F0E1-467F-A556-69EA4142813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est" sheetId="1" r:id="rId1"/>
    <sheet name="O_TransactionActivity" sheetId="2" r:id="rId2"/>
    <sheet name="O_TransactionActivity2" sheetId="7" r:id="rId3"/>
    <sheet name="O_TransactionActivity3" sheetId="8" r:id="rId4"/>
    <sheet name="O_Attribute" sheetId="3" r:id="rId5"/>
    <sheet name="O_Instrument" sheetId="4" r:id="rId6"/>
    <sheet name="O_Instrument2" sheetId="9" r:id="rId7"/>
    <sheet name="O_Instrument3" sheetId="10" r:id="rId8"/>
    <sheet name="O_Metric" sheetId="5" r:id="rId9"/>
    <sheet name="xxInstrumentAttribute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9" i="5" l="1"/>
  <c r="E18" i="5"/>
  <c r="D18" i="5"/>
  <c r="C18" i="5"/>
  <c r="D17" i="5"/>
  <c r="D16" i="5"/>
  <c r="E15" i="5"/>
  <c r="D15" i="5"/>
  <c r="C15" i="5"/>
  <c r="D14" i="5"/>
  <c r="C13" i="5"/>
  <c r="E12" i="5"/>
  <c r="D12" i="5"/>
  <c r="C12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E18" i="10"/>
  <c r="E17" i="10"/>
  <c r="E15" i="10"/>
  <c r="E14" i="10"/>
  <c r="E13" i="10"/>
  <c r="E12" i="10"/>
  <c r="E11" i="10"/>
  <c r="E9" i="10"/>
  <c r="E8" i="10"/>
  <c r="E6" i="10"/>
  <c r="E5" i="10"/>
  <c r="E4" i="10"/>
  <c r="E3" i="10"/>
  <c r="F3" i="10" s="1"/>
  <c r="D5" i="10" s="1"/>
  <c r="F5" i="10" s="1"/>
  <c r="D8" i="10" s="1"/>
  <c r="F8" i="10" s="1"/>
  <c r="D11" i="10" s="1"/>
  <c r="F11" i="10" s="1"/>
  <c r="D14" i="10" s="1"/>
  <c r="F14" i="10" s="1"/>
  <c r="D17" i="10" s="1"/>
  <c r="F17" i="10" s="1"/>
  <c r="F6" i="10"/>
  <c r="D9" i="10" s="1"/>
  <c r="F9" i="10" s="1"/>
  <c r="D12" i="10" s="1"/>
  <c r="F12" i="10" s="1"/>
  <c r="D15" i="10" s="1"/>
  <c r="F15" i="10" s="1"/>
  <c r="D18" i="10" s="1"/>
  <c r="F18" i="10" s="1"/>
  <c r="F4" i="10"/>
  <c r="D7" i="10" s="1"/>
  <c r="F7" i="10" s="1"/>
  <c r="D10" i="10" s="1"/>
  <c r="F10" i="10" s="1"/>
  <c r="D13" i="10" s="1"/>
  <c r="F13" i="10" s="1"/>
  <c r="D16" i="10" s="1"/>
  <c r="F16" i="10" s="1"/>
  <c r="D19" i="10" s="1"/>
  <c r="F19" i="10" s="1"/>
  <c r="E18" i="9"/>
  <c r="E17" i="9"/>
  <c r="E15" i="9"/>
  <c r="E14" i="9"/>
  <c r="E13" i="9"/>
  <c r="D13" i="5" s="1"/>
  <c r="E12" i="9"/>
  <c r="E11" i="9"/>
  <c r="D11" i="5" s="1"/>
  <c r="E9" i="9"/>
  <c r="E8" i="9"/>
  <c r="E6" i="9"/>
  <c r="E5" i="9"/>
  <c r="E4" i="9"/>
  <c r="E3" i="9"/>
  <c r="F6" i="9"/>
  <c r="D9" i="9" s="1"/>
  <c r="F9" i="9" s="1"/>
  <c r="D12" i="9" s="1"/>
  <c r="F12" i="9" s="1"/>
  <c r="D15" i="9" s="1"/>
  <c r="F4" i="9"/>
  <c r="D7" i="9" s="1"/>
  <c r="F7" i="9" s="1"/>
  <c r="D10" i="9" s="1"/>
  <c r="F10" i="9" s="1"/>
  <c r="D13" i="9" s="1"/>
  <c r="F3" i="9"/>
  <c r="D5" i="9" s="1"/>
  <c r="F5" i="9" s="1"/>
  <c r="D8" i="9" s="1"/>
  <c r="F8" i="9" s="1"/>
  <c r="D11" i="9" s="1"/>
  <c r="E18" i="4"/>
  <c r="E17" i="4"/>
  <c r="E15" i="4"/>
  <c r="E14" i="4"/>
  <c r="E13" i="4"/>
  <c r="E12" i="4"/>
  <c r="E11" i="4"/>
  <c r="E9" i="4"/>
  <c r="E8" i="4"/>
  <c r="E6" i="4"/>
  <c r="F6" i="4" s="1"/>
  <c r="D9" i="4" s="1"/>
  <c r="E5" i="4"/>
  <c r="E4" i="4"/>
  <c r="F4" i="4" s="1"/>
  <c r="D7" i="4" s="1"/>
  <c r="F7" i="4" s="1"/>
  <c r="D10" i="4" s="1"/>
  <c r="F10" i="4" s="1"/>
  <c r="D13" i="4" s="1"/>
  <c r="E3" i="4"/>
  <c r="F3" i="4"/>
  <c r="D5" i="4" s="1"/>
  <c r="F13" i="9" l="1"/>
  <c r="F11" i="9"/>
  <c r="F15" i="9"/>
  <c r="D18" i="9" s="1"/>
  <c r="F18" i="9" s="1"/>
  <c r="F13" i="4"/>
  <c r="D16" i="4" s="1"/>
  <c r="F16" i="4" s="1"/>
  <c r="D19" i="4" s="1"/>
  <c r="F19" i="4" s="1"/>
  <c r="F9" i="4"/>
  <c r="D12" i="4" s="1"/>
  <c r="F12" i="4" s="1"/>
  <c r="D15" i="4" s="1"/>
  <c r="F15" i="4" s="1"/>
  <c r="D18" i="4" s="1"/>
  <c r="F18" i="4" s="1"/>
  <c r="F5" i="4"/>
  <c r="D8" i="4" s="1"/>
  <c r="F8" i="4" s="1"/>
  <c r="D11" i="4" s="1"/>
  <c r="F11" i="4" s="1"/>
  <c r="D14" i="4" s="1"/>
  <c r="F14" i="4" s="1"/>
  <c r="D17" i="4" s="1"/>
  <c r="F17" i="4" s="1"/>
  <c r="D16" i="9" l="1"/>
  <c r="E13" i="5"/>
  <c r="D14" i="9"/>
  <c r="E11" i="5"/>
  <c r="F17" i="3"/>
  <c r="F18" i="3" s="1"/>
  <c r="F14" i="3"/>
  <c r="F15" i="3" s="1"/>
  <c r="F13" i="3"/>
  <c r="F12" i="3"/>
  <c r="F11" i="3"/>
  <c r="E7" i="3"/>
  <c r="G7" i="3" s="1"/>
  <c r="E10" i="3" s="1"/>
  <c r="G10" i="3" s="1"/>
  <c r="E13" i="3" s="1"/>
  <c r="F6" i="3"/>
  <c r="G6" i="3" s="1"/>
  <c r="E9" i="3" s="1"/>
  <c r="E5" i="3"/>
  <c r="F16" i="9" l="1"/>
  <c r="C16" i="5"/>
  <c r="F14" i="9"/>
  <c r="C14" i="5"/>
  <c r="F5" i="3"/>
  <c r="G5" i="3" s="1"/>
  <c r="E8" i="3" s="1"/>
  <c r="G13" i="3"/>
  <c r="E16" i="3" s="1"/>
  <c r="G16" i="3" s="1"/>
  <c r="E19" i="3" s="1"/>
  <c r="G19" i="3" s="1"/>
  <c r="F9" i="3"/>
  <c r="F8" i="3" s="1"/>
  <c r="D19" i="9" l="1"/>
  <c r="E16" i="5"/>
  <c r="D17" i="9"/>
  <c r="E14" i="5"/>
  <c r="G8" i="3"/>
  <c r="E11" i="3" s="1"/>
  <c r="G11" i="3" s="1"/>
  <c r="E14" i="3" s="1"/>
  <c r="G14" i="3" s="1"/>
  <c r="E17" i="3" s="1"/>
  <c r="G17" i="3" s="1"/>
  <c r="G9" i="3"/>
  <c r="E12" i="3" s="1"/>
  <c r="G12" i="3" s="1"/>
  <c r="E15" i="3" s="1"/>
  <c r="G15" i="3" s="1"/>
  <c r="E18" i="3" s="1"/>
  <c r="G18" i="3" s="1"/>
  <c r="F19" i="9" l="1"/>
  <c r="E19" i="5" s="1"/>
  <c r="C19" i="5"/>
  <c r="F17" i="9"/>
  <c r="E17" i="5" s="1"/>
  <c r="C17" i="5"/>
</calcChain>
</file>

<file path=xl/sharedStrings.xml><?xml version="1.0" encoding="utf-8"?>
<sst xmlns="http://schemas.openxmlformats.org/spreadsheetml/2006/main" count="386" uniqueCount="79">
  <si>
    <t>Steps</t>
  </si>
  <si>
    <t>Type</t>
  </si>
  <si>
    <t>Input</t>
  </si>
  <si>
    <t>LOAD_REF_DATA</t>
  </si>
  <si>
    <t>FILE_UPLOAD</t>
  </si>
  <si>
    <t>EVENT_CONFIGURATION</t>
  </si>
  <si>
    <t>CONFIGURATION</t>
  </si>
  <si>
    <t>TestSBO/EventConfigurations.json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</si>
  <si>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</si>
  <si>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</si>
  <si>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</si>
  <si>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</si>
  <si>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</si>
  <si>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</si>
  <si>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</si>
  <si>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</si>
  <si>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</si>
  <si>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</si>
  <si>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</si>
  <si>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</si>
  <si>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</si>
  <si>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amount</t>
  </si>
  <si>
    <t>originalPeriodId</t>
  </si>
  <si>
    <t>accountingPeriod.periodId</t>
  </si>
  <si>
    <t>isReplayable</t>
  </si>
  <si>
    <t>PURCHASE_INTEREST</t>
  </si>
  <si>
    <t>MODEL</t>
  </si>
  <si>
    <t>PURCHASE_UPB</t>
  </si>
  <si>
    <t>SERVICING_INTEREST_ACCRUAL</t>
  </si>
  <si>
    <t>PAYMENT_INTEREST</t>
  </si>
  <si>
    <t>PAYMENT_UPB</t>
  </si>
  <si>
    <t>REMIT</t>
  </si>
  <si>
    <t>ETL</t>
  </si>
  <si>
    <t>AttributeLevelLtd</t>
  </si>
  <si>
    <t>metricName ASC</t>
  </si>
  <si>
    <t>balance.beginningBalance</t>
  </si>
  <si>
    <t>balance.activity</t>
  </si>
  <si>
    <t>balance.endingBalance</t>
  </si>
  <si>
    <t>ACCRUED_INTEREST_RECEIVABLE</t>
  </si>
  <si>
    <t>UNPAID_PRINCIPAL_BALANCE</t>
  </si>
  <si>
    <t>InstrumentLevelLtd</t>
  </si>
  <si>
    <t>MetricLevelLtd</t>
  </si>
  <si>
    <t>{}</t>
  </si>
  <si>
    <t>InstrumentAttribute</t>
  </si>
  <si>
    <t>{"instrumentId": "SO1"}</t>
  </si>
  <si>
    <t>effectiveDate</t>
  </si>
  <si>
    <t>batchId</t>
  </si>
  <si>
    <t>endDate</t>
  </si>
  <si>
    <t>periodId</t>
  </si>
  <si>
    <t>source</t>
  </si>
  <si>
    <t>attributes.LOAN_AMOUNT</t>
  </si>
  <si>
    <t>attributes.ACCRUAL_METHOD</t>
  </si>
  <si>
    <t>attributes.INTEREST_RATE</t>
  </si>
  <si>
    <t>attributes.LOAN_TERM</t>
  </si>
  <si>
    <t>attributes.CAPTURE_DATE</t>
  </si>
  <si>
    <t>attributes.MATURITY_DATE</t>
  </si>
  <si>
    <t>attributes.PRINCIPAL_BALANCE_CONSUMER</t>
  </si>
  <si>
    <t>attributes.LOAN_STATUS</t>
  </si>
  <si>
    <t>attributes.MERCHANT_INDUSTRY</t>
  </si>
  <si>
    <t>attributes.STATUS_AS_OF</t>
  </si>
  <si>
    <t>attributes.INTEREST_RECEIVABLE_CONSUMER</t>
  </si>
  <si>
    <t>attributes.NEXT_PAYMENT_DUE_DATE</t>
  </si>
  <si>
    <t>attributes.LAST_PAYMENT_MADE_DATE</t>
  </si>
  <si>
    <t>2022-01-31T00:00:00.000Z</t>
  </si>
  <si>
    <t>2022-02-05T00:00:00.000Z</t>
  </si>
  <si>
    <t>USD</t>
  </si>
  <si>
    <t>2022-01-15T18:30:00.000Z</t>
  </si>
  <si>
    <t>INVOICE</t>
  </si>
  <si>
    <t>{"instrumentId": "LOAN1"}</t>
  </si>
  <si>
    <t>LOAN1</t>
  </si>
  <si>
    <t>{"instrumentId": "LOAN2"}</t>
  </si>
  <si>
    <t>LOAN2</t>
  </si>
  <si>
    <t>{"instrumentId": "LOAN3"}</t>
  </si>
  <si>
    <t>LOAN3</t>
  </si>
  <si>
    <t>TestSBO/ReferenceData/RefData_SBO_EVENTS.xlsx</t>
  </si>
  <si>
    <t>TestSBO/Model/SBO_MODEL_EVENTS_All_Trigger.xlsx</t>
  </si>
  <si>
    <t>TestSBO/ActivityData/ActivityData_JAN1.xlsx</t>
  </si>
  <si>
    <t>TestSBO/ActivityData/ActivityData_FEB3.xlsx</t>
  </si>
  <si>
    <t>TestSBO/ActivityData/ActivityData_FEB5.xlsx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</si>
</sst>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#,##0.0000_);[Red]\(#,##0.0000\)"/>
    <numFmt numFmtId="166" formatCode="0.0000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166" fontId="0" fillId="0" borderId="1" xfId="0" applyNumberFormat="1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20" zoomScaleNormal="120" workbookViewId="0">
      <selection activeCell="C13" sqref="C13"/>
    </sheetView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74</v>
      </c>
    </row>
    <row r="3" spans="1:3" ht="12.75" customHeight="1" x14ac:dyDescent="0.2">
      <c r="A3" s="2" t="s">
        <v>5</v>
      </c>
      <c r="B3" s="1" t="s">
        <v>6</v>
      </c>
      <c r="C3" s="1" t="s">
        <v>7</v>
      </c>
    </row>
    <row r="4" spans="1:3" ht="12.75" customHeight="1" x14ac:dyDescent="0.2">
      <c r="A4" s="1" t="s">
        <v>8</v>
      </c>
      <c r="B4" s="1" t="s">
        <v>4</v>
      </c>
      <c r="C4" s="1" t="s">
        <v>75</v>
      </c>
    </row>
    <row r="5" spans="1:3" ht="12.75" customHeight="1" x14ac:dyDescent="0.2">
      <c r="A5" s="1" t="s">
        <v>9</v>
      </c>
      <c r="B5" s="1" t="s">
        <v>6</v>
      </c>
      <c r="C5" s="1" t="s">
        <v>10</v>
      </c>
    </row>
    <row r="6" spans="1:3" ht="12.75" customHeight="1" x14ac:dyDescent="0.2">
      <c r="A6" s="1" t="s">
        <v>11</v>
      </c>
      <c r="B6" s="1" t="s">
        <v>4</v>
      </c>
      <c r="C6" s="1" t="s">
        <v>76</v>
      </c>
    </row>
    <row r="7" spans="1:3" ht="12.75" customHeight="1" x14ac:dyDescent="0.2">
      <c r="A7" s="1" t="s">
        <v>12</v>
      </c>
      <c r="B7" s="1" t="s">
        <v>13</v>
      </c>
      <c r="C7" s="3">
        <v>44592</v>
      </c>
    </row>
    <row r="8" spans="1:3" ht="12.75" customHeight="1" x14ac:dyDescent="0.2">
      <c r="A8" s="1" t="s">
        <v>12</v>
      </c>
      <c r="B8" s="1" t="s">
        <v>13</v>
      </c>
      <c r="C8" s="3">
        <v>44593</v>
      </c>
    </row>
    <row r="9" spans="1:3" ht="12.75" customHeight="1" x14ac:dyDescent="0.2">
      <c r="A9" s="1" t="s">
        <v>12</v>
      </c>
      <c r="B9" s="1" t="s">
        <v>13</v>
      </c>
      <c r="C9" s="3">
        <v>44594</v>
      </c>
    </row>
    <row r="10" spans="1:3" ht="12.75" customHeight="1" x14ac:dyDescent="0.2">
      <c r="A10" s="1" t="s">
        <v>11</v>
      </c>
      <c r="B10" s="1" t="s">
        <v>4</v>
      </c>
      <c r="C10" s="1" t="s">
        <v>77</v>
      </c>
    </row>
    <row r="11" spans="1:3" ht="12.75" customHeight="1" x14ac:dyDescent="0.2">
      <c r="A11" s="1" t="s">
        <v>12</v>
      </c>
      <c r="B11" s="1" t="s">
        <v>13</v>
      </c>
      <c r="C11" s="3">
        <v>44595</v>
      </c>
    </row>
    <row r="12" spans="1:3" ht="12.75" customHeight="1" x14ac:dyDescent="0.2">
      <c r="A12" s="1" t="s">
        <v>12</v>
      </c>
      <c r="B12" s="1" t="s">
        <v>13</v>
      </c>
      <c r="C12" s="3">
        <v>44596</v>
      </c>
    </row>
    <row r="13" spans="1:3" ht="12.75" customHeight="1" x14ac:dyDescent="0.2">
      <c r="A13" s="1" t="s">
        <v>11</v>
      </c>
      <c r="B13" s="1" t="s">
        <v>4</v>
      </c>
      <c r="C13" s="1" t="s">
        <v>78</v>
      </c>
    </row>
    <row r="14" spans="1:3" ht="12.75" customHeight="1" x14ac:dyDescent="0.2">
      <c r="A14" s="1" t="s">
        <v>12</v>
      </c>
      <c r="B14" s="1" t="s">
        <v>13</v>
      </c>
      <c r="C14" s="3">
        <v>44597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="120" zoomScaleNormal="120" workbookViewId="0">
      <selection activeCell="B1" sqref="B1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14</v>
      </c>
      <c r="B1" s="5" t="s">
        <v>68</v>
      </c>
      <c r="G1" s="5"/>
    </row>
    <row r="2" spans="1:10" x14ac:dyDescent="0.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</row>
    <row r="3" spans="1:10" x14ac:dyDescent="0.2">
      <c r="A3" s="7">
        <v>20220131</v>
      </c>
      <c r="B3" s="7">
        <v>1</v>
      </c>
      <c r="C3" s="7" t="s">
        <v>25</v>
      </c>
      <c r="D3" s="7" t="s">
        <v>26</v>
      </c>
      <c r="E3" s="7">
        <v>20220131</v>
      </c>
      <c r="F3" s="7" t="s">
        <v>69</v>
      </c>
      <c r="G3" s="8">
        <v>100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27</v>
      </c>
      <c r="D4" s="7" t="s">
        <v>26</v>
      </c>
      <c r="E4" s="7">
        <v>20220131</v>
      </c>
      <c r="F4" s="7" t="s">
        <v>69</v>
      </c>
      <c r="G4" s="8">
        <v>100000</v>
      </c>
      <c r="H4" s="7">
        <v>202201</v>
      </c>
      <c r="I4" s="7">
        <v>202201</v>
      </c>
      <c r="J4" s="7">
        <v>0</v>
      </c>
    </row>
    <row r="5" spans="1:10" x14ac:dyDescent="0.2">
      <c r="A5" s="7">
        <v>20220201</v>
      </c>
      <c r="B5" s="7">
        <v>1</v>
      </c>
      <c r="C5" s="7" t="s">
        <v>28</v>
      </c>
      <c r="D5" s="7" t="s">
        <v>26</v>
      </c>
      <c r="E5" s="7">
        <v>20220201</v>
      </c>
      <c r="F5" s="7" t="s">
        <v>69</v>
      </c>
      <c r="G5" s="8">
        <v>27.777799999999999</v>
      </c>
      <c r="H5" s="7">
        <v>202202</v>
      </c>
      <c r="I5" s="7">
        <v>202202</v>
      </c>
      <c r="J5" s="7">
        <v>0</v>
      </c>
    </row>
    <row r="6" spans="1:10" x14ac:dyDescent="0.2">
      <c r="A6" s="7">
        <v>20220202</v>
      </c>
      <c r="B6" s="7">
        <v>1</v>
      </c>
      <c r="C6" s="7" t="s">
        <v>28</v>
      </c>
      <c r="D6" s="7" t="s">
        <v>26</v>
      </c>
      <c r="E6" s="7">
        <v>20220202</v>
      </c>
      <c r="F6" s="7" t="s">
        <v>69</v>
      </c>
      <c r="G6" s="8">
        <v>27.777799999999999</v>
      </c>
      <c r="H6" s="7">
        <v>202202</v>
      </c>
      <c r="I6" s="7">
        <v>202202</v>
      </c>
      <c r="J6" s="7">
        <v>0</v>
      </c>
    </row>
    <row r="7" spans="1:10" x14ac:dyDescent="0.2">
      <c r="A7" s="7">
        <v>20220203</v>
      </c>
      <c r="B7" s="7">
        <v>1</v>
      </c>
      <c r="C7" s="7" t="s">
        <v>29</v>
      </c>
      <c r="D7" s="7" t="s">
        <v>26</v>
      </c>
      <c r="E7" s="7">
        <v>20220203</v>
      </c>
      <c r="F7" s="7" t="s">
        <v>69</v>
      </c>
      <c r="G7" s="8">
        <v>-155.5556</v>
      </c>
      <c r="H7" s="7">
        <v>202202</v>
      </c>
      <c r="I7" s="7">
        <v>202202</v>
      </c>
      <c r="J7" s="7">
        <v>0</v>
      </c>
    </row>
    <row r="8" spans="1:10" x14ac:dyDescent="0.2">
      <c r="A8" s="7">
        <v>20220203</v>
      </c>
      <c r="B8" s="7">
        <v>1</v>
      </c>
      <c r="C8" s="7" t="s">
        <v>30</v>
      </c>
      <c r="D8" s="7" t="s">
        <v>26</v>
      </c>
      <c r="E8" s="7">
        <v>20220203</v>
      </c>
      <c r="F8" s="7" t="s">
        <v>69</v>
      </c>
      <c r="G8" s="8">
        <v>-54.444400000000002</v>
      </c>
      <c r="H8" s="7">
        <v>202202</v>
      </c>
      <c r="I8" s="7">
        <v>202202</v>
      </c>
      <c r="J8" s="7">
        <v>0</v>
      </c>
    </row>
    <row r="9" spans="1:10" x14ac:dyDescent="0.2">
      <c r="A9" s="7">
        <v>20220203</v>
      </c>
      <c r="B9" s="7">
        <v>1</v>
      </c>
      <c r="C9" s="7" t="s">
        <v>31</v>
      </c>
      <c r="D9" s="7" t="s">
        <v>32</v>
      </c>
      <c r="E9" s="7">
        <v>20220203</v>
      </c>
      <c r="F9" s="7" t="s">
        <v>69</v>
      </c>
      <c r="G9" s="8">
        <v>210</v>
      </c>
      <c r="H9" s="7">
        <v>202202</v>
      </c>
      <c r="I9" s="7">
        <v>202202</v>
      </c>
      <c r="J9" s="7">
        <v>0</v>
      </c>
    </row>
    <row r="10" spans="1:10" x14ac:dyDescent="0.2">
      <c r="A10" s="7">
        <v>20220203</v>
      </c>
      <c r="B10" s="7">
        <v>1</v>
      </c>
      <c r="C10" s="7" t="s">
        <v>28</v>
      </c>
      <c r="D10" s="7" t="s">
        <v>26</v>
      </c>
      <c r="E10" s="7">
        <v>20220203</v>
      </c>
      <c r="F10" s="7" t="s">
        <v>69</v>
      </c>
      <c r="G10" s="8">
        <v>27.762699999999999</v>
      </c>
      <c r="H10" s="7">
        <v>202202</v>
      </c>
      <c r="I10" s="7">
        <v>202202</v>
      </c>
      <c r="J10" s="7">
        <v>0</v>
      </c>
    </row>
    <row r="11" spans="1:10" x14ac:dyDescent="0.2">
      <c r="A11" s="7">
        <v>20220204</v>
      </c>
      <c r="B11" s="7">
        <v>1</v>
      </c>
      <c r="C11" s="7" t="s">
        <v>28</v>
      </c>
      <c r="D11" s="7" t="s">
        <v>26</v>
      </c>
      <c r="E11" s="7">
        <v>20220204</v>
      </c>
      <c r="F11" s="7" t="s">
        <v>69</v>
      </c>
      <c r="G11" s="8">
        <v>27.762699999999999</v>
      </c>
      <c r="H11" s="7">
        <v>202202</v>
      </c>
      <c r="I11" s="7">
        <v>202202</v>
      </c>
      <c r="J11" s="7">
        <v>0</v>
      </c>
    </row>
    <row r="12" spans="1:10" x14ac:dyDescent="0.2">
      <c r="A12" s="7">
        <v>20220205</v>
      </c>
      <c r="B12" s="7">
        <v>1</v>
      </c>
      <c r="C12" s="7" t="s">
        <v>28</v>
      </c>
      <c r="D12" s="7" t="s">
        <v>26</v>
      </c>
      <c r="E12" s="7">
        <v>20220205</v>
      </c>
      <c r="F12" s="7" t="s">
        <v>69</v>
      </c>
      <c r="G12" s="8">
        <v>41.643999999999998</v>
      </c>
      <c r="H12" s="7">
        <v>202202</v>
      </c>
      <c r="I12" s="7">
        <v>202202</v>
      </c>
      <c r="J12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F33-3AFA-4EB5-924F-824991D7FA31}">
  <dimension ref="A1:J12"/>
  <sheetViews>
    <sheetView zoomScale="120" zoomScaleNormal="120" workbookViewId="0">
      <selection activeCell="D10" sqref="D10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14</v>
      </c>
      <c r="B1" s="5" t="s">
        <v>70</v>
      </c>
      <c r="G1" s="5"/>
    </row>
    <row r="2" spans="1:10" x14ac:dyDescent="0.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</row>
    <row r="3" spans="1:10" x14ac:dyDescent="0.2">
      <c r="A3" s="7">
        <v>20220131</v>
      </c>
      <c r="B3" s="7">
        <v>1</v>
      </c>
      <c r="C3" s="7" t="s">
        <v>25</v>
      </c>
      <c r="D3" s="7" t="s">
        <v>26</v>
      </c>
      <c r="E3" s="7">
        <v>20220131</v>
      </c>
      <c r="F3" s="7" t="s">
        <v>71</v>
      </c>
      <c r="G3" s="8">
        <v>200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27</v>
      </c>
      <c r="D4" s="7" t="s">
        <v>26</v>
      </c>
      <c r="E4" s="7">
        <v>20220131</v>
      </c>
      <c r="F4" s="7" t="s">
        <v>71</v>
      </c>
      <c r="G4" s="8">
        <v>150000</v>
      </c>
      <c r="H4" s="7">
        <v>202201</v>
      </c>
      <c r="I4" s="7">
        <v>202201</v>
      </c>
      <c r="J4" s="7">
        <v>0</v>
      </c>
    </row>
    <row r="5" spans="1:10" x14ac:dyDescent="0.2">
      <c r="A5" s="7">
        <v>20220201</v>
      </c>
      <c r="B5" s="7">
        <v>1</v>
      </c>
      <c r="C5" s="7" t="s">
        <v>28</v>
      </c>
      <c r="D5" s="7" t="s">
        <v>26</v>
      </c>
      <c r="E5" s="7">
        <v>20220201</v>
      </c>
      <c r="F5" s="7" t="s">
        <v>71</v>
      </c>
      <c r="G5" s="8">
        <v>33.333300000000001</v>
      </c>
      <c r="H5" s="7">
        <v>202202</v>
      </c>
      <c r="I5" s="7">
        <v>202202</v>
      </c>
      <c r="J5" s="7">
        <v>0</v>
      </c>
    </row>
    <row r="6" spans="1:10" x14ac:dyDescent="0.2">
      <c r="A6" s="7">
        <v>20220202</v>
      </c>
      <c r="B6" s="7">
        <v>1</v>
      </c>
      <c r="C6" s="7" t="s">
        <v>28</v>
      </c>
      <c r="D6" s="7" t="s">
        <v>26</v>
      </c>
      <c r="E6" s="7">
        <v>20220202</v>
      </c>
      <c r="F6" s="7" t="s">
        <v>71</v>
      </c>
      <c r="G6" s="8">
        <v>33.333300000000001</v>
      </c>
      <c r="H6" s="7">
        <v>202202</v>
      </c>
      <c r="I6" s="7">
        <v>202202</v>
      </c>
      <c r="J6" s="7">
        <v>0</v>
      </c>
    </row>
    <row r="7" spans="1:10" x14ac:dyDescent="0.2">
      <c r="A7" s="7">
        <v>20220203</v>
      </c>
      <c r="B7" s="7">
        <v>1</v>
      </c>
      <c r="C7" s="7" t="s">
        <v>29</v>
      </c>
      <c r="D7" s="7" t="s">
        <v>26</v>
      </c>
      <c r="E7" s="7">
        <v>20220203</v>
      </c>
      <c r="F7" s="7" t="s">
        <v>71</v>
      </c>
      <c r="G7" s="8">
        <v>-266.66660000000002</v>
      </c>
      <c r="H7" s="7">
        <v>202202</v>
      </c>
      <c r="I7" s="7">
        <v>202202</v>
      </c>
      <c r="J7" s="7">
        <v>0</v>
      </c>
    </row>
    <row r="8" spans="1:10" x14ac:dyDescent="0.2">
      <c r="A8" s="7">
        <v>20220203</v>
      </c>
      <c r="B8" s="7">
        <v>1</v>
      </c>
      <c r="C8" s="7" t="s">
        <v>30</v>
      </c>
      <c r="D8" s="7" t="s">
        <v>26</v>
      </c>
      <c r="E8" s="7">
        <v>20220203</v>
      </c>
      <c r="F8" s="7" t="s">
        <v>71</v>
      </c>
      <c r="G8" s="8">
        <v>-43.333399999999997</v>
      </c>
      <c r="H8" s="7">
        <v>202202</v>
      </c>
      <c r="I8" s="7">
        <v>202202</v>
      </c>
      <c r="J8" s="7">
        <v>0</v>
      </c>
    </row>
    <row r="9" spans="1:10" x14ac:dyDescent="0.2">
      <c r="A9" s="7">
        <v>20220203</v>
      </c>
      <c r="B9" s="7">
        <v>1</v>
      </c>
      <c r="C9" s="7" t="s">
        <v>31</v>
      </c>
      <c r="D9" s="7" t="s">
        <v>32</v>
      </c>
      <c r="E9" s="7">
        <v>20220203</v>
      </c>
      <c r="F9" s="7" t="s">
        <v>71</v>
      </c>
      <c r="G9" s="8">
        <v>310</v>
      </c>
      <c r="H9" s="7">
        <v>202202</v>
      </c>
      <c r="I9" s="7">
        <v>202202</v>
      </c>
      <c r="J9" s="7">
        <v>0</v>
      </c>
    </row>
    <row r="10" spans="1:10" x14ac:dyDescent="0.2">
      <c r="A10" s="7">
        <v>20220203</v>
      </c>
      <c r="B10" s="7">
        <v>1</v>
      </c>
      <c r="C10" s="7" t="s">
        <v>28</v>
      </c>
      <c r="D10" s="7" t="s">
        <v>26</v>
      </c>
      <c r="E10" s="7">
        <v>20220203</v>
      </c>
      <c r="F10" s="7" t="s">
        <v>71</v>
      </c>
      <c r="G10" s="8">
        <v>33.323700000000002</v>
      </c>
      <c r="H10" s="7">
        <v>202202</v>
      </c>
      <c r="I10" s="7">
        <v>202202</v>
      </c>
      <c r="J10" s="7">
        <v>0</v>
      </c>
    </row>
    <row r="11" spans="1:10" x14ac:dyDescent="0.2">
      <c r="A11" s="7">
        <v>20220204</v>
      </c>
      <c r="B11" s="7">
        <v>1</v>
      </c>
      <c r="C11" s="7" t="s">
        <v>28</v>
      </c>
      <c r="D11" s="7" t="s">
        <v>26</v>
      </c>
      <c r="E11" s="7">
        <v>20220204</v>
      </c>
      <c r="F11" s="7" t="s">
        <v>71</v>
      </c>
      <c r="G11" s="8">
        <v>33.323700000000002</v>
      </c>
      <c r="H11" s="7">
        <v>202202</v>
      </c>
      <c r="I11" s="7">
        <v>202202</v>
      </c>
      <c r="J11" s="7">
        <v>0</v>
      </c>
    </row>
    <row r="12" spans="1:10" x14ac:dyDescent="0.2">
      <c r="A12" s="7">
        <v>20220205</v>
      </c>
      <c r="B12" s="7">
        <v>1</v>
      </c>
      <c r="C12" s="7" t="s">
        <v>28</v>
      </c>
      <c r="D12" s="7" t="s">
        <v>26</v>
      </c>
      <c r="E12" s="7">
        <v>20220205</v>
      </c>
      <c r="F12" s="7" t="s">
        <v>71</v>
      </c>
      <c r="G12" s="8">
        <v>49.985599999999998</v>
      </c>
      <c r="H12" s="7">
        <v>202202</v>
      </c>
      <c r="I12" s="7">
        <v>202202</v>
      </c>
      <c r="J12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A92E-0614-49B1-A83B-F72F06556932}">
  <dimension ref="A1:J12"/>
  <sheetViews>
    <sheetView zoomScale="120" zoomScaleNormal="120" workbookViewId="0">
      <selection activeCell="G4" sqref="G4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14</v>
      </c>
      <c r="B1" s="5" t="s">
        <v>72</v>
      </c>
      <c r="G1" s="5"/>
    </row>
    <row r="2" spans="1:10" x14ac:dyDescent="0.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</row>
    <row r="3" spans="1:10" x14ac:dyDescent="0.2">
      <c r="A3" s="7">
        <v>20220131</v>
      </c>
      <c r="B3" s="7">
        <v>1</v>
      </c>
      <c r="C3" s="7" t="s">
        <v>25</v>
      </c>
      <c r="D3" s="7" t="s">
        <v>26</v>
      </c>
      <c r="E3" s="7">
        <v>20220131</v>
      </c>
      <c r="F3" s="7" t="s">
        <v>73</v>
      </c>
      <c r="G3" s="8">
        <v>300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27</v>
      </c>
      <c r="D4" s="7" t="s">
        <v>26</v>
      </c>
      <c r="E4" s="7">
        <v>20220131</v>
      </c>
      <c r="F4" s="7" t="s">
        <v>73</v>
      </c>
      <c r="G4" s="8">
        <v>200000</v>
      </c>
      <c r="H4" s="7">
        <v>202201</v>
      </c>
      <c r="I4" s="7">
        <v>202201</v>
      </c>
      <c r="J4" s="7">
        <v>0</v>
      </c>
    </row>
    <row r="5" spans="1:10" x14ac:dyDescent="0.2">
      <c r="A5" s="7">
        <v>20220201</v>
      </c>
      <c r="B5" s="7">
        <v>1</v>
      </c>
      <c r="C5" s="7" t="s">
        <v>28</v>
      </c>
      <c r="D5" s="7" t="s">
        <v>26</v>
      </c>
      <c r="E5" s="7">
        <v>20220201</v>
      </c>
      <c r="F5" s="7" t="s">
        <v>73</v>
      </c>
      <c r="G5" s="8">
        <v>11.1111</v>
      </c>
      <c r="H5" s="7">
        <v>202202</v>
      </c>
      <c r="I5" s="7">
        <v>202202</v>
      </c>
      <c r="J5" s="7">
        <v>0</v>
      </c>
    </row>
    <row r="6" spans="1:10" x14ac:dyDescent="0.2">
      <c r="A6" s="7">
        <v>20220202</v>
      </c>
      <c r="B6" s="7">
        <v>1</v>
      </c>
      <c r="C6" s="7" t="s">
        <v>28</v>
      </c>
      <c r="D6" s="7" t="s">
        <v>26</v>
      </c>
      <c r="E6" s="7">
        <v>20220202</v>
      </c>
      <c r="F6" s="7" t="s">
        <v>73</v>
      </c>
      <c r="G6" s="8">
        <v>11.1111</v>
      </c>
      <c r="H6" s="7">
        <v>202202</v>
      </c>
      <c r="I6" s="7">
        <v>202202</v>
      </c>
      <c r="J6" s="7">
        <v>0</v>
      </c>
    </row>
    <row r="7" spans="1:10" x14ac:dyDescent="0.2">
      <c r="A7" s="7">
        <v>20220203</v>
      </c>
      <c r="B7" s="7">
        <v>1</v>
      </c>
      <c r="C7" s="7" t="s">
        <v>29</v>
      </c>
      <c r="D7" s="7" t="s">
        <v>26</v>
      </c>
      <c r="E7" s="7">
        <v>20220203</v>
      </c>
      <c r="F7" s="7" t="s">
        <v>73</v>
      </c>
      <c r="G7" s="8">
        <v>-322.22219999999999</v>
      </c>
      <c r="H7" s="7">
        <v>202202</v>
      </c>
      <c r="I7" s="7">
        <v>202202</v>
      </c>
      <c r="J7" s="7">
        <v>0</v>
      </c>
    </row>
    <row r="8" spans="1:10" x14ac:dyDescent="0.2">
      <c r="A8" s="7">
        <v>20220203</v>
      </c>
      <c r="B8" s="7">
        <v>1</v>
      </c>
      <c r="C8" s="7" t="s">
        <v>30</v>
      </c>
      <c r="D8" s="7" t="s">
        <v>26</v>
      </c>
      <c r="E8" s="7">
        <v>20220203</v>
      </c>
      <c r="F8" s="7" t="s">
        <v>73</v>
      </c>
      <c r="G8" s="8">
        <v>-87.777799999999999</v>
      </c>
      <c r="H8" s="7">
        <v>202202</v>
      </c>
      <c r="I8" s="7">
        <v>202202</v>
      </c>
      <c r="J8" s="7">
        <v>0</v>
      </c>
    </row>
    <row r="9" spans="1:10" x14ac:dyDescent="0.2">
      <c r="A9" s="7">
        <v>20220203</v>
      </c>
      <c r="B9" s="7">
        <v>1</v>
      </c>
      <c r="C9" s="7" t="s">
        <v>31</v>
      </c>
      <c r="D9" s="7" t="s">
        <v>32</v>
      </c>
      <c r="E9" s="7">
        <v>20220203</v>
      </c>
      <c r="F9" s="7" t="s">
        <v>73</v>
      </c>
      <c r="G9" s="8">
        <v>410</v>
      </c>
      <c r="H9" s="7">
        <v>202202</v>
      </c>
      <c r="I9" s="7">
        <v>202202</v>
      </c>
      <c r="J9" s="7">
        <v>0</v>
      </c>
    </row>
    <row r="10" spans="1:10" x14ac:dyDescent="0.2">
      <c r="A10" s="7">
        <v>20220203</v>
      </c>
      <c r="B10" s="7">
        <v>1</v>
      </c>
      <c r="C10" s="7" t="s">
        <v>28</v>
      </c>
      <c r="D10" s="7" t="s">
        <v>26</v>
      </c>
      <c r="E10" s="7">
        <v>20220203</v>
      </c>
      <c r="F10" s="7" t="s">
        <v>73</v>
      </c>
      <c r="G10" s="8">
        <v>11.106199999999999</v>
      </c>
      <c r="H10" s="7">
        <v>202202</v>
      </c>
      <c r="I10" s="7">
        <v>202202</v>
      </c>
      <c r="J10" s="7">
        <v>0</v>
      </c>
    </row>
    <row r="11" spans="1:10" x14ac:dyDescent="0.2">
      <c r="A11" s="7">
        <v>20220204</v>
      </c>
      <c r="B11" s="7">
        <v>1</v>
      </c>
      <c r="C11" s="7" t="s">
        <v>28</v>
      </c>
      <c r="D11" s="7" t="s">
        <v>26</v>
      </c>
      <c r="E11" s="7">
        <v>20220204</v>
      </c>
      <c r="F11" s="7" t="s">
        <v>73</v>
      </c>
      <c r="G11" s="8">
        <v>11.106199999999999</v>
      </c>
      <c r="H11" s="7">
        <v>202202</v>
      </c>
      <c r="I11" s="7">
        <v>202202</v>
      </c>
      <c r="J11" s="7">
        <v>0</v>
      </c>
    </row>
    <row r="12" spans="1:10" x14ac:dyDescent="0.2">
      <c r="A12" s="7">
        <v>20220205</v>
      </c>
      <c r="B12" s="7">
        <v>1</v>
      </c>
      <c r="C12" s="7" t="s">
        <v>28</v>
      </c>
      <c r="D12" s="7" t="s">
        <v>26</v>
      </c>
      <c r="E12" s="7">
        <v>20220205</v>
      </c>
      <c r="F12" s="7" t="s">
        <v>73</v>
      </c>
      <c r="G12" s="8">
        <v>44.424900000000001</v>
      </c>
      <c r="H12" s="7">
        <v>202202</v>
      </c>
      <c r="I12" s="7">
        <v>202202</v>
      </c>
      <c r="J12" s="7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zoomScale="120" zoomScaleNormal="120" workbookViewId="0">
      <selection activeCell="C28" sqref="C28"/>
    </sheetView>
  </sheetViews>
  <sheetFormatPr defaultColWidth="11.5703125" defaultRowHeight="12.75" customHeight="1" x14ac:dyDescent="0.2"/>
  <cols>
    <col min="1" max="1" width="15.85546875" style="1" customWidth="1"/>
    <col min="2" max="2" width="13.7109375" style="1" customWidth="1"/>
    <col min="3" max="3" width="34.42578125" style="1" customWidth="1"/>
    <col min="4" max="4" width="11.140625" style="1" customWidth="1"/>
    <col min="5" max="5" width="23.42578125" style="1" customWidth="1"/>
    <col min="6" max="6" width="13.85546875" style="1" customWidth="1"/>
    <col min="7" max="7" width="20.7109375" style="1" customWidth="1"/>
  </cols>
  <sheetData>
    <row r="1" spans="1:7" ht="15" x14ac:dyDescent="0.25">
      <c r="A1" s="4" t="s">
        <v>33</v>
      </c>
      <c r="B1" s="5" t="s">
        <v>68</v>
      </c>
    </row>
    <row r="2" spans="1:7" ht="12.75" customHeight="1" x14ac:dyDescent="0.2">
      <c r="A2" s="1" t="s">
        <v>15</v>
      </c>
      <c r="B2" s="1" t="s">
        <v>16</v>
      </c>
      <c r="C2" s="1" t="s">
        <v>34</v>
      </c>
      <c r="D2" s="1" t="s">
        <v>20</v>
      </c>
      <c r="E2" s="1" t="s">
        <v>35</v>
      </c>
      <c r="F2" s="1" t="s">
        <v>36</v>
      </c>
      <c r="G2" s="1" t="s">
        <v>37</v>
      </c>
    </row>
    <row r="3" spans="1:7" ht="12.75" customHeight="1" x14ac:dyDescent="0.2">
      <c r="A3" s="7">
        <v>20220131</v>
      </c>
      <c r="B3" s="7">
        <v>1</v>
      </c>
      <c r="C3" s="7" t="s">
        <v>38</v>
      </c>
      <c r="D3" s="7" t="s">
        <v>69</v>
      </c>
      <c r="E3" s="7">
        <v>0</v>
      </c>
      <c r="F3" s="8">
        <v>100</v>
      </c>
      <c r="G3" s="8">
        <v>100</v>
      </c>
    </row>
    <row r="4" spans="1:7" ht="12.75" customHeight="1" x14ac:dyDescent="0.2">
      <c r="A4" s="7">
        <v>20220131</v>
      </c>
      <c r="B4" s="7">
        <v>1</v>
      </c>
      <c r="C4" s="7" t="s">
        <v>39</v>
      </c>
      <c r="D4" s="7" t="s">
        <v>69</v>
      </c>
      <c r="E4" s="7">
        <v>0</v>
      </c>
      <c r="F4" s="8">
        <v>100000</v>
      </c>
      <c r="G4" s="8">
        <v>100000</v>
      </c>
    </row>
    <row r="5" spans="1:7" ht="12.75" customHeight="1" x14ac:dyDescent="0.2">
      <c r="A5" s="7">
        <v>20220201</v>
      </c>
      <c r="B5" s="7">
        <v>1</v>
      </c>
      <c r="C5" s="7" t="s">
        <v>38</v>
      </c>
      <c r="D5" s="7" t="s">
        <v>69</v>
      </c>
      <c r="E5" s="8">
        <f>G3</f>
        <v>100</v>
      </c>
      <c r="F5" s="8">
        <f>F6</f>
        <v>27.777799999999999</v>
      </c>
      <c r="G5" s="8">
        <f t="shared" ref="G5:G19" si="0">E5+F5</f>
        <v>127.7778</v>
      </c>
    </row>
    <row r="6" spans="1:7" ht="12.75" customHeight="1" x14ac:dyDescent="0.2">
      <c r="A6" s="7">
        <v>20220201</v>
      </c>
      <c r="B6" s="7">
        <v>1</v>
      </c>
      <c r="C6" s="7" t="s">
        <v>28</v>
      </c>
      <c r="D6" s="7" t="s">
        <v>69</v>
      </c>
      <c r="E6" s="7">
        <v>0</v>
      </c>
      <c r="F6" s="8">
        <f>O_TransactionActivity!G5</f>
        <v>27.777799999999999</v>
      </c>
      <c r="G6" s="7">
        <f t="shared" si="0"/>
        <v>27.777799999999999</v>
      </c>
    </row>
    <row r="7" spans="1:7" ht="12.75" customHeight="1" x14ac:dyDescent="0.2">
      <c r="A7" s="7">
        <v>20220201</v>
      </c>
      <c r="B7" s="7">
        <v>1</v>
      </c>
      <c r="C7" s="7" t="s">
        <v>39</v>
      </c>
      <c r="D7" s="7" t="s">
        <v>69</v>
      </c>
      <c r="E7" s="8">
        <f>F4</f>
        <v>100000</v>
      </c>
      <c r="F7" s="8">
        <v>0</v>
      </c>
      <c r="G7" s="8">
        <f t="shared" si="0"/>
        <v>100000</v>
      </c>
    </row>
    <row r="8" spans="1:7" ht="12.75" customHeight="1" x14ac:dyDescent="0.2">
      <c r="A8" s="7">
        <v>20220202</v>
      </c>
      <c r="B8" s="7">
        <v>1</v>
      </c>
      <c r="C8" s="7" t="s">
        <v>38</v>
      </c>
      <c r="D8" s="7" t="s">
        <v>69</v>
      </c>
      <c r="E8" s="8">
        <f t="shared" ref="E8:E19" si="1">G5</f>
        <v>127.7778</v>
      </c>
      <c r="F8" s="8">
        <f>F9</f>
        <v>27.777799999999999</v>
      </c>
      <c r="G8" s="7">
        <f t="shared" si="0"/>
        <v>155.5556</v>
      </c>
    </row>
    <row r="9" spans="1:7" ht="12.75" customHeight="1" x14ac:dyDescent="0.2">
      <c r="A9" s="7">
        <v>20220202</v>
      </c>
      <c r="B9" s="7">
        <v>1</v>
      </c>
      <c r="C9" s="7" t="s">
        <v>28</v>
      </c>
      <c r="D9" s="7" t="s">
        <v>69</v>
      </c>
      <c r="E9" s="8">
        <f t="shared" si="1"/>
        <v>27.777799999999999</v>
      </c>
      <c r="F9" s="8">
        <f>E9</f>
        <v>27.777799999999999</v>
      </c>
      <c r="G9" s="7">
        <f t="shared" si="0"/>
        <v>55.555599999999998</v>
      </c>
    </row>
    <row r="10" spans="1:7" ht="12.75" customHeight="1" x14ac:dyDescent="0.2">
      <c r="A10" s="7">
        <v>20220202</v>
      </c>
      <c r="B10" s="7">
        <v>1</v>
      </c>
      <c r="C10" s="7" t="s">
        <v>39</v>
      </c>
      <c r="D10" s="7" t="s">
        <v>69</v>
      </c>
      <c r="E10" s="8">
        <f t="shared" si="1"/>
        <v>100000</v>
      </c>
      <c r="F10" s="8">
        <v>0</v>
      </c>
      <c r="G10" s="7">
        <f t="shared" si="0"/>
        <v>100000</v>
      </c>
    </row>
    <row r="11" spans="1:7" ht="12.75" customHeight="1" x14ac:dyDescent="0.2">
      <c r="A11" s="7">
        <v>20220203</v>
      </c>
      <c r="B11" s="7">
        <v>1</v>
      </c>
      <c r="C11" s="7" t="s">
        <v>38</v>
      </c>
      <c r="D11" s="7" t="s">
        <v>69</v>
      </c>
      <c r="E11" s="7">
        <f t="shared" si="1"/>
        <v>155.5556</v>
      </c>
      <c r="F11" s="7">
        <f>O_TransactionActivity!G7+O_TransactionActivity!G10</f>
        <v>-127.7929</v>
      </c>
      <c r="G11" s="7">
        <f t="shared" si="0"/>
        <v>27.762699999999995</v>
      </c>
    </row>
    <row r="12" spans="1:7" ht="12.75" customHeight="1" x14ac:dyDescent="0.2">
      <c r="A12" s="7">
        <v>20220203</v>
      </c>
      <c r="B12" s="7">
        <v>1</v>
      </c>
      <c r="C12" s="7" t="s">
        <v>28</v>
      </c>
      <c r="D12" s="7" t="s">
        <v>69</v>
      </c>
      <c r="E12" s="7">
        <f t="shared" si="1"/>
        <v>55.555599999999998</v>
      </c>
      <c r="F12" s="7">
        <f>O_TransactionActivity!G10</f>
        <v>27.762699999999999</v>
      </c>
      <c r="G12" s="7">
        <f t="shared" si="0"/>
        <v>83.318299999999994</v>
      </c>
    </row>
    <row r="13" spans="1:7" ht="12.75" customHeight="1" x14ac:dyDescent="0.2">
      <c r="A13" s="7">
        <v>20220203</v>
      </c>
      <c r="B13" s="7">
        <v>1</v>
      </c>
      <c r="C13" s="7" t="s">
        <v>39</v>
      </c>
      <c r="D13" s="7" t="s">
        <v>69</v>
      </c>
      <c r="E13" s="7">
        <f t="shared" si="1"/>
        <v>100000</v>
      </c>
      <c r="F13" s="7">
        <f>O_TransactionActivity!G8</f>
        <v>-54.444400000000002</v>
      </c>
      <c r="G13" s="7">
        <f t="shared" si="0"/>
        <v>99945.555600000007</v>
      </c>
    </row>
    <row r="14" spans="1:7" ht="12.75" customHeight="1" x14ac:dyDescent="0.2">
      <c r="A14" s="7">
        <v>20220204</v>
      </c>
      <c r="B14" s="7">
        <v>1</v>
      </c>
      <c r="C14" s="7" t="s">
        <v>38</v>
      </c>
      <c r="D14" s="7" t="s">
        <v>69</v>
      </c>
      <c r="E14" s="7">
        <f t="shared" si="1"/>
        <v>27.762699999999995</v>
      </c>
      <c r="F14" s="7">
        <f>O_TransactionActivity!G11</f>
        <v>27.762699999999999</v>
      </c>
      <c r="G14" s="7">
        <f t="shared" si="0"/>
        <v>55.525399999999991</v>
      </c>
    </row>
    <row r="15" spans="1:7" ht="12.75" customHeight="1" x14ac:dyDescent="0.2">
      <c r="A15" s="7">
        <v>20220204</v>
      </c>
      <c r="B15" s="7">
        <v>1</v>
      </c>
      <c r="C15" s="7" t="s">
        <v>28</v>
      </c>
      <c r="D15" s="7" t="s">
        <v>69</v>
      </c>
      <c r="E15" s="7">
        <f t="shared" si="1"/>
        <v>83.318299999999994</v>
      </c>
      <c r="F15" s="7">
        <f>F14</f>
        <v>27.762699999999999</v>
      </c>
      <c r="G15" s="7">
        <f t="shared" si="0"/>
        <v>111.08099999999999</v>
      </c>
    </row>
    <row r="16" spans="1:7" ht="12.75" customHeight="1" x14ac:dyDescent="0.2">
      <c r="A16" s="7">
        <v>20220204</v>
      </c>
      <c r="B16" s="7">
        <v>1</v>
      </c>
      <c r="C16" s="7" t="s">
        <v>39</v>
      </c>
      <c r="D16" s="7" t="s">
        <v>69</v>
      </c>
      <c r="E16" s="7">
        <f t="shared" si="1"/>
        <v>99945.555600000007</v>
      </c>
      <c r="F16" s="7">
        <v>0</v>
      </c>
      <c r="G16" s="7">
        <f t="shared" si="0"/>
        <v>99945.555600000007</v>
      </c>
    </row>
    <row r="17" spans="1:7" ht="12.75" customHeight="1" x14ac:dyDescent="0.2">
      <c r="A17" s="7">
        <v>20220205</v>
      </c>
      <c r="B17" s="7">
        <v>1</v>
      </c>
      <c r="C17" s="7" t="s">
        <v>38</v>
      </c>
      <c r="D17" s="7" t="s">
        <v>69</v>
      </c>
      <c r="E17" s="7">
        <f t="shared" si="1"/>
        <v>55.525399999999991</v>
      </c>
      <c r="F17" s="7">
        <f>O_TransactionActivity!G12</f>
        <v>41.643999999999998</v>
      </c>
      <c r="G17" s="7">
        <f t="shared" si="0"/>
        <v>97.169399999999996</v>
      </c>
    </row>
    <row r="18" spans="1:7" ht="12.75" customHeight="1" x14ac:dyDescent="0.2">
      <c r="A18" s="7">
        <v>20220205</v>
      </c>
      <c r="B18" s="7">
        <v>1</v>
      </c>
      <c r="C18" s="7" t="s">
        <v>28</v>
      </c>
      <c r="D18" s="7" t="s">
        <v>69</v>
      </c>
      <c r="E18" s="7">
        <f t="shared" si="1"/>
        <v>111.08099999999999</v>
      </c>
      <c r="F18" s="7">
        <f>F17</f>
        <v>41.643999999999998</v>
      </c>
      <c r="G18" s="7">
        <f t="shared" si="0"/>
        <v>152.72499999999999</v>
      </c>
    </row>
    <row r="19" spans="1:7" ht="12.75" customHeight="1" x14ac:dyDescent="0.2">
      <c r="A19" s="7">
        <v>20220205</v>
      </c>
      <c r="B19" s="7">
        <v>1</v>
      </c>
      <c r="C19" s="7" t="s">
        <v>39</v>
      </c>
      <c r="D19" s="7" t="s">
        <v>69</v>
      </c>
      <c r="E19" s="7">
        <f t="shared" si="1"/>
        <v>99945.555600000007</v>
      </c>
      <c r="F19" s="7">
        <v>0</v>
      </c>
      <c r="G19" s="7">
        <f t="shared" si="0"/>
        <v>99945.555600000007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zoomScale="120" zoomScaleNormal="120" workbookViewId="0">
      <selection activeCell="B9" sqref="B9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4.28515625" style="1" customWidth="1"/>
    <col min="5" max="5" width="23.5703125" style="1" customWidth="1"/>
    <col min="6" max="6" width="21" style="1" customWidth="1"/>
  </cols>
  <sheetData>
    <row r="1" spans="1:6" ht="15" x14ac:dyDescent="0.25">
      <c r="A1" s="4" t="s">
        <v>40</v>
      </c>
      <c r="B1" s="5" t="s">
        <v>68</v>
      </c>
    </row>
    <row r="2" spans="1:6" x14ac:dyDescent="0.2">
      <c r="A2" s="7" t="s">
        <v>15</v>
      </c>
      <c r="B2" s="7" t="s">
        <v>34</v>
      </c>
      <c r="C2" s="7" t="s">
        <v>20</v>
      </c>
      <c r="D2" s="7" t="s">
        <v>35</v>
      </c>
      <c r="E2" s="7" t="s">
        <v>36</v>
      </c>
      <c r="F2" s="7" t="s">
        <v>37</v>
      </c>
    </row>
    <row r="3" spans="1:6" x14ac:dyDescent="0.2">
      <c r="A3" s="7">
        <v>20220131</v>
      </c>
      <c r="B3" s="7" t="s">
        <v>38</v>
      </c>
      <c r="C3" s="7" t="s">
        <v>69</v>
      </c>
      <c r="D3" s="7">
        <v>0</v>
      </c>
      <c r="E3" s="7">
        <f>O_TransactionActivity!G3</f>
        <v>100</v>
      </c>
      <c r="F3" s="7">
        <f>D3+E3</f>
        <v>100</v>
      </c>
    </row>
    <row r="4" spans="1:6" x14ac:dyDescent="0.2">
      <c r="A4" s="7">
        <v>20220131</v>
      </c>
      <c r="B4" s="7" t="s">
        <v>39</v>
      </c>
      <c r="C4" s="7" t="s">
        <v>69</v>
      </c>
      <c r="D4" s="7">
        <v>0</v>
      </c>
      <c r="E4" s="7">
        <f>O_TransactionActivity!G4</f>
        <v>100000</v>
      </c>
      <c r="F4" s="7">
        <f t="shared" ref="F4:F19" si="0">D4+E4</f>
        <v>100000</v>
      </c>
    </row>
    <row r="5" spans="1:6" x14ac:dyDescent="0.2">
      <c r="A5" s="7">
        <v>20220201</v>
      </c>
      <c r="B5" s="7" t="s">
        <v>38</v>
      </c>
      <c r="C5" s="7" t="s">
        <v>69</v>
      </c>
      <c r="D5" s="7">
        <f>F3</f>
        <v>100</v>
      </c>
      <c r="E5" s="7">
        <f>O_TransactionActivity!G5</f>
        <v>27.777799999999999</v>
      </c>
      <c r="F5" s="7">
        <f t="shared" si="0"/>
        <v>127.7778</v>
      </c>
    </row>
    <row r="6" spans="1:6" x14ac:dyDescent="0.2">
      <c r="A6" s="7">
        <v>20220201</v>
      </c>
      <c r="B6" s="7" t="s">
        <v>28</v>
      </c>
      <c r="C6" s="7" t="s">
        <v>69</v>
      </c>
      <c r="D6" s="7">
        <v>0</v>
      </c>
      <c r="E6" s="7">
        <f>O_TransactionActivity!G6</f>
        <v>27.777799999999999</v>
      </c>
      <c r="F6" s="7">
        <f t="shared" si="0"/>
        <v>27.777799999999999</v>
      </c>
    </row>
    <row r="7" spans="1:6" ht="12.75" customHeight="1" x14ac:dyDescent="0.2">
      <c r="A7" s="7">
        <v>20220201</v>
      </c>
      <c r="B7" s="7" t="s">
        <v>39</v>
      </c>
      <c r="C7" s="7" t="s">
        <v>69</v>
      </c>
      <c r="D7" s="7">
        <f t="shared" ref="D7:D19" si="1">F4</f>
        <v>100000</v>
      </c>
      <c r="E7" s="7">
        <v>0</v>
      </c>
      <c r="F7" s="7">
        <f t="shared" si="0"/>
        <v>100000</v>
      </c>
    </row>
    <row r="8" spans="1:6" ht="12.75" customHeight="1" x14ac:dyDescent="0.2">
      <c r="A8" s="7">
        <v>20220202</v>
      </c>
      <c r="B8" s="7" t="s">
        <v>38</v>
      </c>
      <c r="C8" s="7" t="s">
        <v>69</v>
      </c>
      <c r="D8" s="7">
        <f t="shared" si="1"/>
        <v>127.7778</v>
      </c>
      <c r="E8" s="7">
        <f>O_TransactionActivity!G5</f>
        <v>27.777799999999999</v>
      </c>
      <c r="F8" s="7">
        <f t="shared" si="0"/>
        <v>155.5556</v>
      </c>
    </row>
    <row r="9" spans="1:6" ht="12.75" customHeight="1" x14ac:dyDescent="0.2">
      <c r="A9" s="7">
        <v>20220202</v>
      </c>
      <c r="B9" s="7" t="s">
        <v>28</v>
      </c>
      <c r="C9" s="7" t="s">
        <v>69</v>
      </c>
      <c r="D9" s="7">
        <f t="shared" si="1"/>
        <v>27.777799999999999</v>
      </c>
      <c r="E9" s="7">
        <f>O_TransactionActivity!G6</f>
        <v>27.777799999999999</v>
      </c>
      <c r="F9" s="7">
        <f t="shared" si="0"/>
        <v>55.555599999999998</v>
      </c>
    </row>
    <row r="10" spans="1:6" ht="12.75" customHeight="1" x14ac:dyDescent="0.2">
      <c r="A10" s="7">
        <v>20220202</v>
      </c>
      <c r="B10" s="7" t="s">
        <v>39</v>
      </c>
      <c r="C10" s="7" t="s">
        <v>69</v>
      </c>
      <c r="D10" s="7">
        <f t="shared" si="1"/>
        <v>100000</v>
      </c>
      <c r="E10" s="7">
        <v>0</v>
      </c>
      <c r="F10" s="7">
        <f t="shared" si="0"/>
        <v>100000</v>
      </c>
    </row>
    <row r="11" spans="1:6" ht="12.75" customHeight="1" x14ac:dyDescent="0.2">
      <c r="A11" s="7">
        <v>20220203</v>
      </c>
      <c r="B11" s="7" t="s">
        <v>38</v>
      </c>
      <c r="C11" s="7" t="s">
        <v>69</v>
      </c>
      <c r="D11" s="7">
        <f t="shared" si="1"/>
        <v>155.5556</v>
      </c>
      <c r="E11" s="7">
        <f>O_TransactionActivity!G7+O_TransactionActivity!G10</f>
        <v>-127.7929</v>
      </c>
      <c r="F11" s="7">
        <f t="shared" si="0"/>
        <v>27.762699999999995</v>
      </c>
    </row>
    <row r="12" spans="1:6" ht="12.75" customHeight="1" x14ac:dyDescent="0.2">
      <c r="A12" s="7">
        <v>20220203</v>
      </c>
      <c r="B12" s="7" t="s">
        <v>28</v>
      </c>
      <c r="C12" s="7" t="s">
        <v>69</v>
      </c>
      <c r="D12" s="7">
        <f t="shared" si="1"/>
        <v>55.555599999999998</v>
      </c>
      <c r="E12" s="7">
        <f>O_TransactionActivity!G10</f>
        <v>27.762699999999999</v>
      </c>
      <c r="F12" s="7">
        <f t="shared" si="0"/>
        <v>83.318299999999994</v>
      </c>
    </row>
    <row r="13" spans="1:6" ht="12.75" customHeight="1" x14ac:dyDescent="0.2">
      <c r="A13" s="7">
        <v>20220203</v>
      </c>
      <c r="B13" s="7" t="s">
        <v>39</v>
      </c>
      <c r="C13" s="7" t="s">
        <v>69</v>
      </c>
      <c r="D13" s="7">
        <f t="shared" si="1"/>
        <v>100000</v>
      </c>
      <c r="E13" s="7">
        <f>O_TransactionActivity!G8</f>
        <v>-54.444400000000002</v>
      </c>
      <c r="F13" s="7">
        <f t="shared" si="0"/>
        <v>99945.555600000007</v>
      </c>
    </row>
    <row r="14" spans="1:6" ht="12.75" customHeight="1" x14ac:dyDescent="0.2">
      <c r="A14" s="7">
        <v>20220204</v>
      </c>
      <c r="B14" s="7" t="s">
        <v>38</v>
      </c>
      <c r="C14" s="7" t="s">
        <v>69</v>
      </c>
      <c r="D14" s="7">
        <f t="shared" si="1"/>
        <v>27.762699999999995</v>
      </c>
      <c r="E14" s="7">
        <f>O_TransactionActivity!G11</f>
        <v>27.762699999999999</v>
      </c>
      <c r="F14" s="7">
        <f t="shared" si="0"/>
        <v>55.525399999999991</v>
      </c>
    </row>
    <row r="15" spans="1:6" ht="12.75" customHeight="1" x14ac:dyDescent="0.2">
      <c r="A15" s="7">
        <v>20220204</v>
      </c>
      <c r="B15" s="7" t="s">
        <v>28</v>
      </c>
      <c r="C15" s="7" t="s">
        <v>69</v>
      </c>
      <c r="D15" s="7">
        <f t="shared" si="1"/>
        <v>83.318299999999994</v>
      </c>
      <c r="E15" s="7">
        <f>O_TransactionActivity!G11</f>
        <v>27.762699999999999</v>
      </c>
      <c r="F15" s="7">
        <f t="shared" si="0"/>
        <v>111.08099999999999</v>
      </c>
    </row>
    <row r="16" spans="1:6" ht="12.75" customHeight="1" x14ac:dyDescent="0.2">
      <c r="A16" s="7">
        <v>20220204</v>
      </c>
      <c r="B16" s="7" t="s">
        <v>39</v>
      </c>
      <c r="C16" s="7" t="s">
        <v>69</v>
      </c>
      <c r="D16" s="7">
        <f t="shared" si="1"/>
        <v>99945.555600000007</v>
      </c>
      <c r="E16" s="7">
        <v>0</v>
      </c>
      <c r="F16" s="7">
        <f t="shared" si="0"/>
        <v>99945.555600000007</v>
      </c>
    </row>
    <row r="17" spans="1:6" ht="12.75" customHeight="1" x14ac:dyDescent="0.2">
      <c r="A17" s="7">
        <v>20220205</v>
      </c>
      <c r="B17" s="7" t="s">
        <v>38</v>
      </c>
      <c r="C17" s="7" t="s">
        <v>69</v>
      </c>
      <c r="D17" s="7">
        <f t="shared" si="1"/>
        <v>55.525399999999991</v>
      </c>
      <c r="E17" s="7">
        <f>O_TransactionActivity!G12</f>
        <v>41.643999999999998</v>
      </c>
      <c r="F17" s="7">
        <f t="shared" si="0"/>
        <v>97.169399999999996</v>
      </c>
    </row>
    <row r="18" spans="1:6" ht="12.75" customHeight="1" x14ac:dyDescent="0.2">
      <c r="A18" s="7">
        <v>20220205</v>
      </c>
      <c r="B18" s="7" t="s">
        <v>28</v>
      </c>
      <c r="C18" s="7" t="s">
        <v>69</v>
      </c>
      <c r="D18" s="7">
        <f t="shared" si="1"/>
        <v>111.08099999999999</v>
      </c>
      <c r="E18" s="7">
        <f>O_TransactionActivity!G12</f>
        <v>41.643999999999998</v>
      </c>
      <c r="F18" s="7">
        <f t="shared" si="0"/>
        <v>152.72499999999999</v>
      </c>
    </row>
    <row r="19" spans="1:6" ht="12.75" customHeight="1" x14ac:dyDescent="0.2">
      <c r="A19" s="7">
        <v>20220205</v>
      </c>
      <c r="B19" s="7" t="s">
        <v>39</v>
      </c>
      <c r="C19" s="7" t="s">
        <v>69</v>
      </c>
      <c r="D19" s="7">
        <f t="shared" si="1"/>
        <v>99945.555600000007</v>
      </c>
      <c r="E19" s="7">
        <v>0</v>
      </c>
      <c r="F19" s="7">
        <f t="shared" si="0"/>
        <v>99945.555600000007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8214-A41E-48E6-8288-944828FFAF91}">
  <dimension ref="A1:F19"/>
  <sheetViews>
    <sheetView zoomScale="120" zoomScaleNormal="120" workbookViewId="0">
      <selection activeCell="C5" sqref="C5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4.28515625" style="1" customWidth="1"/>
    <col min="5" max="5" width="23.5703125" style="1" customWidth="1"/>
    <col min="6" max="6" width="21" style="1" customWidth="1"/>
  </cols>
  <sheetData>
    <row r="1" spans="1:6" ht="15" x14ac:dyDescent="0.25">
      <c r="A1" s="4" t="s">
        <v>40</v>
      </c>
      <c r="B1" s="5" t="s">
        <v>70</v>
      </c>
    </row>
    <row r="2" spans="1:6" x14ac:dyDescent="0.2">
      <c r="A2" s="7" t="s">
        <v>15</v>
      </c>
      <c r="B2" s="7" t="s">
        <v>34</v>
      </c>
      <c r="C2" s="7" t="s">
        <v>20</v>
      </c>
      <c r="D2" s="7" t="s">
        <v>35</v>
      </c>
      <c r="E2" s="7" t="s">
        <v>36</v>
      </c>
      <c r="F2" s="7" t="s">
        <v>37</v>
      </c>
    </row>
    <row r="3" spans="1:6" x14ac:dyDescent="0.2">
      <c r="A3" s="7">
        <v>20220131</v>
      </c>
      <c r="B3" s="7" t="s">
        <v>38</v>
      </c>
      <c r="C3" s="7" t="s">
        <v>71</v>
      </c>
      <c r="D3" s="7">
        <v>0</v>
      </c>
      <c r="E3" s="7">
        <f>O_TransactionActivity2!G3</f>
        <v>200</v>
      </c>
      <c r="F3" s="7">
        <f>D3+E3</f>
        <v>200</v>
      </c>
    </row>
    <row r="4" spans="1:6" x14ac:dyDescent="0.2">
      <c r="A4" s="7">
        <v>20220131</v>
      </c>
      <c r="B4" s="7" t="s">
        <v>39</v>
      </c>
      <c r="C4" s="7" t="s">
        <v>71</v>
      </c>
      <c r="D4" s="7">
        <v>0</v>
      </c>
      <c r="E4" s="7">
        <f>O_TransactionActivity2!G4</f>
        <v>150000</v>
      </c>
      <c r="F4" s="7">
        <f t="shared" ref="F4:F19" si="0">D4+E4</f>
        <v>150000</v>
      </c>
    </row>
    <row r="5" spans="1:6" x14ac:dyDescent="0.2">
      <c r="A5" s="7">
        <v>20220201</v>
      </c>
      <c r="B5" s="7" t="s">
        <v>38</v>
      </c>
      <c r="C5" s="7" t="s">
        <v>71</v>
      </c>
      <c r="D5" s="7">
        <f>F3</f>
        <v>200</v>
      </c>
      <c r="E5" s="7">
        <f>O_TransactionActivity2!G5</f>
        <v>33.333300000000001</v>
      </c>
      <c r="F5" s="7">
        <f t="shared" si="0"/>
        <v>233.33330000000001</v>
      </c>
    </row>
    <row r="6" spans="1:6" x14ac:dyDescent="0.2">
      <c r="A6" s="7">
        <v>20220201</v>
      </c>
      <c r="B6" s="7" t="s">
        <v>28</v>
      </c>
      <c r="C6" s="7" t="s">
        <v>71</v>
      </c>
      <c r="D6" s="7">
        <v>0</v>
      </c>
      <c r="E6" s="7">
        <f>O_TransactionActivity2!G6</f>
        <v>33.333300000000001</v>
      </c>
      <c r="F6" s="7">
        <f t="shared" si="0"/>
        <v>33.333300000000001</v>
      </c>
    </row>
    <row r="7" spans="1:6" ht="12.75" customHeight="1" x14ac:dyDescent="0.2">
      <c r="A7" s="7">
        <v>20220201</v>
      </c>
      <c r="B7" s="7" t="s">
        <v>39</v>
      </c>
      <c r="C7" s="7" t="s">
        <v>71</v>
      </c>
      <c r="D7" s="7">
        <f t="shared" ref="D7:D19" si="1">F4</f>
        <v>150000</v>
      </c>
      <c r="E7" s="7">
        <v>0</v>
      </c>
      <c r="F7" s="7">
        <f t="shared" si="0"/>
        <v>150000</v>
      </c>
    </row>
    <row r="8" spans="1:6" ht="12.75" customHeight="1" x14ac:dyDescent="0.2">
      <c r="A8" s="7">
        <v>20220202</v>
      </c>
      <c r="B8" s="7" t="s">
        <v>38</v>
      </c>
      <c r="C8" s="7" t="s">
        <v>71</v>
      </c>
      <c r="D8" s="7">
        <f t="shared" si="1"/>
        <v>233.33330000000001</v>
      </c>
      <c r="E8" s="7">
        <f>O_TransactionActivity2!G5</f>
        <v>33.333300000000001</v>
      </c>
      <c r="F8" s="7">
        <f t="shared" si="0"/>
        <v>266.66660000000002</v>
      </c>
    </row>
    <row r="9" spans="1:6" ht="12.75" customHeight="1" x14ac:dyDescent="0.2">
      <c r="A9" s="7">
        <v>20220202</v>
      </c>
      <c r="B9" s="7" t="s">
        <v>28</v>
      </c>
      <c r="C9" s="7" t="s">
        <v>71</v>
      </c>
      <c r="D9" s="7">
        <f t="shared" si="1"/>
        <v>33.333300000000001</v>
      </c>
      <c r="E9" s="7">
        <f>O_TransactionActivity2!G6</f>
        <v>33.333300000000001</v>
      </c>
      <c r="F9" s="7">
        <f t="shared" si="0"/>
        <v>66.666600000000003</v>
      </c>
    </row>
    <row r="10" spans="1:6" ht="12.75" customHeight="1" x14ac:dyDescent="0.2">
      <c r="A10" s="7">
        <v>20220202</v>
      </c>
      <c r="B10" s="7" t="s">
        <v>39</v>
      </c>
      <c r="C10" s="7" t="s">
        <v>71</v>
      </c>
      <c r="D10" s="7">
        <f t="shared" si="1"/>
        <v>150000</v>
      </c>
      <c r="E10" s="7">
        <v>0</v>
      </c>
      <c r="F10" s="7">
        <f t="shared" si="0"/>
        <v>150000</v>
      </c>
    </row>
    <row r="11" spans="1:6" ht="12.75" customHeight="1" x14ac:dyDescent="0.2">
      <c r="A11" s="7">
        <v>20220203</v>
      </c>
      <c r="B11" s="7" t="s">
        <v>38</v>
      </c>
      <c r="C11" s="7" t="s">
        <v>71</v>
      </c>
      <c r="D11" s="7">
        <f t="shared" si="1"/>
        <v>266.66660000000002</v>
      </c>
      <c r="E11" s="7">
        <f>O_TransactionActivity2!G7+O_TransactionActivity2!G10</f>
        <v>-233.34290000000001</v>
      </c>
      <c r="F11" s="7">
        <f t="shared" si="0"/>
        <v>33.323700000000002</v>
      </c>
    </row>
    <row r="12" spans="1:6" ht="12.75" customHeight="1" x14ac:dyDescent="0.2">
      <c r="A12" s="7">
        <v>20220203</v>
      </c>
      <c r="B12" s="7" t="s">
        <v>28</v>
      </c>
      <c r="C12" s="7" t="s">
        <v>71</v>
      </c>
      <c r="D12" s="7">
        <f t="shared" si="1"/>
        <v>66.666600000000003</v>
      </c>
      <c r="E12" s="7">
        <f>O_TransactionActivity2!G10</f>
        <v>33.323700000000002</v>
      </c>
      <c r="F12" s="7">
        <f t="shared" si="0"/>
        <v>99.990300000000005</v>
      </c>
    </row>
    <row r="13" spans="1:6" ht="12.75" customHeight="1" x14ac:dyDescent="0.2">
      <c r="A13" s="7">
        <v>20220203</v>
      </c>
      <c r="B13" s="7" t="s">
        <v>39</v>
      </c>
      <c r="C13" s="7" t="s">
        <v>71</v>
      </c>
      <c r="D13" s="7">
        <f t="shared" si="1"/>
        <v>150000</v>
      </c>
      <c r="E13" s="7">
        <f>O_TransactionActivity2!G8</f>
        <v>-43.333399999999997</v>
      </c>
      <c r="F13" s="7">
        <f t="shared" si="0"/>
        <v>149956.6666</v>
      </c>
    </row>
    <row r="14" spans="1:6" ht="12.75" customHeight="1" x14ac:dyDescent="0.2">
      <c r="A14" s="7">
        <v>20220204</v>
      </c>
      <c r="B14" s="7" t="s">
        <v>38</v>
      </c>
      <c r="C14" s="7" t="s">
        <v>71</v>
      </c>
      <c r="D14" s="7">
        <f t="shared" si="1"/>
        <v>33.323700000000002</v>
      </c>
      <c r="E14" s="7">
        <f>O_TransactionActivity2!G11</f>
        <v>33.323700000000002</v>
      </c>
      <c r="F14" s="7">
        <f t="shared" si="0"/>
        <v>66.647400000000005</v>
      </c>
    </row>
    <row r="15" spans="1:6" ht="12.75" customHeight="1" x14ac:dyDescent="0.2">
      <c r="A15" s="7">
        <v>20220204</v>
      </c>
      <c r="B15" s="7" t="s">
        <v>28</v>
      </c>
      <c r="C15" s="7" t="s">
        <v>71</v>
      </c>
      <c r="D15" s="7">
        <f t="shared" si="1"/>
        <v>99.990300000000005</v>
      </c>
      <c r="E15" s="7">
        <f>O_TransactionActivity2!G11</f>
        <v>33.323700000000002</v>
      </c>
      <c r="F15" s="7">
        <f t="shared" si="0"/>
        <v>133.31400000000002</v>
      </c>
    </row>
    <row r="16" spans="1:6" ht="12.75" customHeight="1" x14ac:dyDescent="0.2">
      <c r="A16" s="7">
        <v>20220204</v>
      </c>
      <c r="B16" s="7" t="s">
        <v>39</v>
      </c>
      <c r="C16" s="7" t="s">
        <v>71</v>
      </c>
      <c r="D16" s="7">
        <f t="shared" si="1"/>
        <v>149956.6666</v>
      </c>
      <c r="E16" s="7">
        <v>0</v>
      </c>
      <c r="F16" s="7">
        <f t="shared" si="0"/>
        <v>149956.6666</v>
      </c>
    </row>
    <row r="17" spans="1:6" ht="12.75" customHeight="1" x14ac:dyDescent="0.2">
      <c r="A17" s="7">
        <v>20220205</v>
      </c>
      <c r="B17" s="7" t="s">
        <v>38</v>
      </c>
      <c r="C17" s="7" t="s">
        <v>71</v>
      </c>
      <c r="D17" s="7">
        <f t="shared" si="1"/>
        <v>66.647400000000005</v>
      </c>
      <c r="E17" s="7">
        <f>O_TransactionActivity2!G12</f>
        <v>49.985599999999998</v>
      </c>
      <c r="F17" s="7">
        <f t="shared" si="0"/>
        <v>116.63300000000001</v>
      </c>
    </row>
    <row r="18" spans="1:6" ht="12.75" customHeight="1" x14ac:dyDescent="0.2">
      <c r="A18" s="7">
        <v>20220205</v>
      </c>
      <c r="B18" s="7" t="s">
        <v>28</v>
      </c>
      <c r="C18" s="7" t="s">
        <v>71</v>
      </c>
      <c r="D18" s="7">
        <f t="shared" si="1"/>
        <v>133.31400000000002</v>
      </c>
      <c r="E18" s="7">
        <f>O_TransactionActivity2!G12</f>
        <v>49.985599999999998</v>
      </c>
      <c r="F18" s="7">
        <f t="shared" si="0"/>
        <v>183.29960000000003</v>
      </c>
    </row>
    <row r="19" spans="1:6" ht="12.75" customHeight="1" x14ac:dyDescent="0.2">
      <c r="A19" s="7">
        <v>20220205</v>
      </c>
      <c r="B19" s="7" t="s">
        <v>39</v>
      </c>
      <c r="C19" s="7" t="s">
        <v>71</v>
      </c>
      <c r="D19" s="7">
        <f t="shared" si="1"/>
        <v>149956.6666</v>
      </c>
      <c r="E19" s="7">
        <v>0</v>
      </c>
      <c r="F19" s="7">
        <f t="shared" si="0"/>
        <v>149956.6666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1632-7FC6-4E11-90C8-ABE7F71057AA}">
  <dimension ref="A1:F19"/>
  <sheetViews>
    <sheetView zoomScale="120" zoomScaleNormal="120" workbookViewId="0">
      <selection activeCell="B2" sqref="B2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1.7109375" style="1" customWidth="1"/>
    <col min="4" max="4" width="14.28515625" style="1" customWidth="1"/>
    <col min="5" max="5" width="23.5703125" style="1" customWidth="1"/>
    <col min="6" max="6" width="21" style="1" customWidth="1"/>
  </cols>
  <sheetData>
    <row r="1" spans="1:6" ht="15" x14ac:dyDescent="0.25">
      <c r="A1" s="4" t="s">
        <v>40</v>
      </c>
      <c r="B1" s="5" t="s">
        <v>72</v>
      </c>
    </row>
    <row r="2" spans="1:6" x14ac:dyDescent="0.2">
      <c r="A2" s="7" t="s">
        <v>15</v>
      </c>
      <c r="B2" s="7" t="s">
        <v>34</v>
      </c>
      <c r="C2" s="7" t="s">
        <v>20</v>
      </c>
      <c r="D2" s="7" t="s">
        <v>35</v>
      </c>
      <c r="E2" s="7" t="s">
        <v>36</v>
      </c>
      <c r="F2" s="7" t="s">
        <v>37</v>
      </c>
    </row>
    <row r="3" spans="1:6" x14ac:dyDescent="0.2">
      <c r="A3" s="7">
        <v>20220131</v>
      </c>
      <c r="B3" s="7" t="s">
        <v>38</v>
      </c>
      <c r="C3" s="7" t="s">
        <v>73</v>
      </c>
      <c r="D3" s="7">
        <v>0</v>
      </c>
      <c r="E3" s="7">
        <f>O_TransactionActivity3!G3</f>
        <v>300</v>
      </c>
      <c r="F3" s="7">
        <f>D3+E3</f>
        <v>300</v>
      </c>
    </row>
    <row r="4" spans="1:6" x14ac:dyDescent="0.2">
      <c r="A4" s="7">
        <v>20220131</v>
      </c>
      <c r="B4" s="7" t="s">
        <v>39</v>
      </c>
      <c r="C4" s="7" t="s">
        <v>73</v>
      </c>
      <c r="D4" s="7">
        <v>0</v>
      </c>
      <c r="E4" s="7">
        <f>O_TransactionActivity3!G4</f>
        <v>200000</v>
      </c>
      <c r="F4" s="7">
        <f t="shared" ref="F4:F19" si="0">D4+E4</f>
        <v>200000</v>
      </c>
    </row>
    <row r="5" spans="1:6" x14ac:dyDescent="0.2">
      <c r="A5" s="7">
        <v>20220201</v>
      </c>
      <c r="B5" s="7" t="s">
        <v>38</v>
      </c>
      <c r="C5" s="7" t="s">
        <v>73</v>
      </c>
      <c r="D5" s="7">
        <f>F3</f>
        <v>300</v>
      </c>
      <c r="E5" s="7">
        <f>O_TransactionActivity3!G5</f>
        <v>11.1111</v>
      </c>
      <c r="F5" s="7">
        <f t="shared" si="0"/>
        <v>311.11110000000002</v>
      </c>
    </row>
    <row r="6" spans="1:6" x14ac:dyDescent="0.2">
      <c r="A6" s="7">
        <v>20220201</v>
      </c>
      <c r="B6" s="7" t="s">
        <v>28</v>
      </c>
      <c r="C6" s="7" t="s">
        <v>73</v>
      </c>
      <c r="D6" s="7">
        <v>0</v>
      </c>
      <c r="E6" s="7">
        <f>O_TransactionActivity3!G6</f>
        <v>11.1111</v>
      </c>
      <c r="F6" s="7">
        <f t="shared" si="0"/>
        <v>11.1111</v>
      </c>
    </row>
    <row r="7" spans="1:6" ht="12.75" customHeight="1" x14ac:dyDescent="0.2">
      <c r="A7" s="7">
        <v>20220201</v>
      </c>
      <c r="B7" s="7" t="s">
        <v>39</v>
      </c>
      <c r="C7" s="7" t="s">
        <v>73</v>
      </c>
      <c r="D7" s="7">
        <f t="shared" ref="D7:D19" si="1">F4</f>
        <v>200000</v>
      </c>
      <c r="E7" s="7">
        <v>0</v>
      </c>
      <c r="F7" s="7">
        <f t="shared" si="0"/>
        <v>200000</v>
      </c>
    </row>
    <row r="8" spans="1:6" ht="12.75" customHeight="1" x14ac:dyDescent="0.2">
      <c r="A8" s="7">
        <v>20220202</v>
      </c>
      <c r="B8" s="7" t="s">
        <v>38</v>
      </c>
      <c r="C8" s="7" t="s">
        <v>73</v>
      </c>
      <c r="D8" s="7">
        <f t="shared" si="1"/>
        <v>311.11110000000002</v>
      </c>
      <c r="E8" s="7">
        <f>O_TransactionActivity3!G5</f>
        <v>11.1111</v>
      </c>
      <c r="F8" s="7">
        <f t="shared" si="0"/>
        <v>322.22220000000004</v>
      </c>
    </row>
    <row r="9" spans="1:6" ht="12.75" customHeight="1" x14ac:dyDescent="0.2">
      <c r="A9" s="7">
        <v>20220202</v>
      </c>
      <c r="B9" s="7" t="s">
        <v>28</v>
      </c>
      <c r="C9" s="7" t="s">
        <v>73</v>
      </c>
      <c r="D9" s="7">
        <f t="shared" si="1"/>
        <v>11.1111</v>
      </c>
      <c r="E9" s="7">
        <f>O_TransactionActivity3!G6</f>
        <v>11.1111</v>
      </c>
      <c r="F9" s="7">
        <f t="shared" si="0"/>
        <v>22.222200000000001</v>
      </c>
    </row>
    <row r="10" spans="1:6" ht="12.75" customHeight="1" x14ac:dyDescent="0.2">
      <c r="A10" s="7">
        <v>20220202</v>
      </c>
      <c r="B10" s="7" t="s">
        <v>39</v>
      </c>
      <c r="C10" s="7" t="s">
        <v>73</v>
      </c>
      <c r="D10" s="7">
        <f t="shared" si="1"/>
        <v>200000</v>
      </c>
      <c r="E10" s="7">
        <v>0</v>
      </c>
      <c r="F10" s="7">
        <f t="shared" si="0"/>
        <v>200000</v>
      </c>
    </row>
    <row r="11" spans="1:6" ht="12.75" customHeight="1" x14ac:dyDescent="0.2">
      <c r="A11" s="7">
        <v>20220203</v>
      </c>
      <c r="B11" s="7" t="s">
        <v>38</v>
      </c>
      <c r="C11" s="7" t="s">
        <v>73</v>
      </c>
      <c r="D11" s="7">
        <f t="shared" si="1"/>
        <v>322.22220000000004</v>
      </c>
      <c r="E11" s="7">
        <f>O_TransactionActivity3!G7+O_TransactionActivity3!G10</f>
        <v>-311.11599999999999</v>
      </c>
      <c r="F11" s="7">
        <f t="shared" si="0"/>
        <v>11.106200000000058</v>
      </c>
    </row>
    <row r="12" spans="1:6" ht="12.75" customHeight="1" x14ac:dyDescent="0.2">
      <c r="A12" s="7">
        <v>20220203</v>
      </c>
      <c r="B12" s="7" t="s">
        <v>28</v>
      </c>
      <c r="C12" s="7" t="s">
        <v>73</v>
      </c>
      <c r="D12" s="7">
        <f t="shared" si="1"/>
        <v>22.222200000000001</v>
      </c>
      <c r="E12" s="7">
        <f>O_TransactionActivity3!G10</f>
        <v>11.106199999999999</v>
      </c>
      <c r="F12" s="7">
        <f t="shared" si="0"/>
        <v>33.328400000000002</v>
      </c>
    </row>
    <row r="13" spans="1:6" ht="12.75" customHeight="1" x14ac:dyDescent="0.2">
      <c r="A13" s="7">
        <v>20220203</v>
      </c>
      <c r="B13" s="7" t="s">
        <v>39</v>
      </c>
      <c r="C13" s="7" t="s">
        <v>73</v>
      </c>
      <c r="D13" s="7">
        <f t="shared" si="1"/>
        <v>200000</v>
      </c>
      <c r="E13" s="7">
        <f>O_TransactionActivity3!G8</f>
        <v>-87.777799999999999</v>
      </c>
      <c r="F13" s="7">
        <f t="shared" si="0"/>
        <v>199912.22219999999</v>
      </c>
    </row>
    <row r="14" spans="1:6" ht="12.75" customHeight="1" x14ac:dyDescent="0.2">
      <c r="A14" s="7">
        <v>20220204</v>
      </c>
      <c r="B14" s="7" t="s">
        <v>38</v>
      </c>
      <c r="C14" s="7" t="s">
        <v>73</v>
      </c>
      <c r="D14" s="7">
        <f t="shared" si="1"/>
        <v>11.106200000000058</v>
      </c>
      <c r="E14" s="7">
        <f>O_TransactionActivity3!G11</f>
        <v>11.106199999999999</v>
      </c>
      <c r="F14" s="7">
        <f t="shared" si="0"/>
        <v>22.212400000000059</v>
      </c>
    </row>
    <row r="15" spans="1:6" ht="12.75" customHeight="1" x14ac:dyDescent="0.2">
      <c r="A15" s="7">
        <v>20220204</v>
      </c>
      <c r="B15" s="7" t="s">
        <v>28</v>
      </c>
      <c r="C15" s="7" t="s">
        <v>73</v>
      </c>
      <c r="D15" s="7">
        <f t="shared" si="1"/>
        <v>33.328400000000002</v>
      </c>
      <c r="E15" s="7">
        <f>O_TransactionActivity3!G11</f>
        <v>11.106199999999999</v>
      </c>
      <c r="F15" s="7">
        <f t="shared" si="0"/>
        <v>44.434600000000003</v>
      </c>
    </row>
    <row r="16" spans="1:6" ht="12.75" customHeight="1" x14ac:dyDescent="0.2">
      <c r="A16" s="7">
        <v>20220204</v>
      </c>
      <c r="B16" s="7" t="s">
        <v>39</v>
      </c>
      <c r="C16" s="7" t="s">
        <v>73</v>
      </c>
      <c r="D16" s="7">
        <f t="shared" si="1"/>
        <v>199912.22219999999</v>
      </c>
      <c r="E16" s="7">
        <v>0</v>
      </c>
      <c r="F16" s="7">
        <f t="shared" si="0"/>
        <v>199912.22219999999</v>
      </c>
    </row>
    <row r="17" spans="1:6" ht="12.75" customHeight="1" x14ac:dyDescent="0.2">
      <c r="A17" s="7">
        <v>20220205</v>
      </c>
      <c r="B17" s="7" t="s">
        <v>38</v>
      </c>
      <c r="C17" s="7" t="s">
        <v>73</v>
      </c>
      <c r="D17" s="7">
        <f t="shared" si="1"/>
        <v>22.212400000000059</v>
      </c>
      <c r="E17" s="7">
        <f>O_TransactionActivity3!G12</f>
        <v>44.424900000000001</v>
      </c>
      <c r="F17" s="7">
        <f t="shared" si="0"/>
        <v>66.637300000000067</v>
      </c>
    </row>
    <row r="18" spans="1:6" ht="12.75" customHeight="1" x14ac:dyDescent="0.2">
      <c r="A18" s="7">
        <v>20220205</v>
      </c>
      <c r="B18" s="7" t="s">
        <v>28</v>
      </c>
      <c r="C18" s="7" t="s">
        <v>73</v>
      </c>
      <c r="D18" s="7">
        <f t="shared" si="1"/>
        <v>44.434600000000003</v>
      </c>
      <c r="E18" s="7">
        <f>O_TransactionActivity3!G12</f>
        <v>44.424900000000001</v>
      </c>
      <c r="F18" s="7">
        <f t="shared" si="0"/>
        <v>88.859499999999997</v>
      </c>
    </row>
    <row r="19" spans="1:6" ht="12.75" customHeight="1" x14ac:dyDescent="0.2">
      <c r="A19" s="7">
        <v>20220205</v>
      </c>
      <c r="B19" s="7" t="s">
        <v>39</v>
      </c>
      <c r="C19" s="7" t="s">
        <v>73</v>
      </c>
      <c r="D19" s="7">
        <f t="shared" si="1"/>
        <v>199912.22219999999</v>
      </c>
      <c r="E19" s="7">
        <v>0</v>
      </c>
      <c r="F19" s="7">
        <f t="shared" si="0"/>
        <v>199912.22219999999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="120" zoomScaleNormal="120" workbookViewId="0">
      <selection activeCell="D5" sqref="D5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3.5703125" style="1" customWidth="1"/>
    <col min="4" max="5" width="24.85546875" style="1" customWidth="1"/>
    <col min="6" max="6" width="23.5703125" style="1" customWidth="1"/>
    <col min="7" max="7" width="21" style="1" customWidth="1"/>
  </cols>
  <sheetData>
    <row r="1" spans="1:5" ht="15" x14ac:dyDescent="0.25">
      <c r="A1" s="4" t="s">
        <v>41</v>
      </c>
      <c r="B1" s="5" t="s">
        <v>42</v>
      </c>
    </row>
    <row r="2" spans="1:5" x14ac:dyDescent="0.2">
      <c r="A2" s="7" t="s">
        <v>15</v>
      </c>
      <c r="B2" s="7" t="s">
        <v>34</v>
      </c>
      <c r="C2" s="7" t="s">
        <v>35</v>
      </c>
      <c r="D2" s="7" t="s">
        <v>36</v>
      </c>
      <c r="E2" s="7" t="s">
        <v>37</v>
      </c>
    </row>
    <row r="3" spans="1:5" x14ac:dyDescent="0.2">
      <c r="A3" s="7">
        <v>20220131</v>
      </c>
      <c r="B3" s="7" t="s">
        <v>38</v>
      </c>
      <c r="C3" s="9">
        <f>O_Instrument!D3+O_Instrument2!D3+O_Instrument3!D3</f>
        <v>0</v>
      </c>
      <c r="D3" s="9">
        <f>O_Instrument!E3+O_Instrument2!E3+O_Instrument3!E3</f>
        <v>600</v>
      </c>
      <c r="E3" s="9">
        <f>O_Instrument!F3+O_Instrument2!F3+O_Instrument3!F3</f>
        <v>600</v>
      </c>
    </row>
    <row r="4" spans="1:5" x14ac:dyDescent="0.2">
      <c r="A4" s="7">
        <v>20220131</v>
      </c>
      <c r="B4" s="7" t="s">
        <v>39</v>
      </c>
      <c r="C4" s="9">
        <f>O_Instrument!D4+O_Instrument2!D4+O_Instrument3!D4</f>
        <v>0</v>
      </c>
      <c r="D4" s="9">
        <f>O_Instrument!E4+O_Instrument2!E4+O_Instrument3!E4</f>
        <v>450000</v>
      </c>
      <c r="E4" s="9">
        <f>O_Instrument!F4+O_Instrument2!F4+O_Instrument3!F4</f>
        <v>450000</v>
      </c>
    </row>
    <row r="5" spans="1:5" x14ac:dyDescent="0.2">
      <c r="A5" s="7">
        <v>20220201</v>
      </c>
      <c r="B5" s="7" t="s">
        <v>38</v>
      </c>
      <c r="C5" s="9">
        <f>O_Instrument!D5+O_Instrument2!D5+O_Instrument3!D5</f>
        <v>600</v>
      </c>
      <c r="D5" s="9">
        <f>O_Instrument!E5+O_Instrument2!E5+O_Instrument3!E5</f>
        <v>72.222200000000001</v>
      </c>
      <c r="E5" s="9">
        <f>O_Instrument!F5+O_Instrument2!F5+O_Instrument3!F5</f>
        <v>672.22220000000004</v>
      </c>
    </row>
    <row r="6" spans="1:5" x14ac:dyDescent="0.2">
      <c r="A6" s="7">
        <v>20220201</v>
      </c>
      <c r="B6" s="7" t="s">
        <v>28</v>
      </c>
      <c r="C6" s="9">
        <f>O_Instrument!D6+O_Instrument2!D6+O_Instrument3!D6</f>
        <v>0</v>
      </c>
      <c r="D6" s="9">
        <f>O_Instrument!E6+O_Instrument2!E6+O_Instrument3!E6</f>
        <v>72.222200000000001</v>
      </c>
      <c r="E6" s="9">
        <f>O_Instrument!F6+O_Instrument2!F6+O_Instrument3!F6</f>
        <v>72.222200000000001</v>
      </c>
    </row>
    <row r="7" spans="1:5" ht="12.75" customHeight="1" x14ac:dyDescent="0.2">
      <c r="A7" s="7">
        <v>20220201</v>
      </c>
      <c r="B7" s="7" t="s">
        <v>39</v>
      </c>
      <c r="C7" s="9">
        <f>O_Instrument!D7+O_Instrument2!D7+O_Instrument3!D7</f>
        <v>450000</v>
      </c>
      <c r="D7" s="9">
        <f>O_Instrument!E7+O_Instrument2!E7+O_Instrument3!E7</f>
        <v>0</v>
      </c>
      <c r="E7" s="9">
        <f>O_Instrument!F7+O_Instrument2!F7+O_Instrument3!F7</f>
        <v>450000</v>
      </c>
    </row>
    <row r="8" spans="1:5" ht="12.75" customHeight="1" x14ac:dyDescent="0.2">
      <c r="A8" s="7">
        <v>20220202</v>
      </c>
      <c r="B8" s="7" t="s">
        <v>38</v>
      </c>
      <c r="C8" s="9">
        <f>O_Instrument!D8+O_Instrument2!D8+O_Instrument3!D8</f>
        <v>672.22220000000004</v>
      </c>
      <c r="D8" s="9">
        <f>O_Instrument!E8+O_Instrument2!E8+O_Instrument3!E8</f>
        <v>72.222200000000001</v>
      </c>
      <c r="E8" s="9">
        <f>O_Instrument!F8+O_Instrument2!F8+O_Instrument3!F8</f>
        <v>744.44440000000009</v>
      </c>
    </row>
    <row r="9" spans="1:5" ht="12.75" customHeight="1" x14ac:dyDescent="0.2">
      <c r="A9" s="7">
        <v>20220202</v>
      </c>
      <c r="B9" s="7" t="s">
        <v>28</v>
      </c>
      <c r="C9" s="9">
        <f>O_Instrument!D9+O_Instrument2!D9+O_Instrument3!D9</f>
        <v>72.222200000000001</v>
      </c>
      <c r="D9" s="9">
        <f>O_Instrument!E9+O_Instrument2!E9+O_Instrument3!E9</f>
        <v>72.222200000000001</v>
      </c>
      <c r="E9" s="9">
        <f>O_Instrument!F9+O_Instrument2!F9+O_Instrument3!F9</f>
        <v>144.4444</v>
      </c>
    </row>
    <row r="10" spans="1:5" ht="12.75" customHeight="1" x14ac:dyDescent="0.2">
      <c r="A10" s="7">
        <v>20220202</v>
      </c>
      <c r="B10" s="7" t="s">
        <v>39</v>
      </c>
      <c r="C10" s="9">
        <f>O_Instrument!D10+O_Instrument2!D10+O_Instrument3!D10</f>
        <v>450000</v>
      </c>
      <c r="D10" s="9">
        <f>O_Instrument!E10+O_Instrument2!E10+O_Instrument3!E10</f>
        <v>0</v>
      </c>
      <c r="E10" s="9">
        <f>O_Instrument!F10+O_Instrument2!F10+O_Instrument3!F10</f>
        <v>450000</v>
      </c>
    </row>
    <row r="11" spans="1:5" ht="12.75" customHeight="1" x14ac:dyDescent="0.2">
      <c r="A11" s="7">
        <v>20220203</v>
      </c>
      <c r="B11" s="7" t="s">
        <v>38</v>
      </c>
      <c r="C11" s="9">
        <f>O_Instrument!D11+O_Instrument2!D11+O_Instrument3!D11</f>
        <v>744.44440000000009</v>
      </c>
      <c r="D11" s="9">
        <f>O_Instrument!E11+O_Instrument2!E11+O_Instrument3!E11</f>
        <v>-672.2518</v>
      </c>
      <c r="E11" s="9">
        <f>O_Instrument!F11+O_Instrument2!F11+O_Instrument3!F11</f>
        <v>72.192600000000056</v>
      </c>
    </row>
    <row r="12" spans="1:5" ht="12.75" customHeight="1" x14ac:dyDescent="0.2">
      <c r="A12" s="7">
        <v>20220203</v>
      </c>
      <c r="B12" s="7" t="s">
        <v>28</v>
      </c>
      <c r="C12" s="9">
        <f>O_Instrument!D12+O_Instrument2!D12+O_Instrument3!D12</f>
        <v>144.4444</v>
      </c>
      <c r="D12" s="9">
        <f>O_Instrument!E12+O_Instrument2!E12+O_Instrument3!E12</f>
        <v>72.192599999999999</v>
      </c>
      <c r="E12" s="9">
        <f>O_Instrument!F12+O_Instrument2!F12+O_Instrument3!F12</f>
        <v>216.637</v>
      </c>
    </row>
    <row r="13" spans="1:5" ht="12.75" customHeight="1" x14ac:dyDescent="0.2">
      <c r="A13" s="7">
        <v>20220203</v>
      </c>
      <c r="B13" s="7" t="s">
        <v>39</v>
      </c>
      <c r="C13" s="9">
        <f>O_Instrument!D13+O_Instrument2!D13+O_Instrument3!D13</f>
        <v>450000</v>
      </c>
      <c r="D13" s="9">
        <f>O_Instrument!E13+O_Instrument2!E13+O_Instrument3!E13</f>
        <v>-185.5556</v>
      </c>
      <c r="E13" s="9">
        <f>O_Instrument!F13+O_Instrument2!F13+O_Instrument3!F13</f>
        <v>449814.44440000004</v>
      </c>
    </row>
    <row r="14" spans="1:5" ht="12.75" customHeight="1" x14ac:dyDescent="0.2">
      <c r="A14" s="7">
        <v>20220204</v>
      </c>
      <c r="B14" s="7" t="s">
        <v>38</v>
      </c>
      <c r="C14" s="9">
        <f>O_Instrument!D14+O_Instrument2!D14+O_Instrument3!D14</f>
        <v>72.192600000000056</v>
      </c>
      <c r="D14" s="9">
        <f>O_Instrument!E14+O_Instrument2!E14+O_Instrument3!E14</f>
        <v>72.192599999999999</v>
      </c>
      <c r="E14" s="9">
        <f>O_Instrument!F14+O_Instrument2!F14+O_Instrument3!F14</f>
        <v>144.38520000000005</v>
      </c>
    </row>
    <row r="15" spans="1:5" ht="12.75" customHeight="1" x14ac:dyDescent="0.2">
      <c r="A15" s="7">
        <v>20220204</v>
      </c>
      <c r="B15" s="7" t="s">
        <v>28</v>
      </c>
      <c r="C15" s="9">
        <f>O_Instrument!D15+O_Instrument2!D15+O_Instrument3!D15</f>
        <v>216.637</v>
      </c>
      <c r="D15" s="9">
        <f>O_Instrument!E15+O_Instrument2!E15+O_Instrument3!E15</f>
        <v>72.192599999999999</v>
      </c>
      <c r="E15" s="9">
        <f>O_Instrument!F15+O_Instrument2!F15+O_Instrument3!F15</f>
        <v>288.82960000000003</v>
      </c>
    </row>
    <row r="16" spans="1:5" ht="12.75" customHeight="1" x14ac:dyDescent="0.2">
      <c r="A16" s="7">
        <v>20220204</v>
      </c>
      <c r="B16" s="7" t="s">
        <v>39</v>
      </c>
      <c r="C16" s="9">
        <f>O_Instrument!D16+O_Instrument2!D16+O_Instrument3!D16</f>
        <v>449814.44440000004</v>
      </c>
      <c r="D16" s="9">
        <f>O_Instrument!E16+O_Instrument2!E16+O_Instrument3!E16</f>
        <v>0</v>
      </c>
      <c r="E16" s="9">
        <f>O_Instrument!F16+O_Instrument2!F16+O_Instrument3!F16</f>
        <v>449814.44440000004</v>
      </c>
    </row>
    <row r="17" spans="1:5" ht="12.75" customHeight="1" x14ac:dyDescent="0.2">
      <c r="A17" s="7">
        <v>20220205</v>
      </c>
      <c r="B17" s="7" t="s">
        <v>38</v>
      </c>
      <c r="C17" s="9">
        <f>O_Instrument!D17+O_Instrument2!D17+O_Instrument3!D17</f>
        <v>144.38520000000005</v>
      </c>
      <c r="D17" s="9">
        <f>O_Instrument!E17+O_Instrument2!E17+O_Instrument3!E17</f>
        <v>136.05449999999999</v>
      </c>
      <c r="E17" s="9">
        <f>O_Instrument!F17+O_Instrument2!F17+O_Instrument3!F17</f>
        <v>280.43970000000007</v>
      </c>
    </row>
    <row r="18" spans="1:5" ht="12.75" customHeight="1" x14ac:dyDescent="0.2">
      <c r="A18" s="7">
        <v>20220205</v>
      </c>
      <c r="B18" s="7" t="s">
        <v>28</v>
      </c>
      <c r="C18" s="9">
        <f>O_Instrument!D18+O_Instrument2!D18+O_Instrument3!D18</f>
        <v>288.82960000000003</v>
      </c>
      <c r="D18" s="9">
        <f>O_Instrument!E18+O_Instrument2!E18+O_Instrument3!E18</f>
        <v>136.05449999999999</v>
      </c>
      <c r="E18" s="9">
        <f>O_Instrument!F18+O_Instrument2!F18+O_Instrument3!F18</f>
        <v>424.88409999999999</v>
      </c>
    </row>
    <row r="19" spans="1:5" ht="12.75" customHeight="1" x14ac:dyDescent="0.2">
      <c r="A19" s="7">
        <v>20220205</v>
      </c>
      <c r="B19" s="7" t="s">
        <v>39</v>
      </c>
      <c r="C19" s="9">
        <f>O_Instrument!D19+O_Instrument2!D19+O_Instrument3!D19</f>
        <v>449814.44440000004</v>
      </c>
      <c r="D19" s="9">
        <f>O_Instrument!E19+O_Instrument2!E19+O_Instrument3!E19</f>
        <v>0</v>
      </c>
      <c r="E19" s="9">
        <f>O_Instrument!F19+O_Instrument2!F19+O_Instrument3!F19</f>
        <v>449814.44440000004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zoomScale="120" zoomScaleNormal="120" workbookViewId="0">
      <selection activeCell="B1" sqref="B1"/>
    </sheetView>
  </sheetViews>
  <sheetFormatPr defaultColWidth="11.5703125" defaultRowHeight="12.75" customHeight="1" x14ac:dyDescent="0.2"/>
  <cols>
    <col min="1" max="1" width="21.7109375" style="1" customWidth="1"/>
    <col min="2" max="2" width="21.85546875" style="1" customWidth="1"/>
    <col min="3" max="3" width="24.140625" style="1" customWidth="1"/>
    <col min="5" max="5" width="24.7109375" style="1" customWidth="1"/>
    <col min="6" max="6" width="23.140625" style="1" customWidth="1"/>
    <col min="8" max="8" width="7" style="1" customWidth="1"/>
    <col min="9" max="9" width="20.42578125" style="1" customWidth="1"/>
    <col min="10" max="10" width="21.140625" style="1" customWidth="1"/>
    <col min="11" max="12" width="24.140625" style="1" customWidth="1"/>
    <col min="13" max="13" width="19" style="1" customWidth="1"/>
    <col min="14" max="14" width="31.5703125" style="1" customWidth="1"/>
    <col min="15" max="15" width="16.7109375" style="1" customWidth="1"/>
    <col min="16" max="16" width="26.28515625" style="1" customWidth="1"/>
    <col min="17" max="17" width="21.7109375" style="1" customWidth="1"/>
    <col min="18" max="18" width="30.42578125" style="1" customWidth="1"/>
  </cols>
  <sheetData>
    <row r="1" spans="1:21" ht="15" x14ac:dyDescent="0.25">
      <c r="A1" s="4" t="s">
        <v>43</v>
      </c>
      <c r="B1" s="5" t="s">
        <v>44</v>
      </c>
    </row>
    <row r="2" spans="1:21" x14ac:dyDescent="0.2">
      <c r="A2" s="1" t="s">
        <v>15</v>
      </c>
      <c r="B2" s="1" t="s">
        <v>16</v>
      </c>
      <c r="C2" s="1" t="s">
        <v>45</v>
      </c>
      <c r="D2" s="1" t="s">
        <v>20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</row>
    <row r="3" spans="1:21" x14ac:dyDescent="0.2">
      <c r="A3" s="1">
        <v>20220131</v>
      </c>
      <c r="B3" s="1">
        <v>1</v>
      </c>
      <c r="C3" s="1" t="s">
        <v>63</v>
      </c>
      <c r="D3" s="1" t="s">
        <v>69</v>
      </c>
      <c r="E3" s="1">
        <v>1</v>
      </c>
      <c r="F3" s="1" t="s">
        <v>64</v>
      </c>
      <c r="G3" s="1">
        <v>202201</v>
      </c>
      <c r="H3" s="1" t="s">
        <v>32</v>
      </c>
      <c r="I3" s="1" t="s">
        <v>65</v>
      </c>
      <c r="K3" s="1" t="s">
        <v>66</v>
      </c>
      <c r="O3" s="1" t="s">
        <v>67</v>
      </c>
      <c r="Q3" s="1">
        <v>0</v>
      </c>
      <c r="R3" s="1" t="s">
        <v>67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</vt:lpstr>
      <vt:lpstr>O_TransactionActivity</vt:lpstr>
      <vt:lpstr>O_TransactionActivity2</vt:lpstr>
      <vt:lpstr>O_TransactionActivity3</vt:lpstr>
      <vt:lpstr>O_Attribute</vt:lpstr>
      <vt:lpstr>O_Instrument</vt:lpstr>
      <vt:lpstr>O_Instrument2</vt:lpstr>
      <vt:lpstr>O_Instrument3</vt:lpstr>
      <vt:lpstr>O_Metric</vt:lpstr>
      <vt:lpstr>xxInstrumentAttribute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2025-12-13T11:02:00Z</dcterms:modified>
  <dc:language>en-US</dc:language>
</cp:coreProperties>
</file>