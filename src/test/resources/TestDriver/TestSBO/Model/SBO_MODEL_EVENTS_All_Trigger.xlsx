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\Model\"/>
    </mc:Choice>
  </mc:AlternateContent>
  <xr:revisionPtr revIDLastSave="0" documentId="13_ncr:1_{80C32864-4A4B-4E9A-9D10-90FB791BD162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Scenario_Output" sheetId="1" r:id="rId1"/>
    <sheet name="ORIG" sheetId="2" r:id="rId2"/>
    <sheet name="PMT" sheetId="3" r:id="rId3"/>
    <sheet name="INT_ACC" sheetId="4" r:id="rId4"/>
    <sheet name="RC" sheetId="5" r:id="rId5"/>
    <sheet name="CALCULATION" sheetId="6" r:id="rId6"/>
    <sheet name="EXPECTED_INP" sheetId="7" r:id="rId7"/>
    <sheet name="Events" sheetId="8" r:id="rId8"/>
    <sheet name="o_Transac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6" l="1"/>
  <c r="B22" i="6"/>
  <c r="B24" i="6" s="1"/>
  <c r="E29" i="6" s="1"/>
  <c r="B9" i="6" l="1"/>
  <c r="E33" i="6" s="1"/>
  <c r="B8" i="6"/>
  <c r="E32" i="6" s="1"/>
  <c r="B15" i="6"/>
  <c r="B14" i="6"/>
  <c r="B3" i="6"/>
  <c r="B2" i="6"/>
  <c r="B1" i="6"/>
  <c r="B29" i="6" s="1"/>
  <c r="H40" i="7"/>
  <c r="B12" i="7"/>
  <c r="Q4" i="1"/>
  <c r="R4" i="1" s="1"/>
  <c r="N5" i="1" s="1"/>
  <c r="N4" i="1"/>
  <c r="I4" i="1"/>
  <c r="H4" i="1"/>
  <c r="H5" i="1" s="1"/>
  <c r="B4" i="1"/>
  <c r="H3" i="1"/>
  <c r="B3" i="1"/>
  <c r="Q1" i="1"/>
  <c r="R1" i="1" s="1"/>
  <c r="N2" i="1" s="1"/>
  <c r="N1" i="1"/>
  <c r="A29" i="6" l="1"/>
  <c r="C33" i="6"/>
  <c r="C6" i="9" s="1"/>
  <c r="A33" i="6"/>
  <c r="A6" i="9" s="1"/>
  <c r="B16" i="6"/>
  <c r="E30" i="6" s="1"/>
  <c r="B33" i="6"/>
  <c r="B6" i="9" s="1"/>
  <c r="F33" i="6"/>
  <c r="F6" i="9" s="1"/>
  <c r="D33" i="6"/>
  <c r="B32" i="6"/>
  <c r="D32" i="6"/>
  <c r="F32" i="6"/>
  <c r="A32" i="6"/>
  <c r="C32" i="6"/>
  <c r="E5" i="1"/>
  <c r="H6" i="1"/>
  <c r="I5" i="1"/>
  <c r="E6" i="9" l="1"/>
  <c r="D6" i="9"/>
  <c r="B17" i="6"/>
  <c r="E31" i="6" s="1"/>
  <c r="B5" i="9"/>
  <c r="F5" i="9"/>
  <c r="C5" i="9"/>
  <c r="A5" i="9"/>
  <c r="H7" i="1"/>
  <c r="E6" i="1"/>
  <c r="I6" i="1" s="1"/>
  <c r="I7" i="1" s="1"/>
  <c r="E5" i="9" l="1"/>
  <c r="D5" i="9"/>
  <c r="B30" i="6"/>
  <c r="A30" i="6"/>
  <c r="B31" i="6"/>
  <c r="A31" i="6"/>
  <c r="E8" i="1"/>
  <c r="I8" i="1"/>
  <c r="H9" i="1"/>
  <c r="H10" i="1" s="1"/>
  <c r="H8" i="1"/>
  <c r="E10" i="1" l="1"/>
  <c r="E12" i="1"/>
  <c r="H11" i="1"/>
  <c r="H12" i="1" s="1"/>
  <c r="E11" i="1"/>
  <c r="B3" i="9"/>
  <c r="A3" i="9"/>
  <c r="E9" i="1"/>
  <c r="I9" i="1" s="1"/>
  <c r="E3" i="9" l="1"/>
  <c r="C30" i="6"/>
  <c r="C3" i="9" s="1"/>
  <c r="D30" i="6"/>
  <c r="D3" i="9" s="1"/>
  <c r="F30" i="6"/>
  <c r="F3" i="9" s="1"/>
  <c r="I10" i="1"/>
  <c r="I11" i="1" s="1"/>
  <c r="I12" i="1" s="1"/>
  <c r="A4" i="9" l="1"/>
  <c r="B4" i="9"/>
  <c r="E4" i="9" l="1"/>
  <c r="D31" i="6"/>
  <c r="D4" i="9" s="1"/>
  <c r="C31" i="6"/>
  <c r="C4" i="9" s="1"/>
  <c r="F31" i="6"/>
  <c r="F4" i="9" s="1"/>
  <c r="B2" i="9" l="1"/>
  <c r="A2" i="9"/>
  <c r="D29" i="6"/>
  <c r="C29" i="6"/>
  <c r="C2" i="9" s="1"/>
  <c r="F29" i="6"/>
  <c r="F2" i="9" s="1"/>
  <c r="D2" i="9" l="1"/>
  <c r="E2" i="9"/>
</calcChain>
</file>

<file path=xl/sharedStrings.xml><?xml version="1.0" encoding="utf-8"?>
<sst xmlns="http://schemas.openxmlformats.org/spreadsheetml/2006/main" count="252" uniqueCount="95">
  <si>
    <t>Transactions</t>
  </si>
  <si>
    <t>Balances</t>
  </si>
  <si>
    <t>Monthly NR</t>
  </si>
  <si>
    <t>PD</t>
  </si>
  <si>
    <t>ED</t>
  </si>
  <si>
    <t>Transaction</t>
  </si>
  <si>
    <t>Component</t>
  </si>
  <si>
    <t>Amount</t>
  </si>
  <si>
    <t>Entry</t>
  </si>
  <si>
    <t>UPB</t>
  </si>
  <si>
    <t>AIR</t>
  </si>
  <si>
    <t>Daily NR</t>
  </si>
  <si>
    <t>Purchase</t>
  </si>
  <si>
    <t>New</t>
  </si>
  <si>
    <t>Interest</t>
  </si>
  <si>
    <t>accrual</t>
  </si>
  <si>
    <t>Remit</t>
  </si>
  <si>
    <t>Payment</t>
  </si>
  <si>
    <t>PostingDate</t>
  </si>
  <si>
    <t>EffectiveDate</t>
  </si>
  <si>
    <t>InstrumentId</t>
  </si>
  <si>
    <t>AttributeId</t>
  </si>
  <si>
    <t>ATTRIBUTE_LOAN_AMOUNT_CURRENT</t>
  </si>
  <si>
    <t>ATTRIBUTE_INTEREST_RECEIVABLE_CONSUMER_CURRENT</t>
  </si>
  <si>
    <t>TRANSACTIONS_AMOUNT_REMIT</t>
  </si>
  <si>
    <t>ATTRIBUTE_INTEREST_RATE_CURRENT</t>
  </si>
  <si>
    <t>BALANCES_ENDINGBALANCE_Unpaid_Principal_Balance</t>
  </si>
  <si>
    <t>BALANCES_ENDINGBALANCE_Accrued_Interest_Receivable</t>
  </si>
  <si>
    <t>BALANCES_ENDINGBALANCE_Servicing_Interest_Accrual</t>
  </si>
  <si>
    <t>ATTRIBUTE_INTEREST_RATE_PRIOR</t>
  </si>
  <si>
    <t>Interest Rate</t>
  </si>
  <si>
    <t>Accrual</t>
  </si>
  <si>
    <t>TransactionDate</t>
  </si>
  <si>
    <t>Transactiontype</t>
  </si>
  <si>
    <t>ORIG</t>
  </si>
  <si>
    <t>ATTRIBUTES_LOAN_AMOUNT_CURRENT</t>
  </si>
  <si>
    <t>ATTRIBUTES_INTEREST_RECEIVABLE_CONSUMER_CURRENT</t>
  </si>
  <si>
    <t>IDHJ-EGNY</t>
  </si>
  <si>
    <t>INT_ACC</t>
  </si>
  <si>
    <t>ATTRIBUTES_INTEREST_RATE_CURRENT</t>
  </si>
  <si>
    <t>BALANCES_BEGINNINGBALANCE_Unpaid_Principal_Balance</t>
  </si>
  <si>
    <t>BALANCES_BEGINNINGBALANCE_Accrued_Interest_Receivable</t>
  </si>
  <si>
    <t>BALANCES_BEGINNINGBALANCE_Servicing_Interest_Accrual</t>
  </si>
  <si>
    <t>02/01/2022</t>
  </si>
  <si>
    <t>PMT</t>
  </si>
  <si>
    <t>TRANSACTIONS.AMOUNT.REMIT</t>
  </si>
  <si>
    <t>RC</t>
  </si>
  <si>
    <t>ATTRIBUTES_INTEREST_RATE_PRIOR</t>
  </si>
  <si>
    <t>Trigger Type</t>
  </si>
  <si>
    <t>ON MODEL EXECUTION</t>
  </si>
  <si>
    <t>Source Mapping</t>
  </si>
  <si>
    <t>ENDINGBALANCE</t>
  </si>
  <si>
    <t>UPB,AIR,ACCRUAL</t>
  </si>
  <si>
    <t>Attribute</t>
  </si>
  <si>
    <t>NoteRate</t>
  </si>
  <si>
    <t>Current</t>
  </si>
  <si>
    <t>Trigger Source</t>
  </si>
  <si>
    <t>ON TRANSACTION POST</t>
  </si>
  <si>
    <t>ON ATTRIBUTE ADD</t>
  </si>
  <si>
    <t>Loan_amount</t>
  </si>
  <si>
    <t>INTEREST_RECEIVABLE_CONSUMER</t>
  </si>
  <si>
    <t>ON ATTRIBUTE CHANGE</t>
  </si>
  <si>
    <t>Current, Prior</t>
  </si>
  <si>
    <t>TransactionName</t>
  </si>
  <si>
    <t>ATTRIBUTE_ACCRUAL_CONVENTION_CURRENT</t>
  </si>
  <si>
    <t>simple_interest(100000,0.10,30/360) → 833.33</t>
  </si>
  <si>
    <t>simple_interest(BALANCES_ENDINGBALANCE_Unpaid_Principal_Balance,ATTRIBUTE_INTEREST_RATE_CURRENT,ATTRIBUTE_ACCRUAL_CONVENTION_CURRENT)</t>
  </si>
  <si>
    <t>Do nothing/ Not needed</t>
  </si>
  <si>
    <t>PAYMENT_INTEREST = MIN(REMIT_AMOUNT, AIR_BALANCE), PAYMENT_PRINCIPAL = MAX(REMIT_AMOUNT - PAYMENT_INTEREST, 0)</t>
  </si>
  <si>
    <t>LOAN_AMOUNT = ATTRIBUTE_LOAN_AMOUNT_CURRENT
INTEREST_RECEIVABLE = ATTRIBUTE_INTEREST_RECEIVABLE_CONSUMER_CURRENT</t>
  </si>
  <si>
    <t>ORIGINATION EVENT</t>
  </si>
  <si>
    <t>PURCHASE_UPB</t>
  </si>
  <si>
    <t>PURCHASE_INTEREST</t>
  </si>
  <si>
    <t>ExecutionDate</t>
  </si>
  <si>
    <t>LoanId</t>
  </si>
  <si>
    <t>PAYMENT EVENT</t>
  </si>
  <si>
    <t>PAYMENT_INTEREST = MIN(REMIT_AMOUNT, AIR_BALANCE)</t>
  </si>
  <si>
    <t>PAYMENT_PRINCIPAL = MAX(REMIT_AMOUNT - PAYMENT_INTEREST, 0)</t>
  </si>
  <si>
    <t>PAYMENT_INTEREST</t>
  </si>
  <si>
    <t>PAYMENT_PRINCIPAL</t>
  </si>
  <si>
    <t>REMIT_AMOUNT</t>
  </si>
  <si>
    <t>AIR_BALANCE</t>
  </si>
  <si>
    <t>DIRECT PULL FROM INT_ACC</t>
  </si>
  <si>
    <t>DIRECT PULL FROM PMT</t>
  </si>
  <si>
    <t>DIRECT PULL FROM ORIG</t>
  </si>
  <si>
    <t>TRANSACTION</t>
  </si>
  <si>
    <t>AMOUNT</t>
  </si>
  <si>
    <t>FORMULA</t>
  </si>
  <si>
    <t>UPB_BALANCE</t>
  </si>
  <si>
    <t>INTEREST_ACCRUAL</t>
  </si>
  <si>
    <t>INTEREST ACCRUAL EVENT / RATE CHANGE</t>
  </si>
  <si>
    <t>INTEREST_RATE</t>
  </si>
  <si>
    <t>IF (RC_IINTEREST_RATE = "", INT_ACC_INTEREST_RATE, RC_IINTEREST_RATE)</t>
  </si>
  <si>
    <t>TRANSACTIONS</t>
  </si>
  <si>
    <t>(UPB_BALANCE x INTEREST_RATE )/36000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</si>
</sst>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;[Red]\(0.00\)"/>
    <numFmt numFmtId="165" formatCode="0.0000_);[Red]\(0.0000\)"/>
    <numFmt numFmtId="166" formatCode="#,##0.0000_);[Red]\(#,##0.0000\)"/>
    <numFmt numFmtId="167" formatCode="0.0000"/>
  </numFmts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theme="4" tint="0.79989013336588644"/>
        <bgColor rgb="FFCCFFFF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37">
    <xf numFmtId="0" fontId="0" fillId="0" borderId="0" xfId="0"/>
    <xf numFmtId="0" fontId="0" fillId="0" borderId="2" xfId="0" applyFont="1" applyBorder="1"/>
    <xf numFmtId="0" fontId="1" fillId="0" borderId="0" xfId="0" applyFont="1"/>
    <xf numFmtId="14" fontId="0" fillId="0" borderId="2" xfId="0" applyNumberFormat="1" applyBorder="1"/>
    <xf numFmtId="164" fontId="0" fillId="0" borderId="2" xfId="0" applyNumberFormat="1" applyBorder="1"/>
    <xf numFmtId="40" fontId="0" fillId="0" borderId="0" xfId="0" applyNumberFormat="1"/>
    <xf numFmtId="165" fontId="0" fillId="0" borderId="2" xfId="0" applyNumberFormat="1" applyBorder="1"/>
    <xf numFmtId="0" fontId="0" fillId="2" borderId="0" xfId="0" applyFill="1"/>
    <xf numFmtId="166" fontId="0" fillId="0" borderId="0" xfId="0" applyNumberFormat="1"/>
    <xf numFmtId="40" fontId="0" fillId="3" borderId="0" xfId="0" applyNumberFormat="1" applyFill="1"/>
    <xf numFmtId="164" fontId="0" fillId="0" borderId="0" xfId="0" applyNumberFormat="1"/>
    <xf numFmtId="0" fontId="1" fillId="0" borderId="0" xfId="1" applyFont="1"/>
    <xf numFmtId="0" fontId="1" fillId="0" borderId="0" xfId="1" applyFont="1"/>
    <xf numFmtId="0" fontId="1" fillId="2" borderId="0" xfId="1" applyFont="1" applyFill="1"/>
    <xf numFmtId="0" fontId="1" fillId="2" borderId="0" xfId="0" applyFont="1" applyFill="1"/>
    <xf numFmtId="14" fontId="0" fillId="0" borderId="0" xfId="0" applyNumberFormat="1"/>
    <xf numFmtId="0" fontId="0" fillId="0" borderId="0" xfId="1" applyFont="1"/>
    <xf numFmtId="167" fontId="0" fillId="0" borderId="2" xfId="0" applyNumberFormat="1" applyBorder="1"/>
    <xf numFmtId="14" fontId="0" fillId="0" borderId="2" xfId="0" applyNumberFormat="1" applyBorder="1" applyAlignment="1">
      <alignment vertical="center" wrapText="1"/>
    </xf>
    <xf numFmtId="0" fontId="0" fillId="2" borderId="0" xfId="1" applyFont="1" applyFill="1"/>
    <xf numFmtId="167" fontId="0" fillId="0" borderId="0" xfId="0" applyNumberFormat="1"/>
    <xf numFmtId="0" fontId="0" fillId="0" borderId="2" xfId="0" applyFont="1" applyBorder="1"/>
    <xf numFmtId="0" fontId="1" fillId="5" borderId="3" xfId="1" applyFont="1" applyFill="1" applyBorder="1"/>
    <xf numFmtId="166" fontId="0" fillId="0" borderId="2" xfId="0" applyNumberFormat="1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4" fontId="0" fillId="0" borderId="0" xfId="1" applyNumberFormat="1" applyFont="1"/>
    <xf numFmtId="167" fontId="0" fillId="0" borderId="0" xfId="1" applyNumberFormat="1" applyFont="1"/>
    <xf numFmtId="1" fontId="0" fillId="0" borderId="0" xfId="1" applyNumberFormat="1" applyFont="1"/>
    <xf numFmtId="0" fontId="0" fillId="0" borderId="0" xfId="0" applyAlignment="1">
      <alignment wrapText="1"/>
    </xf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2" xfId="0" applyBorder="1"/>
    <xf numFmtId="0" fontId="4" fillId="6" borderId="2" xfId="0" applyFont="1" applyFill="1" applyBorder="1"/>
    <xf numFmtId="167" fontId="0" fillId="0" borderId="2" xfId="0" applyNumberFormat="1" applyBorder="1" applyAlignment="1">
      <alignment horizont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R25"/>
  <sheetViews>
    <sheetView topLeftCell="A11" zoomScaleNormal="100" workbookViewId="0">
      <selection activeCell="E22" sqref="E22"/>
    </sheetView>
  </sheetViews>
  <sheetFormatPr defaultColWidth="8.7109375" defaultRowHeight="15" customHeight="1" x14ac:dyDescent="0.25"/>
  <cols>
    <col min="1" max="1" width="9.7109375" customWidth="1"/>
    <col min="2" max="2" width="52.85546875" customWidth="1"/>
    <col min="3" max="3" width="73.85546875" customWidth="1"/>
    <col min="4" max="4" width="8" customWidth="1"/>
    <col min="5" max="5" width="41.85546875" customWidth="1"/>
    <col min="6" max="6" width="8.5703125" customWidth="1"/>
    <col min="8" max="8" width="10.85546875" customWidth="1"/>
    <col min="9" max="9" width="9.28515625" customWidth="1"/>
    <col min="12" max="12" width="9.85546875" customWidth="1"/>
    <col min="13" max="13" width="19.42578125" customWidth="1"/>
    <col min="14" max="14" width="12" customWidth="1"/>
  </cols>
  <sheetData>
    <row r="1" spans="1:18" x14ac:dyDescent="0.25">
      <c r="A1" s="31" t="s">
        <v>0</v>
      </c>
      <c r="B1" s="31"/>
      <c r="C1" s="31"/>
      <c r="D1" s="31"/>
      <c r="E1" s="31"/>
      <c r="F1" s="31"/>
      <c r="H1" s="31" t="s">
        <v>1</v>
      </c>
      <c r="I1" s="31"/>
      <c r="M1" s="1" t="s">
        <v>2</v>
      </c>
      <c r="N1" s="1">
        <f>P1/1200</f>
        <v>8.3333333333333332E-3</v>
      </c>
      <c r="P1">
        <v>10</v>
      </c>
      <c r="Q1">
        <f>P1/100</f>
        <v>0.1</v>
      </c>
      <c r="R1">
        <f>Q1/360</f>
        <v>2.7777777777777778E-4</v>
      </c>
    </row>
    <row r="2" spans="1:18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H2" s="2" t="s">
        <v>9</v>
      </c>
      <c r="I2" s="2" t="s">
        <v>10</v>
      </c>
      <c r="M2" s="1" t="s">
        <v>11</v>
      </c>
      <c r="N2" s="1">
        <f>R1</f>
        <v>2.7777777777777778E-4</v>
      </c>
    </row>
    <row r="3" spans="1:18" x14ac:dyDescent="0.25">
      <c r="A3" s="3">
        <v>44592</v>
      </c>
      <c r="B3" s="3">
        <f>A3</f>
        <v>44592</v>
      </c>
      <c r="C3" s="1" t="s">
        <v>12</v>
      </c>
      <c r="D3" s="1" t="s">
        <v>9</v>
      </c>
      <c r="E3" s="4">
        <v>100000</v>
      </c>
      <c r="F3" s="1" t="s">
        <v>13</v>
      </c>
      <c r="H3" s="5">
        <f>E3</f>
        <v>100000</v>
      </c>
      <c r="I3" s="5">
        <v>0</v>
      </c>
    </row>
    <row r="4" spans="1:18" x14ac:dyDescent="0.25">
      <c r="A4" s="3">
        <v>44592</v>
      </c>
      <c r="B4" s="3">
        <f>A4</f>
        <v>44592</v>
      </c>
      <c r="C4" s="1" t="s">
        <v>12</v>
      </c>
      <c r="D4" s="1" t="s">
        <v>14</v>
      </c>
      <c r="E4" s="4">
        <v>100</v>
      </c>
      <c r="F4" s="1" t="s">
        <v>13</v>
      </c>
      <c r="H4" s="5">
        <f>E3</f>
        <v>100000</v>
      </c>
      <c r="I4" s="5">
        <f>E4</f>
        <v>100</v>
      </c>
      <c r="M4" s="1" t="s">
        <v>2</v>
      </c>
      <c r="N4" s="1">
        <f>P4/1200</f>
        <v>1.2500000000000001E-2</v>
      </c>
      <c r="P4">
        <v>15</v>
      </c>
      <c r="Q4">
        <f>P4/100</f>
        <v>0.15</v>
      </c>
      <c r="R4">
        <f>Q4/360</f>
        <v>4.1666666666666664E-4</v>
      </c>
    </row>
    <row r="5" spans="1:18" x14ac:dyDescent="0.25">
      <c r="A5" s="3">
        <v>44593</v>
      </c>
      <c r="B5" s="3">
        <v>44593</v>
      </c>
      <c r="C5" s="1" t="s">
        <v>15</v>
      </c>
      <c r="D5" s="1" t="s">
        <v>14</v>
      </c>
      <c r="E5" s="6">
        <f>H5*$N$2</f>
        <v>27.777777777777779</v>
      </c>
      <c r="F5" s="1" t="s">
        <v>13</v>
      </c>
      <c r="G5" s="7"/>
      <c r="H5" s="5">
        <f>H4</f>
        <v>100000</v>
      </c>
      <c r="I5" s="5">
        <f>I4+E5</f>
        <v>127.77777777777777</v>
      </c>
      <c r="M5" s="1" t="s">
        <v>11</v>
      </c>
      <c r="N5" s="1">
        <f>R4</f>
        <v>4.1666666666666664E-4</v>
      </c>
    </row>
    <row r="6" spans="1:18" x14ac:dyDescent="0.25">
      <c r="A6" s="3">
        <v>44594</v>
      </c>
      <c r="B6" s="3">
        <v>44594</v>
      </c>
      <c r="C6" s="1" t="s">
        <v>15</v>
      </c>
      <c r="D6" s="1" t="s">
        <v>14</v>
      </c>
      <c r="E6" s="4">
        <f>H6*$N$2</f>
        <v>27.777777777777779</v>
      </c>
      <c r="F6" s="1" t="s">
        <v>13</v>
      </c>
      <c r="G6" s="7"/>
      <c r="H6" s="5">
        <f>H5</f>
        <v>100000</v>
      </c>
      <c r="I6" s="8">
        <f>I5+E6</f>
        <v>155.55555555555554</v>
      </c>
    </row>
    <row r="7" spans="1:18" x14ac:dyDescent="0.25">
      <c r="A7" s="3">
        <v>44595</v>
      </c>
      <c r="B7" s="3">
        <v>44595</v>
      </c>
      <c r="C7" s="1" t="s">
        <v>16</v>
      </c>
      <c r="D7" s="1"/>
      <c r="E7" s="4">
        <v>210</v>
      </c>
      <c r="F7" s="1" t="s">
        <v>13</v>
      </c>
      <c r="G7" s="7"/>
      <c r="H7" s="5">
        <f>H6</f>
        <v>100000</v>
      </c>
      <c r="I7" s="9">
        <f>I6</f>
        <v>155.55555555555554</v>
      </c>
      <c r="N7" s="5"/>
    </row>
    <row r="8" spans="1:18" x14ac:dyDescent="0.25">
      <c r="A8" s="3">
        <v>44595</v>
      </c>
      <c r="B8" s="3">
        <v>44595</v>
      </c>
      <c r="C8" s="1" t="s">
        <v>17</v>
      </c>
      <c r="D8" s="1" t="s">
        <v>9</v>
      </c>
      <c r="E8" s="4">
        <f>-(E7-I7)</f>
        <v>-54.444444444444457</v>
      </c>
      <c r="F8" s="1" t="s">
        <v>13</v>
      </c>
      <c r="H8" s="5">
        <f>H7+E8</f>
        <v>99945.555555555562</v>
      </c>
      <c r="I8" s="5">
        <f>I7</f>
        <v>155.55555555555554</v>
      </c>
      <c r="J8" s="10"/>
    </row>
    <row r="9" spans="1:18" x14ac:dyDescent="0.25">
      <c r="A9" s="3">
        <v>44595</v>
      </c>
      <c r="B9" s="3">
        <v>44595</v>
      </c>
      <c r="C9" s="1" t="s">
        <v>17</v>
      </c>
      <c r="D9" s="1" t="s">
        <v>14</v>
      </c>
      <c r="E9" s="4">
        <f>-(I8)</f>
        <v>-155.55555555555554</v>
      </c>
      <c r="F9" s="1" t="s">
        <v>13</v>
      </c>
      <c r="G9" s="7"/>
      <c r="H9" s="5">
        <f>H7+E8</f>
        <v>99945.555555555562</v>
      </c>
      <c r="I9" s="5">
        <f>I8+E9</f>
        <v>0</v>
      </c>
    </row>
    <row r="10" spans="1:18" x14ac:dyDescent="0.25">
      <c r="A10" s="3">
        <v>44595</v>
      </c>
      <c r="B10" s="3">
        <v>44595</v>
      </c>
      <c r="C10" s="1" t="s">
        <v>15</v>
      </c>
      <c r="D10" s="1" t="s">
        <v>14</v>
      </c>
      <c r="E10" s="6">
        <f>H10*$N$2</f>
        <v>27.762654320987657</v>
      </c>
      <c r="F10" s="1" t="s">
        <v>13</v>
      </c>
      <c r="G10" s="7"/>
      <c r="H10" s="5">
        <f>H9</f>
        <v>99945.555555555562</v>
      </c>
      <c r="I10" s="5">
        <f>E10+I9</f>
        <v>27.762654320987657</v>
      </c>
    </row>
    <row r="11" spans="1:18" x14ac:dyDescent="0.25">
      <c r="A11" s="3">
        <v>44596</v>
      </c>
      <c r="B11" s="3">
        <v>44596</v>
      </c>
      <c r="C11" s="1" t="s">
        <v>15</v>
      </c>
      <c r="D11" s="1" t="s">
        <v>14</v>
      </c>
      <c r="E11" s="6">
        <f>ROUND(H10*N2,4)</f>
        <v>27.762699999999999</v>
      </c>
      <c r="F11" s="1" t="s">
        <v>13</v>
      </c>
      <c r="G11" s="7"/>
      <c r="H11" s="5">
        <f>H10</f>
        <v>99945.555555555562</v>
      </c>
      <c r="I11" s="5">
        <f>I10+E11</f>
        <v>55.52535432098766</v>
      </c>
    </row>
    <row r="12" spans="1:18" x14ac:dyDescent="0.25">
      <c r="A12" s="3">
        <v>44597</v>
      </c>
      <c r="B12" s="3">
        <v>44597</v>
      </c>
      <c r="C12" s="1" t="s">
        <v>15</v>
      </c>
      <c r="D12" s="1" t="s">
        <v>14</v>
      </c>
      <c r="E12" s="6">
        <f>H10*$N$5</f>
        <v>41.643981481481482</v>
      </c>
      <c r="F12" s="1" t="s">
        <v>13</v>
      </c>
      <c r="G12" s="7"/>
      <c r="H12" s="5">
        <f>H11</f>
        <v>99945.555555555562</v>
      </c>
      <c r="I12" s="5">
        <f>I11+E12</f>
        <v>97.169335802469135</v>
      </c>
    </row>
    <row r="21" spans="1:6" ht="15" customHeight="1" x14ac:dyDescent="0.25">
      <c r="A21" t="s">
        <v>34</v>
      </c>
      <c r="B21" s="13" t="s">
        <v>22</v>
      </c>
      <c r="C21" s="14" t="s">
        <v>23</v>
      </c>
      <c r="D21">
        <v>1</v>
      </c>
      <c r="E21" s="30" t="s">
        <v>69</v>
      </c>
    </row>
    <row r="22" spans="1:6" ht="15" customHeight="1" x14ac:dyDescent="0.25">
      <c r="A22" t="s">
        <v>17</v>
      </c>
      <c r="B22" s="13" t="s">
        <v>24</v>
      </c>
      <c r="C22" s="19" t="s">
        <v>27</v>
      </c>
      <c r="D22">
        <v>2</v>
      </c>
      <c r="E22" t="s">
        <v>68</v>
      </c>
    </row>
    <row r="23" spans="1:6" ht="15" customHeight="1" x14ac:dyDescent="0.25">
      <c r="A23" t="s">
        <v>46</v>
      </c>
      <c r="B23" s="19" t="s">
        <v>25</v>
      </c>
      <c r="D23">
        <v>3</v>
      </c>
      <c r="E23" t="s">
        <v>67</v>
      </c>
    </row>
    <row r="24" spans="1:6" ht="15" customHeight="1" x14ac:dyDescent="0.25">
      <c r="A24" t="s">
        <v>31</v>
      </c>
      <c r="B24" s="19" t="s">
        <v>25</v>
      </c>
      <c r="C24" s="19" t="s">
        <v>26</v>
      </c>
      <c r="D24">
        <v>4</v>
      </c>
      <c r="E24" s="29" t="s">
        <v>66</v>
      </c>
      <c r="F24" t="s">
        <v>65</v>
      </c>
    </row>
    <row r="25" spans="1:6" ht="15" customHeight="1" x14ac:dyDescent="0.25">
      <c r="B25" s="19" t="s">
        <v>64</v>
      </c>
      <c r="E25" s="29"/>
    </row>
  </sheetData>
  <mergeCells count="2">
    <mergeCell ref="A1:F1"/>
    <mergeCell ref="H1:I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2"/>
  <sheetViews>
    <sheetView zoomScaleNormal="100" workbookViewId="0">
      <selection activeCell="A2" sqref="A2:F2"/>
    </sheetView>
  </sheetViews>
  <sheetFormatPr defaultColWidth="8.7109375" defaultRowHeight="15" customHeight="1" x14ac:dyDescent="0.25"/>
  <cols>
    <col min="1" max="1" width="11.7109375" customWidth="1"/>
    <col min="2" max="2" width="13.140625" customWidth="1"/>
    <col min="3" max="3" width="12.5703125" customWidth="1"/>
    <col min="4" max="4" width="10.85546875" customWidth="1"/>
    <col min="5" max="5" width="37.140625" customWidth="1"/>
    <col min="6" max="6" width="53.7109375" customWidth="1"/>
  </cols>
  <sheetData>
    <row r="1" spans="1:6" x14ac:dyDescent="0.25">
      <c r="A1" s="11" t="s">
        <v>18</v>
      </c>
      <c r="B1" s="2" t="s">
        <v>19</v>
      </c>
      <c r="C1" s="12" t="s">
        <v>20</v>
      </c>
      <c r="D1" s="12" t="s">
        <v>21</v>
      </c>
      <c r="E1" s="13" t="s">
        <v>22</v>
      </c>
      <c r="F1" s="14" t="s">
        <v>23</v>
      </c>
    </row>
    <row r="2" spans="1:6" x14ac:dyDescent="0.25">
      <c r="A2" s="15"/>
      <c r="B2" s="15"/>
      <c r="C2" s="16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F13"/>
  <sheetViews>
    <sheetView zoomScaleNormal="100" workbookViewId="0">
      <selection activeCell="D3" sqref="D3"/>
    </sheetView>
  </sheetViews>
  <sheetFormatPr defaultColWidth="8.7109375" defaultRowHeight="15" customHeight="1" x14ac:dyDescent="0.25"/>
  <cols>
    <col min="1" max="1" width="11.7109375" customWidth="1"/>
    <col min="2" max="2" width="13.140625" customWidth="1"/>
    <col min="3" max="3" width="12.5703125" customWidth="1"/>
    <col min="4" max="4" width="10.85546875" customWidth="1"/>
    <col min="5" max="5" width="30.5703125" customWidth="1"/>
  </cols>
  <sheetData>
    <row r="1" spans="1:6" x14ac:dyDescent="0.25">
      <c r="A1" s="11" t="s">
        <v>18</v>
      </c>
      <c r="B1" s="2" t="s">
        <v>19</v>
      </c>
      <c r="C1" s="12" t="s">
        <v>20</v>
      </c>
      <c r="D1" s="12" t="s">
        <v>21</v>
      </c>
      <c r="E1" s="13" t="s">
        <v>24</v>
      </c>
    </row>
    <row r="2" spans="1:6" x14ac:dyDescent="0.25">
      <c r="A2" s="15"/>
      <c r="B2" s="15"/>
      <c r="C2" s="16"/>
      <c r="E2" s="17"/>
    </row>
    <row r="3" spans="1:6" x14ac:dyDescent="0.25">
      <c r="A3" s="18"/>
      <c r="B3" s="18"/>
      <c r="C3" s="1"/>
      <c r="D3" s="1"/>
      <c r="E3" s="17"/>
      <c r="F3" s="15"/>
    </row>
    <row r="4" spans="1:6" x14ac:dyDescent="0.25">
      <c r="A4" s="18"/>
      <c r="B4" s="18"/>
      <c r="C4" s="1"/>
      <c r="D4" s="1"/>
      <c r="E4" s="17"/>
      <c r="F4" s="15"/>
    </row>
    <row r="5" spans="1:6" x14ac:dyDescent="0.25">
      <c r="A5" s="18"/>
      <c r="B5" s="18"/>
      <c r="C5" s="1"/>
      <c r="D5" s="1"/>
      <c r="E5" s="17"/>
      <c r="F5" s="15"/>
    </row>
    <row r="6" spans="1:6" x14ac:dyDescent="0.25">
      <c r="A6" s="1"/>
      <c r="B6" s="1"/>
      <c r="C6" s="1"/>
      <c r="D6" s="1"/>
      <c r="E6" s="1"/>
    </row>
    <row r="7" spans="1:6" x14ac:dyDescent="0.25">
      <c r="A7" s="1"/>
      <c r="B7" s="1"/>
      <c r="C7" s="1"/>
      <c r="D7" s="1"/>
      <c r="E7" s="1"/>
    </row>
    <row r="8" spans="1:6" x14ac:dyDescent="0.25">
      <c r="A8" s="1"/>
      <c r="B8" s="1"/>
      <c r="C8" s="1"/>
      <c r="D8" s="1"/>
      <c r="E8" s="1"/>
    </row>
    <row r="9" spans="1:6" x14ac:dyDescent="0.25">
      <c r="A9" s="1"/>
      <c r="B9" s="1"/>
      <c r="C9" s="1"/>
      <c r="D9" s="1"/>
      <c r="E9" s="1"/>
    </row>
    <row r="10" spans="1:6" x14ac:dyDescent="0.25">
      <c r="A10" s="1"/>
      <c r="B10" s="1"/>
      <c r="C10" s="1"/>
      <c r="D10" s="1"/>
      <c r="E10" s="1"/>
    </row>
    <row r="11" spans="1:6" x14ac:dyDescent="0.25">
      <c r="A11" s="1"/>
      <c r="B11" s="1"/>
      <c r="C11" s="1"/>
      <c r="D11" s="1"/>
      <c r="E11" s="1"/>
    </row>
    <row r="12" spans="1:6" x14ac:dyDescent="0.25">
      <c r="A12" s="1"/>
      <c r="B12" s="1"/>
      <c r="C12" s="1"/>
      <c r="D12" s="1"/>
      <c r="E12" s="1"/>
    </row>
    <row r="13" spans="1:6" x14ac:dyDescent="0.25">
      <c r="A13" s="1"/>
      <c r="B13" s="1"/>
      <c r="C13" s="1"/>
      <c r="D13" s="1"/>
      <c r="E13" s="1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2"/>
  <sheetViews>
    <sheetView zoomScaleNormal="100" workbookViewId="0">
      <selection activeCell="A2" sqref="A2:H2"/>
    </sheetView>
  </sheetViews>
  <sheetFormatPr defaultColWidth="8.7109375" defaultRowHeight="15" customHeight="1" x14ac:dyDescent="0.25"/>
  <cols>
    <col min="1" max="1" width="11.7109375" customWidth="1"/>
    <col min="2" max="2" width="13.140625" customWidth="1"/>
    <col min="3" max="3" width="12.5703125" customWidth="1"/>
    <col min="4" max="4" width="10.85546875" customWidth="1"/>
    <col min="5" max="5" width="35.140625" customWidth="1"/>
    <col min="6" max="6" width="53.85546875" customWidth="1"/>
    <col min="7" max="7" width="57" customWidth="1"/>
    <col min="8" max="8" width="61" customWidth="1"/>
  </cols>
  <sheetData>
    <row r="1" spans="1:8" x14ac:dyDescent="0.25">
      <c r="A1" s="11" t="s">
        <v>18</v>
      </c>
      <c r="B1" s="2" t="s">
        <v>19</v>
      </c>
      <c r="C1" s="12" t="s">
        <v>20</v>
      </c>
      <c r="D1" s="12" t="s">
        <v>21</v>
      </c>
      <c r="E1" s="19" t="s">
        <v>25</v>
      </c>
      <c r="F1" s="19" t="s">
        <v>26</v>
      </c>
      <c r="G1" s="19" t="s">
        <v>27</v>
      </c>
      <c r="H1" s="19" t="s">
        <v>28</v>
      </c>
    </row>
    <row r="2" spans="1:8" x14ac:dyDescent="0.25">
      <c r="A2" s="15"/>
      <c r="B2" s="15"/>
      <c r="C2" s="16"/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F2"/>
  <sheetViews>
    <sheetView tabSelected="1" zoomScaleNormal="100" workbookViewId="0"/>
  </sheetViews>
  <sheetFormatPr defaultColWidth="8.7109375" defaultRowHeight="15" customHeight="1" x14ac:dyDescent="0.25"/>
  <cols>
    <col min="1" max="1" width="11.7109375" customWidth="1"/>
    <col min="2" max="2" width="13.140625" customWidth="1"/>
    <col min="3" max="3" width="12.5703125" customWidth="1"/>
    <col min="4" max="4" width="10.85546875" customWidth="1"/>
    <col min="5" max="5" width="36" customWidth="1"/>
    <col min="6" max="6" width="33.140625" customWidth="1"/>
  </cols>
  <sheetData>
    <row r="1" spans="1:6" x14ac:dyDescent="0.25">
      <c r="A1" s="11" t="s">
        <v>18</v>
      </c>
      <c r="B1" s="2" t="s">
        <v>19</v>
      </c>
      <c r="C1" s="12" t="s">
        <v>20</v>
      </c>
      <c r="D1" s="12" t="s">
        <v>21</v>
      </c>
      <c r="E1" s="19" t="s">
        <v>25</v>
      </c>
      <c r="F1" s="19" t="s">
        <v>29</v>
      </c>
    </row>
    <row r="2" spans="1:6" x14ac:dyDescent="0.25">
      <c r="A2" s="15"/>
      <c r="B2" s="15"/>
      <c r="C2" s="16"/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33"/>
  <sheetViews>
    <sheetView zoomScaleNormal="100" workbookViewId="0">
      <selection activeCell="C2" sqref="C2"/>
    </sheetView>
  </sheetViews>
  <sheetFormatPr defaultColWidth="8.7109375" defaultRowHeight="15" customHeight="1" x14ac:dyDescent="0.25"/>
  <cols>
    <col min="1" max="1" width="20.140625" bestFit="1" customWidth="1"/>
    <col min="2" max="2" width="13.140625" customWidth="1"/>
    <col min="3" max="3" width="87.5703125" customWidth="1"/>
    <col min="4" max="4" width="24.85546875" customWidth="1"/>
    <col min="5" max="5" width="15.7109375" customWidth="1"/>
    <col min="6" max="6" width="23.42578125" customWidth="1"/>
    <col min="7" max="7" width="14.85546875" customWidth="1"/>
    <col min="8" max="8" width="17.28515625" customWidth="1"/>
    <col min="9" max="9" width="21.42578125" customWidth="1"/>
    <col min="10" max="10" width="27.42578125" customWidth="1"/>
    <col min="11" max="11" width="13" customWidth="1"/>
    <col min="13" max="13" width="20.140625" customWidth="1"/>
  </cols>
  <sheetData>
    <row r="1" spans="1:16" ht="15" customHeight="1" x14ac:dyDescent="0.25">
      <c r="A1" s="34" t="s">
        <v>73</v>
      </c>
      <c r="B1" s="3" t="str">
        <f>IF(INT_ACC!A2="","",INT_ACC!A2)</f>
        <v/>
      </c>
    </row>
    <row r="2" spans="1:16" ht="15" customHeight="1" x14ac:dyDescent="0.25">
      <c r="A2" s="34" t="s">
        <v>74</v>
      </c>
      <c r="B2" s="3" t="str">
        <f>IF(INT_ACC!C2="","",INT_ACC!C2)</f>
        <v/>
      </c>
    </row>
    <row r="3" spans="1:16" ht="15" customHeight="1" x14ac:dyDescent="0.25">
      <c r="A3" s="34" t="s">
        <v>21</v>
      </c>
      <c r="B3" s="3" t="str">
        <f>IF(INT_ACC!D2="","",INT_ACC!D2)</f>
        <v/>
      </c>
    </row>
    <row r="4" spans="1:16" ht="15" customHeight="1" thickBot="1" x14ac:dyDescent="0.3"/>
    <row r="5" spans="1:16" ht="15.75" thickBot="1" x14ac:dyDescent="0.3">
      <c r="A5" s="32" t="s">
        <v>70</v>
      </c>
      <c r="B5" s="32"/>
      <c r="C5" s="32"/>
      <c r="D5" s="32"/>
      <c r="E5" s="32"/>
      <c r="F5" s="32"/>
      <c r="G5" s="32"/>
      <c r="H5" s="32"/>
      <c r="I5" s="32"/>
      <c r="J5" s="32"/>
      <c r="K5" s="32"/>
    </row>
    <row r="6" spans="1:16" x14ac:dyDescent="0.25"/>
    <row r="7" spans="1:16" x14ac:dyDescent="0.25">
      <c r="A7" s="35" t="s">
        <v>85</v>
      </c>
      <c r="B7" s="35" t="s">
        <v>86</v>
      </c>
      <c r="C7" s="35" t="s">
        <v>87</v>
      </c>
    </row>
    <row r="8" spans="1:16" x14ac:dyDescent="0.25">
      <c r="A8" s="34" t="s">
        <v>71</v>
      </c>
      <c r="B8" s="17">
        <f>IF(ORIG!E2="",0,ORIG!E2)</f>
        <v>0</v>
      </c>
      <c r="C8" s="34" t="s">
        <v>84</v>
      </c>
    </row>
    <row r="9" spans="1:16" x14ac:dyDescent="0.25">
      <c r="A9" s="34" t="s">
        <v>72</v>
      </c>
      <c r="B9" s="17">
        <f>IF(ORIG!F2="",0,ORIG!F2)</f>
        <v>0</v>
      </c>
      <c r="C9" s="34" t="s">
        <v>84</v>
      </c>
    </row>
    <row r="10" spans="1:16" ht="15.75" thickBot="1" x14ac:dyDescent="0.3"/>
    <row r="11" spans="1:16" ht="15.75" thickBot="1" x14ac:dyDescent="0.3">
      <c r="A11" s="32" t="s">
        <v>75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</row>
    <row r="12" spans="1:16" x14ac:dyDescent="0.25"/>
    <row r="13" spans="1:16" x14ac:dyDescent="0.25">
      <c r="A13" s="35" t="s">
        <v>85</v>
      </c>
      <c r="B13" s="35" t="s">
        <v>86</v>
      </c>
      <c r="C13" s="35" t="s">
        <v>87</v>
      </c>
      <c r="N13" s="8"/>
      <c r="O13" s="20"/>
      <c r="P13" s="15"/>
    </row>
    <row r="14" spans="1:16" x14ac:dyDescent="0.25">
      <c r="A14" s="34" t="s">
        <v>80</v>
      </c>
      <c r="B14" s="17">
        <f>IF(PMT!E2="",0,PMT!E2)</f>
        <v>0</v>
      </c>
      <c r="C14" s="34" t="s">
        <v>82</v>
      </c>
    </row>
    <row r="15" spans="1:16" x14ac:dyDescent="0.25">
      <c r="A15" s="34" t="s">
        <v>81</v>
      </c>
      <c r="B15" s="17">
        <f>IF(INT_ACC!G2="",0,INT_ACC!G2)</f>
        <v>0</v>
      </c>
      <c r="C15" s="34" t="s">
        <v>83</v>
      </c>
    </row>
    <row r="16" spans="1:16" ht="15" customHeight="1" x14ac:dyDescent="0.25">
      <c r="A16" s="34" t="s">
        <v>78</v>
      </c>
      <c r="B16" s="17">
        <f>MIN(B14,B15)</f>
        <v>0</v>
      </c>
      <c r="C16" s="34" t="s">
        <v>76</v>
      </c>
    </row>
    <row r="17" spans="1:11" x14ac:dyDescent="0.25">
      <c r="A17" s="34" t="s">
        <v>79</v>
      </c>
      <c r="B17" s="17">
        <f>MAX(B14-B16,0)</f>
        <v>0</v>
      </c>
      <c r="C17" s="34" t="s">
        <v>77</v>
      </c>
    </row>
    <row r="18" spans="1:11" ht="15.75" thickBot="1" x14ac:dyDescent="0.3"/>
    <row r="19" spans="1:11" ht="15.75" thickBot="1" x14ac:dyDescent="0.3">
      <c r="A19" s="32" t="s">
        <v>90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</row>
    <row r="20" spans="1:11" x14ac:dyDescent="0.25"/>
    <row r="21" spans="1:11" x14ac:dyDescent="0.25">
      <c r="A21" s="35" t="s">
        <v>85</v>
      </c>
      <c r="B21" s="35" t="s">
        <v>86</v>
      </c>
      <c r="C21" s="35" t="s">
        <v>87</v>
      </c>
    </row>
    <row r="22" spans="1:11" x14ac:dyDescent="0.25">
      <c r="A22" s="34" t="s">
        <v>88</v>
      </c>
      <c r="B22" s="17">
        <f>IF(INT_ACC!F2="",0,INT_ACC!F2)</f>
        <v>0</v>
      </c>
      <c r="C22" s="34" t="s">
        <v>82</v>
      </c>
    </row>
    <row r="23" spans="1:11" x14ac:dyDescent="0.25">
      <c r="A23" s="34" t="s">
        <v>91</v>
      </c>
      <c r="B23" s="17">
        <f>IF('RC'!E2="",INT_ACC!E2,'RC'!E2)</f>
        <v>0</v>
      </c>
      <c r="C23" s="34" t="s">
        <v>92</v>
      </c>
    </row>
    <row r="24" spans="1:11" x14ac:dyDescent="0.25">
      <c r="A24" s="34" t="s">
        <v>89</v>
      </c>
      <c r="B24" s="17">
        <f>(B22*B23)/36000</f>
        <v>0</v>
      </c>
      <c r="C24" s="34" t="s">
        <v>94</v>
      </c>
    </row>
    <row r="25" spans="1:11" x14ac:dyDescent="0.25"/>
    <row r="26" spans="1:11" ht="15" customHeight="1" thickBot="1" x14ac:dyDescent="0.3"/>
    <row r="27" spans="1:11" x14ac:dyDescent="0.25">
      <c r="A27" s="32" t="s">
        <v>93</v>
      </c>
      <c r="B27" s="32"/>
      <c r="C27" s="32"/>
      <c r="D27" s="32"/>
      <c r="E27" s="32"/>
      <c r="F27" s="32"/>
    </row>
    <row r="28" spans="1:11" x14ac:dyDescent="0.25">
      <c r="A28" s="22" t="s">
        <v>18</v>
      </c>
      <c r="B28" s="22" t="s">
        <v>32</v>
      </c>
      <c r="C28" s="22" t="s">
        <v>20</v>
      </c>
      <c r="D28" s="22" t="s">
        <v>33</v>
      </c>
      <c r="E28" s="22" t="s">
        <v>7</v>
      </c>
      <c r="F28" s="22" t="s">
        <v>21</v>
      </c>
    </row>
    <row r="29" spans="1:11" x14ac:dyDescent="0.25">
      <c r="A29" s="3" t="str">
        <f>IF(E29="","",$B$1)</f>
        <v/>
      </c>
      <c r="B29" s="3" t="str">
        <f>IF(E29="","",$B$1)</f>
        <v/>
      </c>
      <c r="C29" s="1" t="str">
        <f>IF($E29="","",$B$2)</f>
        <v/>
      </c>
      <c r="D29" s="1" t="str">
        <f>IF($E29="","","Servicing_Interest_Accrual")</f>
        <v>Servicing_Interest_Accrual</v>
      </c>
      <c r="E29" s="23">
        <f>ROUND(B24,4)</f>
        <v>0</v>
      </c>
      <c r="F29" s="21" t="str">
        <f>IF($E29="","",$B$3)</f>
        <v/>
      </c>
    </row>
    <row r="30" spans="1:11" x14ac:dyDescent="0.25">
      <c r="A30" s="3" t="str">
        <f>IF(E30="","",$B$1)</f>
        <v/>
      </c>
      <c r="B30" s="3" t="str">
        <f t="shared" ref="B30:B33" si="0">IF(E30="","",$B$1)</f>
        <v/>
      </c>
      <c r="C30" s="21" t="str">
        <f>IF($E30="","",$B$2)</f>
        <v/>
      </c>
      <c r="D30" s="1" t="str">
        <f>IF($E30="","","Payment_Interest")</f>
        <v>Payment_Interest</v>
      </c>
      <c r="E30" s="36">
        <f>ROUND(B16,4)</f>
        <v>0</v>
      </c>
      <c r="F30" s="21" t="str">
        <f>IF($E30="","",$B$3)</f>
        <v/>
      </c>
    </row>
    <row r="31" spans="1:11" x14ac:dyDescent="0.25">
      <c r="A31" s="3" t="str">
        <f>IF(E31="","",$B$1)</f>
        <v/>
      </c>
      <c r="B31" s="3" t="str">
        <f t="shared" si="0"/>
        <v/>
      </c>
      <c r="C31" s="21" t="str">
        <f>IF($E31="","",$B$2)</f>
        <v/>
      </c>
      <c r="D31" s="1" t="str">
        <f>IF($E31="","","Payment_UPB")</f>
        <v>Payment_UPB</v>
      </c>
      <c r="E31" s="36">
        <f>ROUND(B17,4)</f>
        <v>0</v>
      </c>
      <c r="F31" s="21" t="str">
        <f>IF($E31="","",$B$3)</f>
        <v/>
      </c>
    </row>
    <row r="32" spans="1:11" x14ac:dyDescent="0.25">
      <c r="A32" s="3" t="str">
        <f>IF(E32="","",$B$1)</f>
        <v/>
      </c>
      <c r="B32" s="3" t="str">
        <f t="shared" si="0"/>
        <v/>
      </c>
      <c r="C32" s="21" t="str">
        <f>IF($E32="","",$B$2)</f>
        <v/>
      </c>
      <c r="D32" s="1" t="str">
        <f>IF($E32="","","Purchase_UPB")</f>
        <v>Purchase_UPB</v>
      </c>
      <c r="E32" s="36">
        <f>ROUND(B8,4)</f>
        <v>0</v>
      </c>
      <c r="F32" s="21" t="str">
        <f>IF($E32="","",$B$3)</f>
        <v/>
      </c>
    </row>
    <row r="33" spans="1:6" x14ac:dyDescent="0.25">
      <c r="A33" s="3" t="str">
        <f>IF(E33="","",$B$1)</f>
        <v/>
      </c>
      <c r="B33" s="3" t="str">
        <f t="shared" si="0"/>
        <v/>
      </c>
      <c r="C33" s="21" t="str">
        <f>IF($E33="","",$B$2)</f>
        <v/>
      </c>
      <c r="D33" s="1" t="str">
        <f>IF($E33="","","Purchase_Interest")</f>
        <v>Purchase_Interest</v>
      </c>
      <c r="E33" s="36">
        <f>ROUND(B9,4)</f>
        <v>0</v>
      </c>
      <c r="F33" s="21" t="str">
        <f>IF($E33="","",$B$3)</f>
        <v/>
      </c>
    </row>
  </sheetData>
  <mergeCells count="4">
    <mergeCell ref="A5:K5"/>
    <mergeCell ref="A27:F27"/>
    <mergeCell ref="A11:K11"/>
    <mergeCell ref="A19:K19"/>
  </mergeCells>
  <pageMargins left="0.7" right="0.7" top="0.75" bottom="0.75" header="0.511811023622047" footer="0.511811023622047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L51"/>
  <sheetViews>
    <sheetView topLeftCell="A28" zoomScaleNormal="100" workbookViewId="0">
      <selection activeCell="A51" sqref="A51:F51"/>
    </sheetView>
  </sheetViews>
  <sheetFormatPr defaultColWidth="8.7109375" defaultRowHeight="15" customHeight="1" x14ac:dyDescent="0.25"/>
  <cols>
    <col min="1" max="1" width="11.7109375" customWidth="1"/>
    <col min="2" max="2" width="13.140625" customWidth="1"/>
    <col min="3" max="3" width="12.5703125" customWidth="1"/>
    <col min="4" max="4" width="10.85546875" customWidth="1"/>
    <col min="5" max="5" width="35.140625" customWidth="1"/>
    <col min="6" max="6" width="53.85546875" customWidth="1"/>
    <col min="7" max="7" width="57" customWidth="1"/>
    <col min="8" max="8" width="54.5703125" customWidth="1"/>
  </cols>
  <sheetData>
    <row r="1" spans="1:12" ht="23.25" x14ac:dyDescent="0.35">
      <c r="A1" s="33">
        <v>44592</v>
      </c>
      <c r="B1" s="33"/>
      <c r="C1" s="33"/>
      <c r="D1" s="33"/>
      <c r="E1" s="33"/>
      <c r="F1" s="33"/>
      <c r="G1" s="33"/>
      <c r="H1" s="33"/>
    </row>
    <row r="2" spans="1:12" x14ac:dyDescent="0.25">
      <c r="A2" s="2" t="s">
        <v>34</v>
      </c>
    </row>
    <row r="3" spans="1:12" x14ac:dyDescent="0.25">
      <c r="A3" s="11" t="s">
        <v>18</v>
      </c>
      <c r="B3" s="2" t="s">
        <v>19</v>
      </c>
      <c r="C3" s="12" t="s">
        <v>20</v>
      </c>
      <c r="D3" s="12" t="s">
        <v>21</v>
      </c>
      <c r="E3" s="13" t="s">
        <v>35</v>
      </c>
      <c r="F3" s="14" t="s">
        <v>36</v>
      </c>
    </row>
    <row r="4" spans="1:12" x14ac:dyDescent="0.25">
      <c r="A4" s="15">
        <v>44592</v>
      </c>
      <c r="B4" s="15">
        <v>44592</v>
      </c>
      <c r="C4" s="16" t="s">
        <v>37</v>
      </c>
      <c r="D4">
        <v>1</v>
      </c>
      <c r="E4">
        <v>100000</v>
      </c>
      <c r="F4">
        <v>100</v>
      </c>
    </row>
    <row r="6" spans="1:12" x14ac:dyDescent="0.25">
      <c r="A6" s="2" t="s">
        <v>38</v>
      </c>
    </row>
    <row r="7" spans="1:12" x14ac:dyDescent="0.25">
      <c r="A7" s="11" t="s">
        <v>18</v>
      </c>
      <c r="B7" s="2" t="s">
        <v>19</v>
      </c>
      <c r="C7" s="12" t="s">
        <v>20</v>
      </c>
      <c r="D7" s="12" t="s">
        <v>21</v>
      </c>
      <c r="E7" s="13" t="s">
        <v>39</v>
      </c>
      <c r="F7" s="13" t="s">
        <v>40</v>
      </c>
      <c r="G7" s="13" t="s">
        <v>41</v>
      </c>
      <c r="H7" s="13" t="s">
        <v>42</v>
      </c>
      <c r="I7" s="2"/>
      <c r="J7" s="2"/>
      <c r="K7" s="2"/>
      <c r="L7" s="2"/>
    </row>
    <row r="8" spans="1:12" x14ac:dyDescent="0.25">
      <c r="A8" s="15">
        <v>44592</v>
      </c>
      <c r="B8" s="15">
        <v>44592</v>
      </c>
      <c r="C8" s="16" t="s">
        <v>37</v>
      </c>
      <c r="D8">
        <v>1</v>
      </c>
      <c r="E8">
        <v>10</v>
      </c>
      <c r="F8">
        <v>0</v>
      </c>
      <c r="G8">
        <v>0</v>
      </c>
      <c r="H8">
        <v>0</v>
      </c>
    </row>
    <row r="11" spans="1:12" ht="23.25" x14ac:dyDescent="0.35">
      <c r="A11" s="33">
        <v>44593</v>
      </c>
      <c r="B11" s="33"/>
      <c r="C11" s="33"/>
      <c r="D11" s="33"/>
      <c r="E11" s="33"/>
      <c r="F11" s="33"/>
      <c r="G11" s="33"/>
      <c r="H11" s="33"/>
    </row>
    <row r="12" spans="1:12" x14ac:dyDescent="0.25">
      <c r="B12" t="str">
        <f>TEXT(B15,"mm/dd/yyyy")</f>
        <v>02/01/2022</v>
      </c>
    </row>
    <row r="13" spans="1:12" x14ac:dyDescent="0.25">
      <c r="A13" s="2" t="s">
        <v>38</v>
      </c>
    </row>
    <row r="14" spans="1:12" x14ac:dyDescent="0.25">
      <c r="A14" s="11" t="s">
        <v>18</v>
      </c>
      <c r="B14" s="2" t="s">
        <v>19</v>
      </c>
      <c r="C14" s="12" t="s">
        <v>20</v>
      </c>
      <c r="D14" s="12" t="s">
        <v>21</v>
      </c>
      <c r="E14" s="13" t="s">
        <v>39</v>
      </c>
      <c r="F14" s="13" t="s">
        <v>40</v>
      </c>
      <c r="G14" s="13" t="s">
        <v>41</v>
      </c>
      <c r="H14" s="13" t="s">
        <v>42</v>
      </c>
    </row>
    <row r="15" spans="1:12" x14ac:dyDescent="0.25">
      <c r="A15" s="15" t="s">
        <v>43</v>
      </c>
      <c r="B15" s="15" t="s">
        <v>43</v>
      </c>
      <c r="C15" s="16" t="s">
        <v>37</v>
      </c>
      <c r="D15">
        <v>1</v>
      </c>
      <c r="E15">
        <v>10</v>
      </c>
      <c r="F15">
        <v>100000</v>
      </c>
      <c r="G15">
        <v>100</v>
      </c>
      <c r="H15">
        <v>0</v>
      </c>
    </row>
    <row r="18" spans="1:8" ht="23.25" x14ac:dyDescent="0.35">
      <c r="A18" s="33">
        <v>44594</v>
      </c>
      <c r="B18" s="33"/>
      <c r="C18" s="33"/>
      <c r="D18" s="33"/>
      <c r="E18" s="33"/>
      <c r="F18" s="33"/>
      <c r="G18" s="33"/>
      <c r="H18" s="33"/>
    </row>
    <row r="19" spans="1:8" ht="23.25" x14ac:dyDescent="0.35">
      <c r="A19" s="24"/>
      <c r="B19" s="25"/>
      <c r="C19" s="25"/>
      <c r="D19" s="25"/>
      <c r="E19" s="25"/>
      <c r="F19" s="25"/>
      <c r="G19" s="25"/>
      <c r="H19" s="25"/>
    </row>
    <row r="20" spans="1:8" x14ac:dyDescent="0.25">
      <c r="A20" s="2" t="s">
        <v>38</v>
      </c>
    </row>
    <row r="21" spans="1:8" x14ac:dyDescent="0.25">
      <c r="A21" s="11" t="s">
        <v>18</v>
      </c>
      <c r="B21" s="2" t="s">
        <v>19</v>
      </c>
      <c r="C21" s="12" t="s">
        <v>20</v>
      </c>
      <c r="D21" s="12" t="s">
        <v>21</v>
      </c>
      <c r="E21" s="13" t="s">
        <v>39</v>
      </c>
      <c r="F21" s="13" t="s">
        <v>40</v>
      </c>
      <c r="G21" s="13" t="s">
        <v>41</v>
      </c>
      <c r="H21" s="13" t="s">
        <v>42</v>
      </c>
    </row>
    <row r="22" spans="1:8" x14ac:dyDescent="0.25">
      <c r="A22" s="15">
        <v>44594</v>
      </c>
      <c r="B22" s="15">
        <v>44594</v>
      </c>
      <c r="C22" s="16" t="s">
        <v>37</v>
      </c>
      <c r="D22">
        <v>1</v>
      </c>
      <c r="E22">
        <v>10</v>
      </c>
      <c r="F22">
        <v>100000</v>
      </c>
      <c r="G22">
        <v>127.7778</v>
      </c>
      <c r="H22">
        <v>27.777799999999999</v>
      </c>
    </row>
    <row r="25" spans="1:8" ht="23.25" x14ac:dyDescent="0.35">
      <c r="A25" s="33">
        <v>44595</v>
      </c>
      <c r="B25" s="33"/>
      <c r="C25" s="33"/>
      <c r="D25" s="33"/>
      <c r="E25" s="33"/>
      <c r="F25" s="33"/>
      <c r="G25" s="33"/>
      <c r="H25" s="33"/>
    </row>
    <row r="27" spans="1:8" x14ac:dyDescent="0.25">
      <c r="A27" s="2" t="s">
        <v>38</v>
      </c>
    </row>
    <row r="28" spans="1:8" x14ac:dyDescent="0.25">
      <c r="A28" s="11" t="s">
        <v>18</v>
      </c>
      <c r="B28" s="2" t="s">
        <v>19</v>
      </c>
      <c r="C28" s="12" t="s">
        <v>20</v>
      </c>
      <c r="D28" s="12" t="s">
        <v>21</v>
      </c>
      <c r="E28" s="13" t="s">
        <v>39</v>
      </c>
      <c r="F28" s="13" t="s">
        <v>40</v>
      </c>
      <c r="G28" s="13" t="s">
        <v>41</v>
      </c>
      <c r="H28" s="13" t="s">
        <v>42</v>
      </c>
    </row>
    <row r="29" spans="1:8" x14ac:dyDescent="0.25">
      <c r="A29" s="15">
        <v>44595</v>
      </c>
      <c r="B29" s="15">
        <v>44595</v>
      </c>
      <c r="C29" s="16" t="s">
        <v>37</v>
      </c>
      <c r="D29">
        <v>1</v>
      </c>
      <c r="E29">
        <v>10</v>
      </c>
      <c r="F29">
        <v>100000</v>
      </c>
      <c r="G29">
        <v>155.5556</v>
      </c>
      <c r="H29">
        <v>55.555599999999998</v>
      </c>
    </row>
    <row r="31" spans="1:8" x14ac:dyDescent="0.25">
      <c r="A31" s="2" t="s">
        <v>44</v>
      </c>
    </row>
    <row r="32" spans="1:8" x14ac:dyDescent="0.25">
      <c r="A32" s="11" t="s">
        <v>18</v>
      </c>
      <c r="B32" s="2" t="s">
        <v>19</v>
      </c>
      <c r="C32" s="12" t="s">
        <v>20</v>
      </c>
      <c r="D32" s="12" t="s">
        <v>21</v>
      </c>
      <c r="E32" s="13" t="s">
        <v>45</v>
      </c>
    </row>
    <row r="33" spans="1:8" x14ac:dyDescent="0.25">
      <c r="A33" s="15">
        <v>44595</v>
      </c>
      <c r="B33" s="15">
        <v>44595</v>
      </c>
      <c r="C33" s="16" t="s">
        <v>37</v>
      </c>
      <c r="D33">
        <v>1</v>
      </c>
      <c r="E33" s="17">
        <v>210</v>
      </c>
    </row>
    <row r="36" spans="1:8" ht="23.25" x14ac:dyDescent="0.35">
      <c r="A36" s="33">
        <v>44596</v>
      </c>
      <c r="B36" s="33"/>
      <c r="C36" s="33"/>
      <c r="D36" s="33"/>
      <c r="E36" s="33"/>
      <c r="F36" s="33"/>
      <c r="G36" s="33"/>
      <c r="H36" s="33"/>
    </row>
    <row r="38" spans="1:8" x14ac:dyDescent="0.25">
      <c r="A38" s="2" t="s">
        <v>38</v>
      </c>
    </row>
    <row r="39" spans="1:8" x14ac:dyDescent="0.25">
      <c r="A39" s="11" t="s">
        <v>18</v>
      </c>
      <c r="B39" s="2" t="s">
        <v>19</v>
      </c>
      <c r="C39" s="12" t="s">
        <v>20</v>
      </c>
      <c r="D39" s="12" t="s">
        <v>21</v>
      </c>
      <c r="E39" s="13" t="s">
        <v>39</v>
      </c>
      <c r="F39" s="13" t="s">
        <v>40</v>
      </c>
      <c r="G39" s="13" t="s">
        <v>41</v>
      </c>
      <c r="H39" s="13" t="s">
        <v>42</v>
      </c>
    </row>
    <row r="40" spans="1:8" x14ac:dyDescent="0.25">
      <c r="A40" s="15">
        <v>44596</v>
      </c>
      <c r="B40" s="15">
        <v>44596</v>
      </c>
      <c r="C40" s="16" t="s">
        <v>37</v>
      </c>
      <c r="D40">
        <v>1</v>
      </c>
      <c r="E40">
        <v>10</v>
      </c>
      <c r="F40">
        <v>99945.555600000007</v>
      </c>
      <c r="G40">
        <v>27.762699999999999</v>
      </c>
      <c r="H40">
        <f>H29+G40</f>
        <v>83.318299999999994</v>
      </c>
    </row>
    <row r="43" spans="1:8" ht="23.25" x14ac:dyDescent="0.35">
      <c r="A43" s="33">
        <v>44597</v>
      </c>
      <c r="B43" s="33"/>
      <c r="C43" s="33"/>
      <c r="D43" s="33"/>
      <c r="E43" s="33"/>
      <c r="F43" s="33"/>
      <c r="G43" s="33"/>
      <c r="H43" s="33"/>
    </row>
    <row r="45" spans="1:8" x14ac:dyDescent="0.25">
      <c r="A45" s="2" t="s">
        <v>38</v>
      </c>
    </row>
    <row r="46" spans="1:8" x14ac:dyDescent="0.25">
      <c r="A46" s="11" t="s">
        <v>18</v>
      </c>
      <c r="B46" s="2" t="s">
        <v>19</v>
      </c>
      <c r="C46" s="12" t="s">
        <v>20</v>
      </c>
      <c r="D46" s="12" t="s">
        <v>21</v>
      </c>
      <c r="E46" s="13" t="s">
        <v>39</v>
      </c>
      <c r="F46" s="13" t="s">
        <v>40</v>
      </c>
      <c r="G46" s="13" t="s">
        <v>41</v>
      </c>
      <c r="H46" s="13" t="s">
        <v>42</v>
      </c>
    </row>
    <row r="47" spans="1:8" x14ac:dyDescent="0.25">
      <c r="A47" s="15">
        <v>44597</v>
      </c>
      <c r="B47" s="15">
        <v>44597</v>
      </c>
      <c r="C47" s="16" t="s">
        <v>37</v>
      </c>
      <c r="D47">
        <v>1</v>
      </c>
      <c r="E47">
        <v>10</v>
      </c>
      <c r="F47">
        <v>99945.555600000007</v>
      </c>
      <c r="G47">
        <v>55.525399999999998</v>
      </c>
      <c r="H47">
        <v>111.081</v>
      </c>
    </row>
    <row r="49" spans="1:6" x14ac:dyDescent="0.25">
      <c r="A49" s="2" t="s">
        <v>46</v>
      </c>
    </row>
    <row r="50" spans="1:6" x14ac:dyDescent="0.25">
      <c r="A50" s="11" t="s">
        <v>18</v>
      </c>
      <c r="B50" s="2" t="s">
        <v>19</v>
      </c>
      <c r="C50" s="12" t="s">
        <v>20</v>
      </c>
      <c r="D50" s="12" t="s">
        <v>21</v>
      </c>
      <c r="E50" s="13" t="s">
        <v>39</v>
      </c>
      <c r="F50" s="13" t="s">
        <v>47</v>
      </c>
    </row>
    <row r="51" spans="1:6" x14ac:dyDescent="0.25">
      <c r="A51" s="15">
        <v>44596</v>
      </c>
      <c r="B51" s="15">
        <v>44596</v>
      </c>
      <c r="C51" s="16" t="s">
        <v>37</v>
      </c>
      <c r="D51">
        <v>1</v>
      </c>
      <c r="E51">
        <v>15</v>
      </c>
      <c r="F51">
        <v>10</v>
      </c>
    </row>
  </sheetData>
  <mergeCells count="6">
    <mergeCell ref="A43:H43"/>
    <mergeCell ref="A1:H1"/>
    <mergeCell ref="A11:H11"/>
    <mergeCell ref="A18:H18"/>
    <mergeCell ref="A25:H25"/>
    <mergeCell ref="A36:H36"/>
  </mergeCell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C33"/>
  <sheetViews>
    <sheetView zoomScaleNormal="100" workbookViewId="0">
      <selection activeCell="B9" sqref="B9"/>
    </sheetView>
  </sheetViews>
  <sheetFormatPr defaultColWidth="8.7109375" defaultRowHeight="15" customHeight="1" x14ac:dyDescent="0.25"/>
  <cols>
    <col min="1" max="1" width="32.5703125" customWidth="1"/>
    <col min="2" max="2" width="38.42578125" customWidth="1"/>
    <col min="3" max="3" width="20.140625" customWidth="1"/>
  </cols>
  <sheetData>
    <row r="1" spans="1:3" x14ac:dyDescent="0.25">
      <c r="A1" s="2" t="s">
        <v>38</v>
      </c>
    </row>
    <row r="3" spans="1:3" x14ac:dyDescent="0.25">
      <c r="A3" t="s">
        <v>48</v>
      </c>
    </row>
    <row r="4" spans="1:3" x14ac:dyDescent="0.25">
      <c r="A4" t="s">
        <v>49</v>
      </c>
    </row>
    <row r="6" spans="1:3" x14ac:dyDescent="0.25">
      <c r="A6" t="s">
        <v>50</v>
      </c>
    </row>
    <row r="7" spans="1:3" x14ac:dyDescent="0.25">
      <c r="A7" t="s">
        <v>1</v>
      </c>
      <c r="B7" t="s">
        <v>51</v>
      </c>
      <c r="C7" t="s">
        <v>52</v>
      </c>
    </row>
    <row r="8" spans="1:3" x14ac:dyDescent="0.25">
      <c r="A8" t="s">
        <v>53</v>
      </c>
      <c r="B8" t="s">
        <v>54</v>
      </c>
      <c r="C8" t="s">
        <v>55</v>
      </c>
    </row>
    <row r="11" spans="1:3" x14ac:dyDescent="0.25">
      <c r="A11" s="2" t="s">
        <v>44</v>
      </c>
    </row>
    <row r="13" spans="1:3" x14ac:dyDescent="0.25">
      <c r="A13" t="s">
        <v>48</v>
      </c>
      <c r="B13" t="s">
        <v>56</v>
      </c>
    </row>
    <row r="14" spans="1:3" x14ac:dyDescent="0.25">
      <c r="A14" t="s">
        <v>57</v>
      </c>
      <c r="B14" t="s">
        <v>16</v>
      </c>
    </row>
    <row r="17" spans="1:3" x14ac:dyDescent="0.25">
      <c r="A17" t="s">
        <v>50</v>
      </c>
    </row>
    <row r="18" spans="1:3" x14ac:dyDescent="0.25">
      <c r="A18" t="s">
        <v>0</v>
      </c>
      <c r="B18" t="s">
        <v>7</v>
      </c>
      <c r="C18" t="s">
        <v>16</v>
      </c>
    </row>
    <row r="20" spans="1:3" x14ac:dyDescent="0.25">
      <c r="A20" s="2" t="s">
        <v>34</v>
      </c>
    </row>
    <row r="21" spans="1:3" x14ac:dyDescent="0.25">
      <c r="A21" t="s">
        <v>48</v>
      </c>
    </row>
    <row r="22" spans="1:3" x14ac:dyDescent="0.25">
      <c r="A22" t="s">
        <v>58</v>
      </c>
    </row>
    <row r="24" spans="1:3" x14ac:dyDescent="0.25">
      <c r="A24" t="s">
        <v>50</v>
      </c>
    </row>
    <row r="25" spans="1:3" x14ac:dyDescent="0.25">
      <c r="A25" t="s">
        <v>53</v>
      </c>
      <c r="B25" t="s">
        <v>59</v>
      </c>
      <c r="C25" t="s">
        <v>55</v>
      </c>
    </row>
    <row r="26" spans="1:3" x14ac:dyDescent="0.25">
      <c r="A26" t="s">
        <v>53</v>
      </c>
      <c r="B26" t="s">
        <v>60</v>
      </c>
      <c r="C26" t="s">
        <v>55</v>
      </c>
    </row>
    <row r="28" spans="1:3" x14ac:dyDescent="0.25">
      <c r="A28" s="2" t="s">
        <v>46</v>
      </c>
    </row>
    <row r="29" spans="1:3" x14ac:dyDescent="0.25">
      <c r="A29" t="s">
        <v>48</v>
      </c>
    </row>
    <row r="30" spans="1:3" x14ac:dyDescent="0.25">
      <c r="A30" t="s">
        <v>61</v>
      </c>
    </row>
    <row r="32" spans="1:3" x14ac:dyDescent="0.25">
      <c r="A32" t="s">
        <v>50</v>
      </c>
    </row>
    <row r="33" spans="1:3" x14ac:dyDescent="0.25">
      <c r="A33" t="s">
        <v>53</v>
      </c>
      <c r="B33" t="s">
        <v>30</v>
      </c>
      <c r="C33" t="s">
        <v>62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F6"/>
  <sheetViews>
    <sheetView zoomScaleNormal="100" workbookViewId="0">
      <selection activeCell="A6" sqref="A6"/>
    </sheetView>
  </sheetViews>
  <sheetFormatPr defaultColWidth="8.7109375" defaultRowHeight="15" customHeight="1" x14ac:dyDescent="0.25"/>
  <cols>
    <col min="1" max="1" width="33" style="16" customWidth="1"/>
    <col min="2" max="2" width="15.42578125" style="16" customWidth="1"/>
    <col min="3" max="3" width="12.5703125" style="16" customWidth="1"/>
    <col min="4" max="4" width="32.7109375" style="16" customWidth="1"/>
    <col min="5" max="5" width="22" style="16" customWidth="1"/>
    <col min="6" max="6" width="10.85546875" style="16" customWidth="1"/>
    <col min="7" max="16384" width="8.7109375" style="16"/>
  </cols>
  <sheetData>
    <row r="1" spans="1:6" x14ac:dyDescent="0.25">
      <c r="A1" s="22" t="s">
        <v>18</v>
      </c>
      <c r="B1" s="22" t="s">
        <v>32</v>
      </c>
      <c r="C1" s="22" t="s">
        <v>20</v>
      </c>
      <c r="D1" s="22" t="s">
        <v>63</v>
      </c>
      <c r="E1" s="22" t="s">
        <v>7</v>
      </c>
      <c r="F1" s="22" t="s">
        <v>21</v>
      </c>
    </row>
    <row r="2" spans="1:6" x14ac:dyDescent="0.25">
      <c r="A2" s="26" t="str">
        <f>CALCULATION!A29</f>
        <v/>
      </c>
      <c r="B2" s="26" t="str">
        <f>CALCULATION!B29</f>
        <v/>
      </c>
      <c r="C2" s="26" t="str">
        <f>CALCULATION!C29</f>
        <v/>
      </c>
      <c r="D2" s="26" t="str">
        <f>IF(A2="","",CALCULATION!D29)</f>
        <v/>
      </c>
      <c r="E2" s="27" t="str">
        <f>IF(A2="","",CALCULATION!E29)</f>
        <v/>
      </c>
      <c r="F2" s="28" t="str">
        <f>CALCULATION!F29</f>
        <v/>
      </c>
    </row>
    <row r="3" spans="1:6" x14ac:dyDescent="0.25">
      <c r="A3" s="26" t="str">
        <f>CALCULATION!A30</f>
        <v/>
      </c>
      <c r="B3" s="26" t="str">
        <f>CALCULATION!B30</f>
        <v/>
      </c>
      <c r="C3" s="26" t="str">
        <f>CALCULATION!C30</f>
        <v/>
      </c>
      <c r="D3" s="26" t="str">
        <f>IF(A3="","",CALCULATION!D30)</f>
        <v/>
      </c>
      <c r="E3" s="27" t="str">
        <f>IF(A3="","",CALCULATION!E30)</f>
        <v/>
      </c>
      <c r="F3" s="28" t="str">
        <f>CALCULATION!F30</f>
        <v/>
      </c>
    </row>
    <row r="4" spans="1:6" x14ac:dyDescent="0.25">
      <c r="A4" s="26" t="str">
        <f>CALCULATION!A31</f>
        <v/>
      </c>
      <c r="B4" s="26" t="str">
        <f>CALCULATION!B31</f>
        <v/>
      </c>
      <c r="C4" s="26" t="str">
        <f>CALCULATION!C31</f>
        <v/>
      </c>
      <c r="D4" s="26" t="str">
        <f>IF(A4="","",CALCULATION!D31)</f>
        <v/>
      </c>
      <c r="E4" s="27" t="str">
        <f>IF(A4="","",CALCULATION!E31)</f>
        <v/>
      </c>
      <c r="F4" s="28" t="str">
        <f>CALCULATION!F31</f>
        <v/>
      </c>
    </row>
    <row r="5" spans="1:6" ht="15" customHeight="1" x14ac:dyDescent="0.25">
      <c r="A5" s="26" t="str">
        <f>CALCULATION!A32</f>
        <v/>
      </c>
      <c r="B5" s="26" t="str">
        <f>CALCULATION!B32</f>
        <v/>
      </c>
      <c r="C5" s="26" t="str">
        <f>CALCULATION!C32</f>
        <v/>
      </c>
      <c r="D5" s="26" t="str">
        <f>IF(A5="","",CALCULATION!D32)</f>
        <v/>
      </c>
      <c r="E5" s="27" t="str">
        <f>IF(A5="","",CALCULATION!E32)</f>
        <v/>
      </c>
      <c r="F5" s="28" t="str">
        <f>CALCULATION!F32</f>
        <v/>
      </c>
    </row>
    <row r="6" spans="1:6" ht="15" customHeight="1" x14ac:dyDescent="0.25">
      <c r="A6" s="26" t="str">
        <f>CALCULATION!A33</f>
        <v/>
      </c>
      <c r="B6" s="26" t="str">
        <f>CALCULATION!B33</f>
        <v/>
      </c>
      <c r="C6" s="26" t="str">
        <f>CALCULATION!C33</f>
        <v/>
      </c>
      <c r="D6" s="26" t="str">
        <f>IF(A6="","",CALCULATION!D33)</f>
        <v/>
      </c>
      <c r="E6" s="27" t="str">
        <f>IF(A6="","",CALCULATION!E33)</f>
        <v/>
      </c>
      <c r="F6" s="28" t="str">
        <f>CALCULATION!F33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Scenario_Output</vt:lpstr>
      <vt:lpstr>ORIG</vt:lpstr>
      <vt:lpstr>PMT</vt:lpstr>
      <vt:lpstr>INT_ACC</vt:lpstr>
      <vt:lpstr>RC</vt:lpstr>
      <vt:lpstr>CALCULATION</vt:lpstr>
      <vt:lpstr>EXPECTED_INP</vt:lpstr>
      <vt:lpstr>Events</vt:lpstr>
      <vt:lpstr>o_Transaction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3</cp:revision>
  <dcterms:created xsi:type="dcterms:W3CDTF">2025-02-05T13:36:13Z</dcterms:created>
  <dcterms:modified xsi:type="dcterms:W3CDTF">2025-12-19T11:33:52Z</dcterms:modified>
  <dc:language>en-US</dc:language>
</cp:coreProperties>
</file>