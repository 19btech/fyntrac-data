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Test" sheetId="1" state="visible" r:id="rId1"/>
    <sheet name="O_TransactionActivity" sheetId="2" state="visible" r:id="rId2"/>
    <sheet name="O_TransactionActivity2" sheetId="3" state="visible" r:id="rId3"/>
    <sheet name="O_Attribute" sheetId="4" state="visible" r:id="rId4"/>
    <sheet name="O_Attribute2" sheetId="5" state="visible" r:id="rId5"/>
    <sheet name="O_Instrument2" sheetId="6" state="visible" r:id="rId6"/>
    <sheet name="O_Instrument" sheetId="7" state="visible" r:id="rId7"/>
    <sheet name="O_Metric" sheetId="8" state="visible" r:id="rId8"/>
  </sheets>
  <definedNames>
    <definedName name="_xlnm._FilterDatabase" localSheetId="1" hidden="1">O_TransactionActivity!$A$2:$J$11</definedName>
    <definedName name="_xlnm._FilterDatabase" localSheetId="2" hidden="1">O_TransactionActivity2!$A$2:$J$11</definedName>
    <definedName name="_xlnm._FilterDatabase" localSheetId="3" hidden="1">O_Attribute!$A$2:$G$12</definedName>
    <definedName name="_xlnm._FilterDatabase" localSheetId="4" hidden="1">O_Attribute2!$A$2:$G$12</definedName>
    <definedName name="_xlnm._FilterDatabase" localSheetId="5" hidden="1">O_Instrument2!$A$2:$F$12</definedName>
    <definedName name="_xlnm._FilterDatabase" localSheetId="6" hidden="1">O_Instrument!$A$2:$F$12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<sst xmlns="http://schemas.openxmlformats.org/spreadsheetml/2006/main" count="59" uniqueCount="59">
  <si>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Steps</t>
  </si>
  <si>
    <t>Type</t>
  </si>
  <si>
    <t>Input</t>
  </si>
  <si>
    <t>LOAD_REF_DATA</t>
  </si>
  <si>
    <t>FILE_UPLOAD</t>
  </si>
  <si>
    <t>IFRS9_Stage3_DSL/ReferenceData/RefData_Ifrs9.xlsx</t>
  </si>
  <si>
    <t>CUSTOM_TABLE_DEFINITION</t>
  </si>
  <si>
    <t>CONFIGURATION</t>
  </si>
  <si>
    <t>IFRS9_Stage3_DSL/CustomTableDefinitions.json</t>
  </si>
  <si>
    <t>UPLOAD_CUSTOM_DATA</t>
  </si>
  <si>
    <t>IFRS9_Stage3_DSL/ActivityData/ActivityData_Custom.xlsx</t>
  </si>
  <si>
    <t>EVENT_CONFIGURATION</t>
  </si>
  <si>
    <t>IFRS9_Stage3_DSL/EventConfigurations.json</t>
  </si>
  <si>
    <t>DSL_MODEL_UPLOAD</t>
  </si>
  <si>
    <t>IFRS9_Stage3_DSL/Model/IFRS9_Stage3_Model.dsl</t>
  </si>
  <si>
    <t>MODEL_CONFIGURATION</t>
  </si>
  <si>
    <t>ATTRIBUTE</t>
  </si>
  <si>
    <t>ACTIVITY_UPLOAD</t>
  </si>
  <si>
    <t>IFRS9_Stage3_DSL/ActivityData/ActivityData.xlsx</t>
  </si>
  <si>
    <t>DSL_MODEL_EXECUTION</t>
  </si>
  <si>
    <t>EXECUTION</t>
  </si>
  <si>
    <t>IFRS9_Stage3_DSL/ActivityData/ActivityData_D2_Custom.xlsx</t>
  </si>
  <si>
    <t>IFRS9_Stage3_DSL/ActivityData/ActivityData_D3_Custom.xlsx</t>
  </si>
  <si>
    <t>IFRS9_Stage3_DSL/ActivityData/ActivityData_D3.xlsx</t>
  </si>
  <si>
    <t>IFRS9_Stage3_DSL/ActivityData/ActivityData_D4_Custom.xlsx</t>
  </si>
  <si>
    <t>TransactionActivity</t>
  </si>
  <si>
    <t xml:space="preserve">{"instrumentId": "LN-1001"}</t>
  </si>
  <si>
    <t xml:space="preserve">postingDate ASC</t>
  </si>
  <si>
    <t xml:space="preserve">attributeId ASC</t>
  </si>
  <si>
    <t xml:space="preserve">transactionName ASC</t>
  </si>
  <si>
    <t xml:space="preserve">source ASC</t>
  </si>
  <si>
    <t xml:space="preserve">effectiveDate ASC</t>
  </si>
  <si>
    <t>instrumentId</t>
  </si>
  <si>
    <t>amount</t>
  </si>
  <si>
    <t>originalPeriodId</t>
  </si>
  <si>
    <t>accountingPeriod.periodId</t>
  </si>
  <si>
    <t>isReplayable</t>
  </si>
  <si>
    <t>ORIGINATION_PRINCIPAL</t>
  </si>
  <si>
    <t>MODEL</t>
  </si>
  <si>
    <t>LN-1001</t>
  </si>
  <si>
    <t>IMPAIRMENT_LOSS</t>
  </si>
  <si>
    <t>INTEREST_ACCRUAL</t>
  </si>
  <si>
    <t>PAYMENT_INTEREST</t>
  </si>
  <si>
    <t>ETL</t>
  </si>
  <si>
    <t>PAYMENT_UPB</t>
  </si>
  <si>
    <t>IMPAIRMENT_GAIN</t>
  </si>
  <si>
    <t xml:space="preserve">{"instrumentId": "LN-1002"}</t>
  </si>
  <si>
    <t>LN-1002</t>
  </si>
  <si>
    <t>AttributeLevelLtd</t>
  </si>
  <si>
    <t xml:space="preserve">metricName ASC</t>
  </si>
  <si>
    <t>balance.activity</t>
  </si>
  <si>
    <t>balance.beginningBalance</t>
  </si>
  <si>
    <t>balance.endingBalance</t>
  </si>
  <si>
    <t>UPB</t>
  </si>
  <si>
    <t>AIR</t>
  </si>
  <si>
    <t>IMPAIRMENT</t>
  </si>
  <si>
    <t>InstrumentLevelLtd</t>
  </si>
  <si>
    <t>MetricLevelLtd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</si>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</sst>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/dd/yy"/>
    <numFmt numFmtId="165" formatCode="#,##0.0000_);[Red]\(#,##0.0000\)"/>
    <numFmt numFmtId="166" formatCode="0.0000"/>
  </numFmts>
  <fonts count="3">
    <font>
      <sz val="10.000000"/>
      <color theme="1"/>
      <name val="Arial"/>
    </font>
    <font>
      <sz val="11.000000"/>
      <color theme="1"/>
      <name val="Calibri"/>
    </font>
    <font>
      <b/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5">
    <xf fontId="0" fillId="0" borderId="0" numFmtId="0" xfId="0"/>
    <xf fontId="0" fillId="0" borderId="0" numFmtId="0" xfId="0" applyProtection="1"/>
    <xf fontId="0" fillId="0" borderId="0" numFmtId="0" xfId="0" applyProtection="1"/>
    <xf fontId="0" fillId="0" borderId="0" numFmtId="164" xfId="0" applyNumberFormat="1" applyProtection="1"/>
    <xf fontId="0" fillId="0" borderId="0" numFmtId="0" xfId="0" applyAlignment="1" applyProtection="1">
      <alignment wrapText="1"/>
    </xf>
    <xf fontId="1" fillId="0" borderId="0" numFmtId="0" xfId="0" applyFont="1" applyProtection="1"/>
    <xf fontId="2" fillId="2" borderId="1" numFmtId="0" xfId="0" applyFont="1" applyFill="1" applyBorder="1" applyProtection="1"/>
    <xf fontId="0" fillId="0" borderId="1" numFmtId="0" xfId="0" applyBorder="1" applyProtection="1"/>
    <xf fontId="0" fillId="0" borderId="1" numFmtId="1" xfId="0" applyNumberFormat="1" applyBorder="1"/>
    <xf fontId="0" fillId="0" borderId="1" numFmtId="1" xfId="0" applyNumberFormat="1" applyBorder="1"/>
    <xf fontId="0" fillId="0" borderId="1" numFmtId="165" xfId="0" applyNumberFormat="1" applyBorder="1" applyProtection="1"/>
    <xf fontId="0" fillId="0" borderId="1" numFmtId="0" xfId="0" applyBorder="1"/>
    <xf fontId="0" fillId="3" borderId="1" numFmtId="165" xfId="0" applyNumberFormat="1" applyFill="1" applyBorder="1" applyProtection="1"/>
    <xf fontId="0" fillId="0" borderId="0" numFmtId="166" xfId="0" applyNumberFormat="1" applyProtection="1"/>
    <xf fontId="0" fillId="0" borderId="0" numFmt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defaultColWidth="11.5703125" defaultRowHeight="12.75" customHeight="1"/>
  <cols>
    <col bestFit="1" customWidth="1" min="1" max="1" style="1" width="27.85546875"/>
    <col customWidth="1" min="2" max="2" style="1" width="20.140625"/>
    <col bestFit="1" customWidth="1" min="3" max="3" style="1" width="53.7617187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2" t="s">
        <v>5</v>
      </c>
    </row>
    <row r="3" ht="12.75" customHeight="1">
      <c r="A3" s="1" t="s">
        <v>6</v>
      </c>
      <c r="B3" s="1" t="s">
        <v>7</v>
      </c>
      <c r="C3" s="2" t="s">
        <v>8</v>
      </c>
    </row>
    <row r="4" ht="12.75" customHeight="1">
      <c r="A4" s="1" t="s">
        <v>9</v>
      </c>
      <c r="B4" s="1" t="s">
        <v>4</v>
      </c>
      <c r="C4" s="2" t="s">
        <v>10</v>
      </c>
    </row>
    <row r="5" ht="12.75" customHeight="1">
      <c r="A5" s="1" t="s">
        <v>11</v>
      </c>
      <c r="B5" s="1" t="s">
        <v>7</v>
      </c>
      <c r="C5" s="2" t="s">
        <v>12</v>
      </c>
    </row>
    <row r="6" ht="12.75" customHeight="1">
      <c r="A6" s="2" t="s">
        <v>13</v>
      </c>
      <c r="B6" s="1" t="s">
        <v>4</v>
      </c>
      <c r="C6" s="2" t="s">
        <v>14</v>
      </c>
    </row>
    <row r="7" ht="12.75" customHeight="1">
      <c r="A7" s="1" t="s">
        <v>15</v>
      </c>
      <c r="B7" s="1" t="s">
        <v>7</v>
      </c>
      <c r="C7" s="1" t="s">
        <v>16</v>
      </c>
    </row>
    <row r="8" ht="12.75" customHeight="1">
      <c r="A8" s="1" t="s">
        <v>17</v>
      </c>
      <c r="B8" s="1" t="s">
        <v>4</v>
      </c>
      <c r="C8" s="2" t="s">
        <v>18</v>
      </c>
    </row>
    <row r="9" ht="12.75" customHeight="1">
      <c r="A9" s="2" t="s">
        <v>19</v>
      </c>
      <c r="B9" s="1" t="s">
        <v>20</v>
      </c>
      <c r="C9" s="3">
        <v>45688</v>
      </c>
    </row>
    <row r="10" ht="12.75" customHeight="1">
      <c r="A10" s="1" t="s">
        <v>9</v>
      </c>
      <c r="B10" s="1" t="s">
        <v>4</v>
      </c>
      <c r="C10" s="2" t="s">
        <v>21</v>
      </c>
    </row>
    <row r="11" ht="12.75" customHeight="1">
      <c r="A11" s="2" t="s">
        <v>19</v>
      </c>
      <c r="B11" s="1" t="s">
        <v>20</v>
      </c>
      <c r="C11" s="3">
        <v>45716</v>
      </c>
    </row>
    <row r="12" ht="12.75" customHeight="1">
      <c r="A12" s="1" t="s">
        <v>9</v>
      </c>
      <c r="B12" s="1" t="s">
        <v>4</v>
      </c>
      <c r="C12" s="2" t="s">
        <v>22</v>
      </c>
    </row>
    <row r="13" ht="12.75" customHeight="1">
      <c r="A13" s="1" t="s">
        <v>17</v>
      </c>
      <c r="B13" s="1" t="s">
        <v>4</v>
      </c>
      <c r="C13" s="2" t="s">
        <v>23</v>
      </c>
    </row>
    <row r="14" ht="12.75" customHeight="1">
      <c r="A14" s="2" t="s">
        <v>19</v>
      </c>
      <c r="B14" s="1" t="s">
        <v>20</v>
      </c>
      <c r="C14" s="3">
        <v>45747</v>
      </c>
    </row>
    <row r="15" ht="12.75" customHeight="1">
      <c r="A15" s="1" t="s">
        <v>9</v>
      </c>
      <c r="B15" s="1" t="s">
        <v>4</v>
      </c>
      <c r="C15" s="2" t="s">
        <v>24</v>
      </c>
    </row>
    <row r="16" ht="12.75" customHeight="1">
      <c r="A16" s="2" t="s">
        <v>19</v>
      </c>
      <c r="B16" s="1" t="s">
        <v>20</v>
      </c>
      <c r="C16" s="3">
        <v>45777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20" workbookViewId="0">
      <selection activeCell="E5" activeCellId="0" sqref="E5"/>
    </sheetView>
  </sheetViews>
  <sheetFormatPr defaultColWidth="11.5703125" defaultRowHeight="12.75" customHeight="1"/>
  <cols>
    <col customWidth="1" min="1" max="2" style="1" width="21.7109375"/>
    <col customWidth="1" min="3" max="3" style="1" width="42.5703125"/>
    <col customWidth="1" min="4" max="7" style="1" width="21.7109375"/>
    <col customWidth="1" min="8" max="9" style="1" width="23.140625"/>
  </cols>
  <sheetData>
    <row r="1" ht="15">
      <c r="A1" s="4" t="s">
        <v>25</v>
      </c>
      <c r="B1" s="5" t="s">
        <v>26</v>
      </c>
      <c r="G1" s="5"/>
    </row>
    <row r="2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</row>
    <row r="3">
      <c r="A3" s="7">
        <v>20250131</v>
      </c>
      <c r="B3" s="7">
        <v>1</v>
      </c>
      <c r="C3" s="8" t="s">
        <v>37</v>
      </c>
      <c r="D3" s="7" t="s">
        <v>38</v>
      </c>
      <c r="E3" s="7">
        <v>20250131</v>
      </c>
      <c r="F3" s="9" t="s">
        <v>39</v>
      </c>
      <c r="G3" s="10">
        <v>12000</v>
      </c>
      <c r="H3" s="7">
        <v>202501</v>
      </c>
      <c r="I3" s="7">
        <v>202501</v>
      </c>
      <c r="J3" s="7">
        <v>0</v>
      </c>
    </row>
    <row r="4">
      <c r="A4" s="7">
        <v>20250228</v>
      </c>
      <c r="B4" s="7">
        <v>1</v>
      </c>
      <c r="C4" s="9" t="s">
        <v>40</v>
      </c>
      <c r="D4" s="7" t="s">
        <v>38</v>
      </c>
      <c r="E4" s="7">
        <v>20250228</v>
      </c>
      <c r="F4" s="9" t="s">
        <v>39</v>
      </c>
      <c r="G4" s="10">
        <v>-3065.4502000000002</v>
      </c>
      <c r="H4" s="7">
        <v>202502</v>
      </c>
      <c r="I4" s="7">
        <v>202502</v>
      </c>
      <c r="J4" s="7">
        <v>0</v>
      </c>
    </row>
    <row r="5">
      <c r="A5" s="7">
        <v>20250228</v>
      </c>
      <c r="B5" s="7">
        <v>1</v>
      </c>
      <c r="C5" s="9" t="s">
        <v>41</v>
      </c>
      <c r="D5" s="7" t="s">
        <v>38</v>
      </c>
      <c r="E5" s="7">
        <v>20250228</v>
      </c>
      <c r="F5" s="9" t="s">
        <v>39</v>
      </c>
      <c r="G5" s="10">
        <v>60</v>
      </c>
      <c r="H5" s="7">
        <v>202502</v>
      </c>
      <c r="I5" s="7">
        <v>202502</v>
      </c>
      <c r="J5" s="7">
        <v>0</v>
      </c>
    </row>
    <row r="6">
      <c r="A6" s="7">
        <v>20250331</v>
      </c>
      <c r="B6" s="7">
        <v>1</v>
      </c>
      <c r="C6" s="9" t="s">
        <v>40</v>
      </c>
      <c r="D6" s="7" t="s">
        <v>38</v>
      </c>
      <c r="E6" s="7">
        <v>20250331</v>
      </c>
      <c r="F6" s="9" t="s">
        <v>39</v>
      </c>
      <c r="G6" s="10">
        <v>-283.98680000000002</v>
      </c>
      <c r="H6" s="7">
        <v>202503</v>
      </c>
      <c r="I6" s="7">
        <v>202503</v>
      </c>
      <c r="J6" s="7">
        <v>0</v>
      </c>
    </row>
    <row r="7">
      <c r="A7" s="7">
        <v>20250331</v>
      </c>
      <c r="B7" s="7">
        <v>1</v>
      </c>
      <c r="C7" s="9" t="s">
        <v>41</v>
      </c>
      <c r="D7" s="7" t="s">
        <v>38</v>
      </c>
      <c r="E7" s="7">
        <v>20250331</v>
      </c>
      <c r="F7" s="9" t="s">
        <v>39</v>
      </c>
      <c r="G7" s="10">
        <v>55.149999999999999</v>
      </c>
      <c r="H7" s="7">
        <v>202503</v>
      </c>
      <c r="I7" s="7">
        <v>202503</v>
      </c>
      <c r="J7" s="7">
        <v>0</v>
      </c>
    </row>
    <row r="8">
      <c r="A8" s="7">
        <v>20250331</v>
      </c>
      <c r="B8" s="7">
        <v>1</v>
      </c>
      <c r="C8" s="11" t="s">
        <v>42</v>
      </c>
      <c r="D8" s="7" t="s">
        <v>43</v>
      </c>
      <c r="E8" s="7">
        <v>20250315</v>
      </c>
      <c r="F8" s="9" t="s">
        <v>39</v>
      </c>
      <c r="G8" s="10">
        <v>-60</v>
      </c>
      <c r="H8" s="7">
        <v>202503</v>
      </c>
      <c r="I8" s="7">
        <v>202503</v>
      </c>
      <c r="J8" s="7">
        <v>0</v>
      </c>
    </row>
    <row r="9">
      <c r="A9" s="7">
        <v>20250331</v>
      </c>
      <c r="B9" s="7">
        <v>1</v>
      </c>
      <c r="C9" s="11" t="s">
        <v>44</v>
      </c>
      <c r="D9" s="7" t="s">
        <v>43</v>
      </c>
      <c r="E9" s="7">
        <v>20250315</v>
      </c>
      <c r="F9" s="9" t="s">
        <v>39</v>
      </c>
      <c r="G9" s="10">
        <v>-970</v>
      </c>
      <c r="H9" s="7">
        <v>202503</v>
      </c>
      <c r="I9" s="7">
        <v>202503</v>
      </c>
      <c r="J9" s="7">
        <v>0</v>
      </c>
    </row>
    <row r="10">
      <c r="A10" s="7">
        <v>20250430</v>
      </c>
      <c r="B10" s="7">
        <v>1</v>
      </c>
      <c r="C10" s="9" t="s">
        <v>45</v>
      </c>
      <c r="D10" s="7" t="s">
        <v>38</v>
      </c>
      <c r="E10" s="7">
        <v>20250430</v>
      </c>
      <c r="F10" s="9" t="s">
        <v>39</v>
      </c>
      <c r="G10" s="10">
        <v>2836.4328</v>
      </c>
      <c r="H10" s="7">
        <v>202504</v>
      </c>
      <c r="I10" s="7">
        <v>202504</v>
      </c>
      <c r="J10" s="7">
        <v>0</v>
      </c>
    </row>
    <row r="11">
      <c r="A11" s="7">
        <v>20250430</v>
      </c>
      <c r="B11" s="7">
        <v>1</v>
      </c>
      <c r="C11" s="9" t="s">
        <v>41</v>
      </c>
      <c r="D11" s="7" t="s">
        <v>38</v>
      </c>
      <c r="E11" s="7">
        <v>20250430</v>
      </c>
      <c r="F11" s="9" t="s">
        <v>39</v>
      </c>
      <c r="G11" s="10">
        <v>55.149999999999999</v>
      </c>
      <c r="H11" s="7">
        <v>202504</v>
      </c>
      <c r="I11" s="7">
        <v>202504</v>
      </c>
      <c r="J11" s="7">
        <v>0</v>
      </c>
    </row>
  </sheetData>
  <sortState ref="A3:J11">
    <sortCondition ref="A3:A11"/>
    <sortCondition ref="B3:B11"/>
    <sortCondition ref="C3:C11"/>
    <sortCondition ref="D3:D11"/>
    <sortCondition ref="E3:E11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20" workbookViewId="0">
      <selection activeCell="C30" activeCellId="0" sqref="C30"/>
    </sheetView>
  </sheetViews>
  <sheetFormatPr defaultColWidth="11.5703125" defaultRowHeight="12.75" customHeight="1"/>
  <cols>
    <col customWidth="1" min="1" max="2" style="1" width="21.7109375"/>
    <col customWidth="1" min="3" max="3" style="1" width="42.5703125"/>
    <col customWidth="1" min="4" max="7" style="1" width="21.7109375"/>
    <col customWidth="1" min="8" max="9" style="1" width="23.140625"/>
  </cols>
  <sheetData>
    <row r="1" ht="15">
      <c r="A1" s="4" t="s">
        <v>25</v>
      </c>
      <c r="B1" s="5" t="s">
        <v>46</v>
      </c>
      <c r="G1" s="5"/>
    </row>
    <row r="2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</row>
    <row r="3">
      <c r="A3" s="7">
        <v>20250131</v>
      </c>
      <c r="B3" s="7">
        <v>1</v>
      </c>
      <c r="C3" s="9" t="s">
        <v>37</v>
      </c>
      <c r="D3" s="7" t="s">
        <v>38</v>
      </c>
      <c r="E3" s="7">
        <v>20250131</v>
      </c>
      <c r="F3" s="7" t="s">
        <v>47</v>
      </c>
      <c r="G3" s="10">
        <v>15000</v>
      </c>
      <c r="H3" s="7">
        <v>202501</v>
      </c>
      <c r="I3" s="7">
        <v>202501</v>
      </c>
      <c r="J3" s="7">
        <v>0</v>
      </c>
    </row>
    <row r="4">
      <c r="A4" s="7">
        <v>20250228</v>
      </c>
      <c r="B4" s="7">
        <v>1</v>
      </c>
      <c r="C4" s="9" t="s">
        <v>40</v>
      </c>
      <c r="D4" s="7" t="s">
        <v>38</v>
      </c>
      <c r="E4" s="7">
        <v>20250228</v>
      </c>
      <c r="F4" s="7" t="s">
        <v>47</v>
      </c>
      <c r="G4" s="12">
        <v>-5829.6117999999997</v>
      </c>
      <c r="H4" s="7">
        <v>202502</v>
      </c>
      <c r="I4" s="7">
        <v>202502</v>
      </c>
      <c r="J4" s="7">
        <v>0</v>
      </c>
    </row>
    <row r="5">
      <c r="A5" s="7">
        <v>20250228</v>
      </c>
      <c r="B5" s="7">
        <v>1</v>
      </c>
      <c r="C5" s="9" t="s">
        <v>41</v>
      </c>
      <c r="D5" s="7" t="s">
        <v>38</v>
      </c>
      <c r="E5" s="7">
        <v>20250228</v>
      </c>
      <c r="F5" s="7" t="s">
        <v>47</v>
      </c>
      <c r="G5" s="10">
        <v>125</v>
      </c>
      <c r="H5" s="7">
        <v>202502</v>
      </c>
      <c r="I5" s="7">
        <v>202502</v>
      </c>
      <c r="J5" s="7">
        <v>0</v>
      </c>
    </row>
    <row r="6">
      <c r="A6" s="7">
        <v>20250331</v>
      </c>
      <c r="B6" s="7">
        <v>1</v>
      </c>
      <c r="C6" s="9" t="s">
        <v>40</v>
      </c>
      <c r="D6" s="7" t="s">
        <v>38</v>
      </c>
      <c r="E6" s="7">
        <v>20250331</v>
      </c>
      <c r="F6" s="7" t="s">
        <v>47</v>
      </c>
      <c r="G6" s="10">
        <v>-377.96530000000001</v>
      </c>
      <c r="H6" s="7">
        <v>202503</v>
      </c>
      <c r="I6" s="7">
        <v>202503</v>
      </c>
      <c r="J6" s="7">
        <v>0</v>
      </c>
    </row>
    <row r="7">
      <c r="A7" s="7">
        <v>20250331</v>
      </c>
      <c r="B7" s="7">
        <v>1</v>
      </c>
      <c r="C7" s="9" t="s">
        <v>41</v>
      </c>
      <c r="D7" s="7" t="s">
        <v>38</v>
      </c>
      <c r="E7" s="7">
        <v>20250331</v>
      </c>
      <c r="F7" s="7" t="s">
        <v>47</v>
      </c>
      <c r="G7" s="10">
        <v>118.16670000000001</v>
      </c>
      <c r="H7" s="7">
        <v>202503</v>
      </c>
      <c r="I7" s="7">
        <v>202503</v>
      </c>
      <c r="J7" s="7">
        <v>0</v>
      </c>
    </row>
    <row r="8">
      <c r="A8" s="7">
        <v>20250331</v>
      </c>
      <c r="B8" s="7">
        <v>1</v>
      </c>
      <c r="C8" s="11" t="s">
        <v>42</v>
      </c>
      <c r="D8" s="7" t="s">
        <v>43</v>
      </c>
      <c r="E8" s="7">
        <v>20250315</v>
      </c>
      <c r="F8" s="7" t="s">
        <v>47</v>
      </c>
      <c r="G8" s="10">
        <v>-125</v>
      </c>
      <c r="H8" s="7">
        <v>202503</v>
      </c>
      <c r="I8" s="7">
        <v>202503</v>
      </c>
      <c r="J8" s="7">
        <v>0</v>
      </c>
    </row>
    <row r="9">
      <c r="A9" s="7">
        <v>20250331</v>
      </c>
      <c r="B9" s="7">
        <v>1</v>
      </c>
      <c r="C9" s="11" t="s">
        <v>44</v>
      </c>
      <c r="D9" s="7" t="s">
        <v>43</v>
      </c>
      <c r="E9" s="7">
        <v>20250315</v>
      </c>
      <c r="F9" s="7" t="s">
        <v>47</v>
      </c>
      <c r="G9" s="10">
        <v>-820</v>
      </c>
      <c r="H9" s="7">
        <v>202503</v>
      </c>
      <c r="I9" s="7">
        <v>202503</v>
      </c>
      <c r="J9" s="7">
        <v>0</v>
      </c>
    </row>
    <row r="10">
      <c r="A10" s="7">
        <v>20250430</v>
      </c>
      <c r="B10" s="7">
        <v>1</v>
      </c>
      <c r="C10" s="9" t="s">
        <v>45</v>
      </c>
      <c r="D10" s="7" t="s">
        <v>38</v>
      </c>
      <c r="E10" s="7">
        <v>20250430</v>
      </c>
      <c r="F10" s="7" t="s">
        <v>47</v>
      </c>
      <c r="G10" s="10">
        <v>1113.9427000000001</v>
      </c>
      <c r="H10" s="7">
        <v>202504</v>
      </c>
      <c r="I10" s="7">
        <v>202504</v>
      </c>
      <c r="J10" s="7">
        <v>0</v>
      </c>
    </row>
    <row r="11">
      <c r="A11" s="7">
        <v>20250430</v>
      </c>
      <c r="B11" s="7">
        <v>1</v>
      </c>
      <c r="C11" s="9" t="s">
        <v>41</v>
      </c>
      <c r="D11" s="7" t="s">
        <v>38</v>
      </c>
      <c r="E11" s="7">
        <v>20250430</v>
      </c>
      <c r="F11" s="7" t="s">
        <v>47</v>
      </c>
      <c r="G11" s="10">
        <v>118.16670000000001</v>
      </c>
      <c r="H11" s="7">
        <v>202504</v>
      </c>
      <c r="I11" s="7">
        <v>202504</v>
      </c>
      <c r="J11" s="7">
        <v>0</v>
      </c>
    </row>
  </sheetData>
  <sortState ref="A3:J11">
    <sortCondition ref="A3:A11"/>
    <sortCondition ref="C3:C11"/>
    <sortCondition ref="D3:D11"/>
    <sortCondition ref="E3:E11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20" workbookViewId="0">
      <selection activeCell="A11" activeCellId="0" sqref="A1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26</v>
      </c>
    </row>
    <row r="2" ht="12.75" customHeight="1">
      <c r="A2" s="1" t="s">
        <v>27</v>
      </c>
      <c r="B2" s="1" t="s">
        <v>28</v>
      </c>
      <c r="C2" s="1" t="s">
        <v>49</v>
      </c>
      <c r="D2" s="1" t="s">
        <v>32</v>
      </c>
      <c r="E2" s="1" t="s">
        <v>50</v>
      </c>
      <c r="F2" s="1" t="s">
        <v>51</v>
      </c>
      <c r="G2" s="1" t="s">
        <v>52</v>
      </c>
    </row>
    <row r="3" ht="12.75" customHeight="1">
      <c r="A3" s="1">
        <v>20250131</v>
      </c>
      <c r="B3" s="1">
        <v>1</v>
      </c>
      <c r="C3" s="1" t="s">
        <v>53</v>
      </c>
      <c r="D3" s="1" t="s">
        <v>39</v>
      </c>
      <c r="E3" s="13">
        <v>12000</v>
      </c>
      <c r="F3" s="13">
        <v>0</v>
      </c>
      <c r="G3" s="13">
        <v>12000</v>
      </c>
    </row>
    <row r="4" ht="12.75" customHeight="1">
      <c r="A4" s="1">
        <v>20250228</v>
      </c>
      <c r="B4" s="1">
        <v>1</v>
      </c>
      <c r="C4" s="1" t="s">
        <v>54</v>
      </c>
      <c r="D4" s="1" t="s">
        <v>39</v>
      </c>
      <c r="E4" s="13">
        <v>60</v>
      </c>
      <c r="F4" s="13">
        <v>0</v>
      </c>
      <c r="G4" s="13">
        <v>60</v>
      </c>
    </row>
    <row r="5" ht="12.75" customHeight="1">
      <c r="A5" s="1">
        <v>20250228</v>
      </c>
      <c r="B5" s="1">
        <v>1</v>
      </c>
      <c r="C5" s="14" t="s">
        <v>55</v>
      </c>
      <c r="D5" s="1" t="s">
        <v>39</v>
      </c>
      <c r="E5" s="13">
        <v>-3065.4502000000002</v>
      </c>
      <c r="F5" s="13">
        <v>0</v>
      </c>
      <c r="G5" s="13">
        <v>-3065.4502000000002</v>
      </c>
    </row>
    <row r="6" ht="12.75" customHeight="1">
      <c r="A6" s="1">
        <v>20250228</v>
      </c>
      <c r="B6" s="1">
        <v>1</v>
      </c>
      <c r="C6" s="1" t="s">
        <v>53</v>
      </c>
      <c r="D6" s="1" t="s">
        <v>39</v>
      </c>
      <c r="E6" s="13">
        <v>0</v>
      </c>
      <c r="F6" s="13">
        <v>12000</v>
      </c>
      <c r="G6" s="13">
        <v>12000</v>
      </c>
    </row>
    <row r="7" ht="12.75" customHeight="1">
      <c r="A7" s="1">
        <v>20250331</v>
      </c>
      <c r="B7" s="1">
        <v>1</v>
      </c>
      <c r="C7" s="1" t="s">
        <v>54</v>
      </c>
      <c r="D7" s="1" t="s">
        <v>39</v>
      </c>
      <c r="E7" s="13">
        <v>-4.8500000000000014</v>
      </c>
      <c r="F7" s="13">
        <v>60</v>
      </c>
      <c r="G7" s="13">
        <v>55.149999999999999</v>
      </c>
    </row>
    <row r="8" ht="12.75" customHeight="1">
      <c r="A8" s="1">
        <v>20250331</v>
      </c>
      <c r="B8" s="1">
        <v>1</v>
      </c>
      <c r="C8" s="14" t="s">
        <v>55</v>
      </c>
      <c r="D8" s="1" t="s">
        <v>39</v>
      </c>
      <c r="E8" s="13">
        <v>-283.98680000000002</v>
      </c>
      <c r="F8" s="13">
        <v>-3065.4502000000002</v>
      </c>
      <c r="G8" s="13">
        <v>-3349.4369999999999</v>
      </c>
    </row>
    <row r="9" ht="12.75" customHeight="1">
      <c r="A9" s="1">
        <v>20250331</v>
      </c>
      <c r="B9" s="1">
        <v>1</v>
      </c>
      <c r="C9" s="1" t="s">
        <v>53</v>
      </c>
      <c r="D9" s="1" t="s">
        <v>39</v>
      </c>
      <c r="E9" s="13">
        <v>-970</v>
      </c>
      <c r="F9" s="13">
        <v>12000</v>
      </c>
      <c r="G9" s="13">
        <v>11030</v>
      </c>
    </row>
    <row r="10" ht="12.75" customHeight="1">
      <c r="A10" s="1">
        <v>20250430</v>
      </c>
      <c r="B10" s="1">
        <v>1</v>
      </c>
      <c r="C10" s="1" t="s">
        <v>54</v>
      </c>
      <c r="D10" s="1" t="s">
        <v>39</v>
      </c>
      <c r="E10" s="13">
        <v>55.149999999999999</v>
      </c>
      <c r="F10" s="13">
        <v>55.149999999999999</v>
      </c>
      <c r="G10" s="13">
        <v>110.3</v>
      </c>
    </row>
    <row r="11" ht="12.75" customHeight="1">
      <c r="A11" s="1">
        <v>20250430</v>
      </c>
      <c r="B11" s="1">
        <v>1</v>
      </c>
      <c r="C11" s="14" t="s">
        <v>55</v>
      </c>
      <c r="D11" s="1" t="s">
        <v>39</v>
      </c>
      <c r="E11" s="13">
        <v>2836.4328</v>
      </c>
      <c r="F11" s="13">
        <v>-3349.4369999999999</v>
      </c>
      <c r="G11" s="13">
        <v>-513.00419999999997</v>
      </c>
    </row>
    <row r="12" ht="12.75" customHeight="1">
      <c r="A12" s="1">
        <v>20250430</v>
      </c>
      <c r="B12" s="1">
        <v>1</v>
      </c>
      <c r="C12" s="1" t="s">
        <v>53</v>
      </c>
      <c r="D12" s="1" t="s">
        <v>39</v>
      </c>
      <c r="E12" s="13">
        <v>0</v>
      </c>
      <c r="F12" s="13">
        <v>11030</v>
      </c>
      <c r="G12" s="13">
        <v>11030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E3" activeCellId="0" sqref="E3:G12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46</v>
      </c>
    </row>
    <row r="2" ht="12.75" customHeight="1">
      <c r="A2" s="1" t="s">
        <v>27</v>
      </c>
      <c r="B2" s="1" t="s">
        <v>28</v>
      </c>
      <c r="C2" s="1" t="s">
        <v>49</v>
      </c>
      <c r="D2" s="1" t="s">
        <v>32</v>
      </c>
      <c r="E2" s="1" t="s">
        <v>50</v>
      </c>
      <c r="F2" s="1" t="s">
        <v>51</v>
      </c>
      <c r="G2" s="1" t="s">
        <v>52</v>
      </c>
    </row>
    <row r="3" ht="12.75" customHeight="1">
      <c r="A3" s="1">
        <v>20250131</v>
      </c>
      <c r="B3" s="1">
        <v>1</v>
      </c>
      <c r="C3" s="1" t="s">
        <v>53</v>
      </c>
      <c r="D3" s="1" t="s">
        <v>47</v>
      </c>
      <c r="E3" s="13">
        <v>15000</v>
      </c>
      <c r="F3" s="13">
        <v>0</v>
      </c>
      <c r="G3" s="13">
        <v>15000</v>
      </c>
    </row>
    <row r="4" ht="12.75" customHeight="1">
      <c r="A4" s="1">
        <v>20250228</v>
      </c>
      <c r="B4" s="1">
        <v>1</v>
      </c>
      <c r="C4" s="1" t="s">
        <v>54</v>
      </c>
      <c r="D4" s="1" t="s">
        <v>47</v>
      </c>
      <c r="E4" s="13">
        <v>125</v>
      </c>
      <c r="F4" s="13">
        <v>0</v>
      </c>
      <c r="G4" s="13">
        <v>125</v>
      </c>
    </row>
    <row r="5" ht="12.75" customHeight="1">
      <c r="A5" s="1">
        <v>20250228</v>
      </c>
      <c r="B5" s="1">
        <v>1</v>
      </c>
      <c r="C5" s="14" t="s">
        <v>55</v>
      </c>
      <c r="D5" s="1" t="s">
        <v>47</v>
      </c>
      <c r="E5" s="13">
        <v>-5829.6117999999997</v>
      </c>
      <c r="F5" s="13">
        <v>0</v>
      </c>
      <c r="G5" s="13">
        <v>-5829.6117999999997</v>
      </c>
    </row>
    <row r="6" ht="12.75" customHeight="1">
      <c r="A6" s="1">
        <v>20250228</v>
      </c>
      <c r="B6" s="1">
        <v>1</v>
      </c>
      <c r="C6" s="1" t="s">
        <v>53</v>
      </c>
      <c r="D6" s="1" t="s">
        <v>47</v>
      </c>
      <c r="E6" s="13">
        <v>0</v>
      </c>
      <c r="F6" s="13">
        <v>15000</v>
      </c>
      <c r="G6" s="13">
        <v>15000</v>
      </c>
    </row>
    <row r="7" ht="12.75" customHeight="1">
      <c r="A7" s="1">
        <v>20250331</v>
      </c>
      <c r="B7" s="1">
        <v>1</v>
      </c>
      <c r="C7" s="1" t="s">
        <v>54</v>
      </c>
      <c r="D7" s="1" t="s">
        <v>47</v>
      </c>
      <c r="E7" s="13">
        <v>-6.8332999999999942</v>
      </c>
      <c r="F7" s="13">
        <v>125</v>
      </c>
      <c r="G7" s="13">
        <v>118.16670000000001</v>
      </c>
    </row>
    <row r="8" ht="12.75" customHeight="1">
      <c r="A8" s="1">
        <v>20250331</v>
      </c>
      <c r="B8" s="1">
        <v>1</v>
      </c>
      <c r="C8" s="14" t="s">
        <v>55</v>
      </c>
      <c r="D8" s="1" t="s">
        <v>47</v>
      </c>
      <c r="E8" s="13">
        <v>-377.96530000000001</v>
      </c>
      <c r="F8" s="13">
        <v>-5829.6117999999997</v>
      </c>
      <c r="G8" s="13">
        <v>-6207.5771000000004</v>
      </c>
    </row>
    <row r="9" ht="12.75" customHeight="1">
      <c r="A9" s="1">
        <v>20250331</v>
      </c>
      <c r="B9" s="1">
        <v>1</v>
      </c>
      <c r="C9" s="1" t="s">
        <v>53</v>
      </c>
      <c r="D9" s="1" t="s">
        <v>47</v>
      </c>
      <c r="E9" s="13">
        <v>-820</v>
      </c>
      <c r="F9" s="13">
        <v>15000</v>
      </c>
      <c r="G9" s="13">
        <v>14180</v>
      </c>
    </row>
    <row r="10" ht="12.75" customHeight="1">
      <c r="A10" s="1">
        <v>20250430</v>
      </c>
      <c r="B10" s="1">
        <v>1</v>
      </c>
      <c r="C10" s="1" t="s">
        <v>54</v>
      </c>
      <c r="D10" s="1" t="s">
        <v>47</v>
      </c>
      <c r="E10" s="13">
        <v>118.16670000000001</v>
      </c>
      <c r="F10" s="13">
        <v>118.16670000000001</v>
      </c>
      <c r="G10" s="13">
        <v>236.33340000000001</v>
      </c>
    </row>
    <row r="11" ht="12.75" customHeight="1">
      <c r="A11" s="1">
        <v>20250430</v>
      </c>
      <c r="B11" s="1">
        <v>1</v>
      </c>
      <c r="C11" s="14" t="s">
        <v>55</v>
      </c>
      <c r="D11" s="1" t="s">
        <v>47</v>
      </c>
      <c r="E11" s="13">
        <v>1113.9427000000001</v>
      </c>
      <c r="F11" s="13">
        <v>-6207.5771000000004</v>
      </c>
      <c r="G11" s="13">
        <v>-5093.6343999999999</v>
      </c>
    </row>
    <row r="12" ht="12.75" customHeight="1">
      <c r="A12" s="1">
        <v>20250430</v>
      </c>
      <c r="B12" s="1">
        <v>1</v>
      </c>
      <c r="C12" s="1" t="s">
        <v>53</v>
      </c>
      <c r="D12" s="1" t="s">
        <v>47</v>
      </c>
      <c r="E12" s="13">
        <v>0</v>
      </c>
      <c r="F12" s="13">
        <v>14180</v>
      </c>
      <c r="G12" s="13">
        <v>14180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3" activeCellId="0" sqref="D3:F12"/>
    </sheetView>
  </sheetViews>
  <sheetFormatPr defaultColWidth="11.5703125" defaultRowHeight="12.75" customHeight="1"/>
  <cols>
    <col customWidth="1" min="1" max="1" style="1" width="28.42578125"/>
    <col bestFit="1" customWidth="1" min="2" max="2" style="1" width="15.85546875"/>
    <col bestFit="1" customWidth="1" min="3" max="3" style="1" width="11.140625"/>
    <col bestFit="1" customWidth="1" min="4" max="4" style="1" width="13.85546875"/>
    <col bestFit="1" customWidth="1" min="5" max="5" style="1" width="23.42578125"/>
    <col bestFit="1" customWidth="1" min="6" max="6" style="1" width="20.7109375"/>
  </cols>
  <sheetData>
    <row r="1" ht="15">
      <c r="A1" s="4" t="s">
        <v>56</v>
      </c>
      <c r="B1" s="5" t="s">
        <v>46</v>
      </c>
    </row>
    <row r="2">
      <c r="A2" s="1" t="s">
        <v>27</v>
      </c>
      <c r="B2" s="1" t="s">
        <v>49</v>
      </c>
      <c r="C2" s="1" t="s">
        <v>32</v>
      </c>
      <c r="D2" s="1" t="s">
        <v>50</v>
      </c>
      <c r="E2" s="1" t="s">
        <v>51</v>
      </c>
      <c r="F2" s="1" t="s">
        <v>52</v>
      </c>
    </row>
    <row r="3">
      <c r="A3" s="1">
        <v>20250131</v>
      </c>
      <c r="B3" s="1" t="s">
        <v>53</v>
      </c>
      <c r="C3" s="1" t="s">
        <v>47</v>
      </c>
      <c r="D3" s="13">
        <f>O_TransactionActivity2!G3</f>
        <v>15000</v>
      </c>
      <c r="E3" s="13">
        <v>0</v>
      </c>
      <c r="F3" s="13">
        <f t="shared" ref="F3:F12" si="0">E3+D3</f>
        <v>15000</v>
      </c>
    </row>
    <row r="4">
      <c r="A4" s="1">
        <v>20250228</v>
      </c>
      <c r="B4" s="1" t="s">
        <v>54</v>
      </c>
      <c r="C4" s="1" t="s">
        <v>47</v>
      </c>
      <c r="D4" s="13">
        <f>O_TransactionActivity2!G5</f>
        <v>125</v>
      </c>
      <c r="E4" s="13">
        <v>0</v>
      </c>
      <c r="F4" s="13">
        <f t="shared" si="0"/>
        <v>125</v>
      </c>
    </row>
    <row r="5" ht="12.75" customHeight="1">
      <c r="A5" s="1">
        <v>20250228</v>
      </c>
      <c r="B5" s="14" t="s">
        <v>55</v>
      </c>
      <c r="C5" s="1" t="s">
        <v>47</v>
      </c>
      <c r="D5" s="13">
        <f>O_TransactionActivity2!G4</f>
        <v>-5829.6117999999997</v>
      </c>
      <c r="E5" s="13">
        <v>0</v>
      </c>
      <c r="F5" s="13">
        <f t="shared" si="0"/>
        <v>-5829.6117999999997</v>
      </c>
    </row>
    <row r="6" ht="12.75" customHeight="1">
      <c r="A6" s="1">
        <v>20250228</v>
      </c>
      <c r="B6" s="1" t="s">
        <v>53</v>
      </c>
      <c r="C6" s="1" t="s">
        <v>47</v>
      </c>
      <c r="D6" s="13">
        <v>0</v>
      </c>
      <c r="E6" s="13">
        <f t="shared" ref="E6:E12" si="1">F3</f>
        <v>15000</v>
      </c>
      <c r="F6" s="13">
        <f t="shared" si="0"/>
        <v>15000</v>
      </c>
    </row>
    <row r="7" ht="12.75" customHeight="1">
      <c r="A7" s="1">
        <v>20250331</v>
      </c>
      <c r="B7" s="1" t="s">
        <v>54</v>
      </c>
      <c r="C7" s="1" t="s">
        <v>47</v>
      </c>
      <c r="D7" s="13">
        <f>O_TransactionActivity2!G7+O_TransactionActivity2!G8</f>
        <v>-6.8332999999999942</v>
      </c>
      <c r="E7" s="13">
        <f t="shared" si="1"/>
        <v>125</v>
      </c>
      <c r="F7" s="13">
        <f t="shared" si="0"/>
        <v>118.16670000000001</v>
      </c>
    </row>
    <row r="8" ht="12.75" customHeight="1">
      <c r="A8" s="1">
        <v>20250331</v>
      </c>
      <c r="B8" s="14" t="s">
        <v>55</v>
      </c>
      <c r="C8" s="1" t="s">
        <v>47</v>
      </c>
      <c r="D8" s="13">
        <f>O_TransactionActivity2!G6</f>
        <v>-377.96530000000001</v>
      </c>
      <c r="E8" s="13">
        <f t="shared" si="1"/>
        <v>-5829.6117999999997</v>
      </c>
      <c r="F8" s="13">
        <f t="shared" si="0"/>
        <v>-6207.5770999999995</v>
      </c>
    </row>
    <row r="9" ht="12.75" customHeight="1">
      <c r="A9" s="1">
        <v>20250331</v>
      </c>
      <c r="B9" s="1" t="s">
        <v>53</v>
      </c>
      <c r="C9" s="1" t="s">
        <v>47</v>
      </c>
      <c r="D9" s="13">
        <f>O_TransactionActivity2!G9</f>
        <v>-820</v>
      </c>
      <c r="E9" s="13">
        <f t="shared" si="1"/>
        <v>15000</v>
      </c>
      <c r="F9" s="13">
        <f t="shared" si="0"/>
        <v>14180</v>
      </c>
    </row>
    <row r="10" ht="12.75" customHeight="1">
      <c r="A10" s="1">
        <v>20250430</v>
      </c>
      <c r="B10" s="1" t="s">
        <v>54</v>
      </c>
      <c r="C10" s="1" t="s">
        <v>47</v>
      </c>
      <c r="D10" s="13">
        <f>O_TransactionActivity2!G11</f>
        <v>118.16670000000001</v>
      </c>
      <c r="E10" s="13">
        <f t="shared" si="1"/>
        <v>118.16670000000001</v>
      </c>
      <c r="F10" s="13">
        <f t="shared" si="0"/>
        <v>236.33340000000001</v>
      </c>
    </row>
    <row r="11" ht="12.75" customHeight="1">
      <c r="A11" s="1">
        <v>20250430</v>
      </c>
      <c r="B11" s="14" t="s">
        <v>55</v>
      </c>
      <c r="C11" s="1" t="s">
        <v>47</v>
      </c>
      <c r="D11" s="13">
        <f>O_TransactionActivity2!G10</f>
        <v>1113.9427000000001</v>
      </c>
      <c r="E11" s="13">
        <f t="shared" si="1"/>
        <v>-6207.5770999999995</v>
      </c>
      <c r="F11" s="13">
        <f t="shared" si="0"/>
        <v>-5093.634399999999</v>
      </c>
    </row>
    <row r="12" ht="12.75" customHeight="1">
      <c r="A12" s="1">
        <v>20250430</v>
      </c>
      <c r="B12" s="1" t="s">
        <v>53</v>
      </c>
      <c r="C12" s="1" t="s">
        <v>47</v>
      </c>
      <c r="D12" s="13">
        <v>0</v>
      </c>
      <c r="E12" s="13">
        <f t="shared" si="1"/>
        <v>14180</v>
      </c>
      <c r="F12" s="13">
        <f t="shared" si="0"/>
        <v>14180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3" activeCellId="0" sqref="D3:F12"/>
    </sheetView>
  </sheetViews>
  <sheetFormatPr defaultColWidth="11.5703125" defaultRowHeight="12.75" customHeight="1"/>
  <cols>
    <col customWidth="1" min="1" max="1" style="1" width="28.42578125"/>
    <col bestFit="1" customWidth="1" min="2" max="2" style="1" width="15.85546875"/>
    <col bestFit="1" customWidth="1" min="3" max="3" style="1" width="11.140625"/>
    <col bestFit="1" customWidth="1" min="4" max="4" style="1" width="13.85546875"/>
    <col bestFit="1" customWidth="1" min="5" max="5" style="1" width="23.42578125"/>
    <col bestFit="1" customWidth="1" min="6" max="6" style="1" width="20.7109375"/>
  </cols>
  <sheetData>
    <row r="1" ht="15">
      <c r="A1" s="4" t="s">
        <v>56</v>
      </c>
      <c r="B1" s="5" t="s">
        <v>26</v>
      </c>
    </row>
    <row r="2">
      <c r="A2" s="1" t="s">
        <v>27</v>
      </c>
      <c r="B2" s="1" t="s">
        <v>49</v>
      </c>
      <c r="C2" s="1" t="s">
        <v>32</v>
      </c>
      <c r="D2" s="1" t="s">
        <v>50</v>
      </c>
      <c r="E2" s="1" t="s">
        <v>51</v>
      </c>
      <c r="F2" s="1" t="s">
        <v>52</v>
      </c>
    </row>
    <row r="3">
      <c r="A3" s="1">
        <v>20250131</v>
      </c>
      <c r="B3" s="1" t="s">
        <v>53</v>
      </c>
      <c r="C3" s="1" t="s">
        <v>39</v>
      </c>
      <c r="D3" s="13">
        <f>O_TransactionActivity!G3</f>
        <v>12000</v>
      </c>
      <c r="E3" s="13">
        <v>0</v>
      </c>
      <c r="F3" s="13">
        <f t="shared" ref="F3:F12" si="2">E3+D3</f>
        <v>12000</v>
      </c>
    </row>
    <row r="4">
      <c r="A4" s="1">
        <v>20250228</v>
      </c>
      <c r="B4" s="1" t="s">
        <v>54</v>
      </c>
      <c r="C4" s="1" t="s">
        <v>39</v>
      </c>
      <c r="D4" s="13">
        <f>O_TransactionActivity!G5</f>
        <v>60</v>
      </c>
      <c r="E4" s="13">
        <v>0</v>
      </c>
      <c r="F4" s="13">
        <f t="shared" si="2"/>
        <v>60</v>
      </c>
    </row>
    <row r="5" ht="12.75" customHeight="1">
      <c r="A5" s="1">
        <v>20250228</v>
      </c>
      <c r="B5" s="14" t="s">
        <v>55</v>
      </c>
      <c r="C5" s="1" t="s">
        <v>39</v>
      </c>
      <c r="D5" s="13">
        <f>O_TransactionActivity!G4</f>
        <v>-3065.4502000000002</v>
      </c>
      <c r="E5" s="13">
        <v>0</v>
      </c>
      <c r="F5" s="13">
        <f t="shared" si="2"/>
        <v>-3065.4502000000002</v>
      </c>
    </row>
    <row r="6" ht="12.75" customHeight="1">
      <c r="A6" s="1">
        <v>20250228</v>
      </c>
      <c r="B6" s="1" t="s">
        <v>53</v>
      </c>
      <c r="C6" s="1" t="s">
        <v>39</v>
      </c>
      <c r="D6" s="13">
        <v>0</v>
      </c>
      <c r="E6" s="13">
        <f t="shared" ref="E6:E12" si="3">F3</f>
        <v>12000</v>
      </c>
      <c r="F6" s="13">
        <f t="shared" si="2"/>
        <v>12000</v>
      </c>
    </row>
    <row r="7" ht="12.75" customHeight="1">
      <c r="A7" s="1">
        <v>20250331</v>
      </c>
      <c r="B7" s="1" t="s">
        <v>54</v>
      </c>
      <c r="C7" s="1" t="s">
        <v>39</v>
      </c>
      <c r="D7" s="13">
        <f>O_TransactionActivity!G7+O_TransactionActivity!G8</f>
        <v>-4.8500000000000014</v>
      </c>
      <c r="E7" s="13">
        <f t="shared" si="3"/>
        <v>60</v>
      </c>
      <c r="F7" s="13">
        <f t="shared" si="2"/>
        <v>55.149999999999999</v>
      </c>
    </row>
    <row r="8" ht="12.75" customHeight="1">
      <c r="A8" s="1">
        <v>20250331</v>
      </c>
      <c r="B8" s="14" t="s">
        <v>55</v>
      </c>
      <c r="C8" s="1" t="s">
        <v>39</v>
      </c>
      <c r="D8" s="13">
        <f>O_TransactionActivity!G6</f>
        <v>-283.98680000000002</v>
      </c>
      <c r="E8" s="13">
        <f t="shared" si="3"/>
        <v>-3065.4502000000002</v>
      </c>
      <c r="F8" s="13">
        <f t="shared" si="2"/>
        <v>-3349.4370000000004</v>
      </c>
    </row>
    <row r="9" ht="12.75" customHeight="1">
      <c r="A9" s="1">
        <v>20250331</v>
      </c>
      <c r="B9" s="1" t="s">
        <v>53</v>
      </c>
      <c r="C9" s="1" t="s">
        <v>39</v>
      </c>
      <c r="D9" s="13">
        <f>O_TransactionActivity!G9</f>
        <v>-970</v>
      </c>
      <c r="E9" s="13">
        <f t="shared" si="3"/>
        <v>12000</v>
      </c>
      <c r="F9" s="13">
        <f t="shared" si="2"/>
        <v>11030</v>
      </c>
    </row>
    <row r="10" ht="12.75" customHeight="1">
      <c r="A10" s="1">
        <v>20250430</v>
      </c>
      <c r="B10" s="1" t="s">
        <v>54</v>
      </c>
      <c r="C10" s="1" t="s">
        <v>39</v>
      </c>
      <c r="D10" s="13">
        <f>O_TransactionActivity!G11</f>
        <v>55.149999999999999</v>
      </c>
      <c r="E10" s="13">
        <f t="shared" si="3"/>
        <v>55.149999999999999</v>
      </c>
      <c r="F10" s="13">
        <f t="shared" si="2"/>
        <v>110.3</v>
      </c>
    </row>
    <row r="11" ht="12.75" customHeight="1">
      <c r="A11" s="1">
        <v>20250430</v>
      </c>
      <c r="B11" s="14" t="s">
        <v>55</v>
      </c>
      <c r="C11" s="1" t="s">
        <v>39</v>
      </c>
      <c r="D11" s="13">
        <f>O_TransactionActivity!G10</f>
        <v>2836.4328</v>
      </c>
      <c r="E11" s="13">
        <f t="shared" si="3"/>
        <v>-3349.4370000000004</v>
      </c>
      <c r="F11" s="13">
        <f t="shared" si="2"/>
        <v>-513.00420000000031</v>
      </c>
    </row>
    <row r="12" ht="12.75" customHeight="1">
      <c r="A12" s="1">
        <v>20250430</v>
      </c>
      <c r="B12" s="1" t="s">
        <v>53</v>
      </c>
      <c r="C12" s="1" t="s">
        <v>39</v>
      </c>
      <c r="D12" s="13">
        <v>0</v>
      </c>
      <c r="E12" s="13">
        <f t="shared" si="3"/>
        <v>11030</v>
      </c>
      <c r="F12" s="13">
        <f t="shared" si="2"/>
        <v>11030</v>
      </c>
    </row>
  </sheetData>
  <sortState ref="A3:F12">
    <sortCondition ref="A3:A12"/>
    <sortCondition ref="B3:B12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E20" activeCellId="0" sqref="E20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3.5703125"/>
    <col customWidth="1" min="4" max="5" style="1" width="24.85546875"/>
    <col customWidth="1" min="6" max="6" style="1" width="23.5703125"/>
    <col customWidth="1" min="7" max="7" style="1" width="21"/>
  </cols>
  <sheetData>
    <row r="1" ht="15">
      <c r="A1" s="4" t="s">
        <v>57</v>
      </c>
      <c r="B1" s="5" t="s">
        <v>58</v>
      </c>
    </row>
    <row r="2">
      <c r="A2" s="1" t="s">
        <v>27</v>
      </c>
      <c r="B2" s="1" t="s">
        <v>49</v>
      </c>
      <c r="C2" s="1" t="s">
        <v>50</v>
      </c>
      <c r="D2" s="1" t="s">
        <v>51</v>
      </c>
      <c r="E2" s="1" t="s">
        <v>52</v>
      </c>
    </row>
    <row r="3">
      <c r="A3" s="1">
        <v>20250131</v>
      </c>
      <c r="B3" s="1" t="s">
        <v>53</v>
      </c>
      <c r="C3" s="13">
        <f>O_Instrument2!D3+O_Instrument!D3</f>
        <v>27000</v>
      </c>
      <c r="D3" s="13">
        <f>O_Instrument2!E3+O_Instrument!E3</f>
        <v>0</v>
      </c>
      <c r="E3" s="13">
        <f>O_Instrument2!F3+O_Instrument!F3</f>
        <v>27000</v>
      </c>
    </row>
    <row r="4">
      <c r="A4" s="1">
        <v>20250228</v>
      </c>
      <c r="B4" s="1" t="s">
        <v>54</v>
      </c>
      <c r="C4" s="13">
        <f>O_Instrument2!D4+O_Instrument!D4</f>
        <v>185</v>
      </c>
      <c r="D4" s="13">
        <f>O_Instrument2!E4+O_Instrument!E4</f>
        <v>0</v>
      </c>
      <c r="E4" s="13">
        <f>O_Instrument2!F4+O_Instrument!F4</f>
        <v>185</v>
      </c>
    </row>
    <row r="5" ht="12.75" customHeight="1">
      <c r="A5" s="1">
        <v>20250228</v>
      </c>
      <c r="B5" s="14" t="s">
        <v>55</v>
      </c>
      <c r="C5" s="13">
        <f>O_Instrument2!D5+O_Instrument!D5</f>
        <v>-8895.0619999999999</v>
      </c>
      <c r="D5" s="13">
        <f>O_Instrument2!E5+O_Instrument!E5</f>
        <v>0</v>
      </c>
      <c r="E5" s="13">
        <f>O_Instrument2!F5+O_Instrument!F5</f>
        <v>-8895.0619999999999</v>
      </c>
    </row>
    <row r="6" ht="12.75" customHeight="1">
      <c r="A6" s="1">
        <v>20250228</v>
      </c>
      <c r="B6" s="1" t="s">
        <v>53</v>
      </c>
      <c r="C6" s="13">
        <f>O_Instrument2!D6+O_Instrument!D6</f>
        <v>0</v>
      </c>
      <c r="D6" s="13">
        <f>O_Instrument2!E6+O_Instrument!E6</f>
        <v>27000</v>
      </c>
      <c r="E6" s="13">
        <f>O_Instrument2!F6+O_Instrument!F6</f>
        <v>27000</v>
      </c>
    </row>
    <row r="7" ht="12.75" customHeight="1">
      <c r="A7" s="1">
        <v>20250331</v>
      </c>
      <c r="B7" s="1" t="s">
        <v>54</v>
      </c>
      <c r="C7" s="13">
        <f>O_Instrument2!D7+O_Instrument!D7</f>
        <v>-11.683299999999996</v>
      </c>
      <c r="D7" s="13">
        <f>O_Instrument2!E7+O_Instrument!E7</f>
        <v>185</v>
      </c>
      <c r="E7" s="13">
        <f>O_Instrument2!F7+O_Instrument!F7</f>
        <v>173.3167</v>
      </c>
    </row>
    <row r="8" ht="12.75" customHeight="1">
      <c r="A8" s="1">
        <v>20250331</v>
      </c>
      <c r="B8" s="14" t="s">
        <v>55</v>
      </c>
      <c r="C8" s="13">
        <f>O_Instrument2!D8+O_Instrument!D8</f>
        <v>-661.95209999999997</v>
      </c>
      <c r="D8" s="13">
        <f>O_Instrument2!E8+O_Instrument!E8</f>
        <v>-8895.0619999999999</v>
      </c>
      <c r="E8" s="13">
        <f>O_Instrument2!F8+O_Instrument!F8</f>
        <v>-9557.0141000000003</v>
      </c>
    </row>
    <row r="9" ht="12.75" customHeight="1">
      <c r="A9" s="1">
        <v>20250331</v>
      </c>
      <c r="B9" s="1" t="s">
        <v>53</v>
      </c>
      <c r="C9" s="13">
        <f>O_Instrument2!D9+O_Instrument!D9</f>
        <v>-1790</v>
      </c>
      <c r="D9" s="13">
        <f>O_Instrument2!E9+O_Instrument!E9</f>
        <v>27000</v>
      </c>
      <c r="E9" s="13">
        <f>O_Instrument2!F9+O_Instrument!F9</f>
        <v>25210</v>
      </c>
    </row>
    <row r="10" ht="12.75" customHeight="1">
      <c r="A10" s="1">
        <v>20250430</v>
      </c>
      <c r="B10" s="1" t="s">
        <v>54</v>
      </c>
      <c r="C10" s="13">
        <f>O_Instrument2!D10+O_Instrument!D10</f>
        <v>173.3167</v>
      </c>
      <c r="D10" s="13">
        <f>O_Instrument2!E10+O_Instrument!E10</f>
        <v>173.3167</v>
      </c>
      <c r="E10" s="13">
        <f>O_Instrument2!F10+O_Instrument!F10</f>
        <v>346.63339999999999</v>
      </c>
    </row>
    <row r="11" ht="12.75" customHeight="1">
      <c r="A11" s="1">
        <v>20250430</v>
      </c>
      <c r="B11" s="14" t="s">
        <v>55</v>
      </c>
      <c r="C11" s="13">
        <f>O_Instrument2!D11+O_Instrument!D11</f>
        <v>3950.3755000000001</v>
      </c>
      <c r="D11" s="13">
        <f>O_Instrument2!E11+O_Instrument!E11</f>
        <v>-9557.0141000000003</v>
      </c>
      <c r="E11" s="13">
        <f>O_Instrument2!F11+O_Instrument!F11</f>
        <v>-5606.6385999999993</v>
      </c>
    </row>
    <row r="12" ht="12.75" customHeight="1">
      <c r="A12" s="1">
        <v>20250430</v>
      </c>
      <c r="B12" s="1" t="s">
        <v>53</v>
      </c>
      <c r="C12" s="13">
        <f>O_Instrument2!D12+O_Instrument!D12</f>
        <v>0</v>
      </c>
      <c r="D12" s="13">
        <f>O_Instrument2!E12+O_Instrument!E12</f>
        <v>25210</v>
      </c>
      <c r="E12" s="13">
        <f>O_Instrument2!F12+O_Instrument!F12</f>
        <v>25210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133</cp:revision>
  <dcterms:created xsi:type="dcterms:W3CDTF">2025-06-10T09:23:35Z</dcterms:created>
  <dcterms:modified xsi:type="dcterms:W3CDTF">2026-04-25T06:18:01Z</dcterms:modified>
</cp:coreProperties>
</file>