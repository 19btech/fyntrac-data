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sctechnologiesinc-my.sharepoint.com/personal/rafay_ahmed_sscinc_com/Documents/Desktop/Pers/SBO/"/>
    </mc:Choice>
  </mc:AlternateContent>
  <xr:revisionPtr revIDLastSave="4" documentId="11_4B6400E739CAB8A488BF11B4C2000A929260EC4A" xr6:coauthVersionLast="47" xr6:coauthVersionMax="47" xr10:uidLastSave="{8086A577-E04A-4BE5-AF15-85447C474B64}"/>
  <bookViews>
    <workbookView xWindow="-120" yWindow="-120" windowWidth="29040" windowHeight="15720" tabRatio="500" activeTab="5" xr2:uid="{00000000-000D-0000-FFFF-FFFF00000000}"/>
  </bookViews>
  <sheets>
    <sheet name="xxInstrumentAttribute" sheetId="1" r:id="rId1"/>
    <sheet name="xxTransactionActivity" sheetId="2" r:id="rId2"/>
    <sheet name="xxTransactionActivity2" sheetId="3" r:id="rId3"/>
    <sheet name="xxTransactionActivity3" sheetId="4" r:id="rId4"/>
    <sheet name="xxTransactionActivity4" sheetId="5" r:id="rId5"/>
    <sheet name="TransactionActivity" sheetId="6" r:id="rId6"/>
    <sheet name="GLRule" sheetId="7" state="hidden" r:id="rId7"/>
    <sheet name="Sheet1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8" l="1"/>
  <c r="D25" i="8"/>
  <c r="F24" i="8"/>
  <c r="F25" i="8" s="1"/>
  <c r="E24" i="8"/>
  <c r="D24" i="8"/>
  <c r="C24" i="8"/>
  <c r="D23" i="8"/>
  <c r="C23" i="8"/>
  <c r="D22" i="8"/>
  <c r="C22" i="8"/>
  <c r="C25" i="8" s="1"/>
  <c r="G18" i="8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  <c r="N2" i="1"/>
  <c r="K2" i="1"/>
</calcChain>
</file>

<file path=xl/sharedStrings.xml><?xml version="1.0" encoding="utf-8"?>
<sst xmlns="http://schemas.openxmlformats.org/spreadsheetml/2006/main" count="164" uniqueCount="62">
  <si>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</si>
  <si>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</si>
  <si>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</si>
  <si>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</si>
  <si>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</si>
  <si>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</si>
  <si>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</si>
  <si>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</si>
  <si>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</si>
  <si>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</si>
  <si>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</si>
  <si>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</si>
  <si>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</si>
  <si>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</si>
  <si>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</si>
  <si>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</si>
  <si>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</si>
  <si>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IDHJ-EGNY</t>
  </si>
  <si>
    <t>actual_360</t>
  </si>
  <si>
    <t>current</t>
  </si>
  <si>
    <t>Sporting Goods and Outdoors</t>
  </si>
  <si>
    <t>Postingdate</t>
  </si>
  <si>
    <t>TransactionDate</t>
  </si>
  <si>
    <t>InstrumentId</t>
  </si>
  <si>
    <t>TransactionType</t>
  </si>
  <si>
    <t>Amount</t>
  </si>
  <si>
    <t>AtrributeId</t>
  </si>
  <si>
    <t>Purchase - UPB</t>
  </si>
  <si>
    <t>Purchase Interest</t>
  </si>
  <si>
    <t>Remit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</si>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</sst>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2"/>
  <sheetViews>
    <sheetView zoomScale="120" zoomScaleNormal="120" workbookViewId="0">
      <selection activeCell="C1" sqref="C1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44592</v>
      </c>
      <c r="C2" s="7">
        <v>1</v>
      </c>
      <c r="D2" s="7" t="s">
        <v>17</v>
      </c>
      <c r="E2" s="7">
        <v>100000</v>
      </c>
      <c r="F2" s="7" t="s">
        <v>18</v>
      </c>
      <c r="G2" s="7">
        <v>10</v>
      </c>
      <c r="H2" s="7">
        <v>12</v>
      </c>
      <c r="I2" s="6">
        <v>44592</v>
      </c>
      <c r="J2" s="6">
        <v>44957</v>
      </c>
      <c r="K2" s="7">
        <f>E2</f>
        <v>100000</v>
      </c>
      <c r="L2" s="7" t="s">
        <v>19</v>
      </c>
      <c r="M2" s="7" t="s">
        <v>20</v>
      </c>
      <c r="N2" s="6">
        <f>A2</f>
        <v>44592</v>
      </c>
      <c r="O2" s="7">
        <v>100</v>
      </c>
      <c r="P2" s="6">
        <v>45350</v>
      </c>
      <c r="Q2" s="6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3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16.140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44592</v>
      </c>
      <c r="B2" s="11">
        <v>44592</v>
      </c>
      <c r="C2" s="12" t="s">
        <v>17</v>
      </c>
      <c r="D2" s="12" t="s">
        <v>27</v>
      </c>
      <c r="E2" s="13">
        <v>100000</v>
      </c>
      <c r="F2" s="12">
        <v>1</v>
      </c>
    </row>
    <row r="3" spans="1:6" x14ac:dyDescent="0.25">
      <c r="A3" s="10">
        <v>44592</v>
      </c>
      <c r="B3" s="11">
        <v>44592</v>
      </c>
      <c r="C3" s="12" t="s">
        <v>17</v>
      </c>
      <c r="D3" s="12" t="s">
        <v>28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44595</v>
      </c>
      <c r="B2" s="11">
        <v>44595</v>
      </c>
      <c r="C2" s="12" t="s">
        <v>17</v>
      </c>
      <c r="D2" s="11" t="s">
        <v>29</v>
      </c>
      <c r="E2" s="13">
        <v>200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44597</v>
      </c>
      <c r="B2" s="11">
        <v>44597</v>
      </c>
      <c r="C2" s="12" t="s">
        <v>17</v>
      </c>
      <c r="D2" s="11" t="s">
        <v>29</v>
      </c>
      <c r="E2" s="13">
        <v>275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44598</v>
      </c>
      <c r="B2" s="11">
        <v>44598</v>
      </c>
      <c r="C2" s="12" t="s">
        <v>17</v>
      </c>
      <c r="D2" s="11" t="s">
        <v>29</v>
      </c>
      <c r="E2" s="13">
        <v>350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2"/>
  <sheetViews>
    <sheetView tabSelected="1"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44601</v>
      </c>
      <c r="B2" s="11">
        <v>44595</v>
      </c>
      <c r="C2" s="12" t="s">
        <v>17</v>
      </c>
      <c r="D2" s="11" t="s">
        <v>29</v>
      </c>
      <c r="E2" s="13">
        <v>-30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14" t="s">
        <v>30</v>
      </c>
    </row>
    <row r="2" spans="1:6" x14ac:dyDescent="0.25">
      <c r="A2" s="1" t="s">
        <v>31</v>
      </c>
      <c r="B2" s="14" t="s">
        <v>32</v>
      </c>
      <c r="C2" s="14" t="s">
        <v>33</v>
      </c>
      <c r="D2" s="14" t="s">
        <v>34</v>
      </c>
      <c r="E2" s="14" t="s">
        <v>35</v>
      </c>
      <c r="F2" s="14" t="s">
        <v>36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37</v>
      </c>
      <c r="D3" s="1" t="s">
        <v>38</v>
      </c>
      <c r="E3" s="1" t="s">
        <v>39</v>
      </c>
      <c r="F3" s="1" t="s">
        <v>40</v>
      </c>
    </row>
    <row r="4" spans="1:6" x14ac:dyDescent="0.25">
      <c r="A4" s="1" t="str">
        <f t="shared" si="0"/>
        <v>Revenueamount&gt;1Cr</v>
      </c>
      <c r="B4" s="1">
        <v>2</v>
      </c>
      <c r="C4" s="15" t="s">
        <v>37</v>
      </c>
      <c r="D4" s="15" t="s">
        <v>38</v>
      </c>
      <c r="E4" s="15" t="s">
        <v>41</v>
      </c>
      <c r="F4" s="16" t="s">
        <v>40</v>
      </c>
    </row>
    <row r="5" spans="1:6" x14ac:dyDescent="0.25">
      <c r="A5" s="1" t="str">
        <f t="shared" si="0"/>
        <v>Revenueamount&lt;1Dr</v>
      </c>
      <c r="B5" s="1">
        <v>3</v>
      </c>
      <c r="C5" s="15" t="s">
        <v>37</v>
      </c>
      <c r="D5" s="15" t="s">
        <v>42</v>
      </c>
      <c r="E5" s="15" t="s">
        <v>39</v>
      </c>
      <c r="F5" s="16" t="s">
        <v>43</v>
      </c>
    </row>
    <row r="6" spans="1:6" x14ac:dyDescent="0.25">
      <c r="A6" s="1" t="str">
        <f t="shared" si="0"/>
        <v>Revenueamount&lt;1Cr</v>
      </c>
      <c r="B6" s="1">
        <v>4</v>
      </c>
      <c r="C6" s="1" t="s">
        <v>37</v>
      </c>
      <c r="D6" s="1" t="s">
        <v>42</v>
      </c>
      <c r="E6" s="1" t="s">
        <v>41</v>
      </c>
      <c r="F6" s="1" t="s">
        <v>43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44</v>
      </c>
      <c r="D7" s="1" t="s">
        <v>38</v>
      </c>
      <c r="E7" s="1" t="s">
        <v>39</v>
      </c>
      <c r="F7" s="1" t="s">
        <v>40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44</v>
      </c>
      <c r="D8" s="1" t="s">
        <v>38</v>
      </c>
      <c r="E8" s="1" t="s">
        <v>41</v>
      </c>
      <c r="F8" s="1" t="s">
        <v>40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44</v>
      </c>
      <c r="D9" s="1" t="s">
        <v>42</v>
      </c>
      <c r="E9" s="1" t="s">
        <v>39</v>
      </c>
      <c r="F9" s="1" t="s">
        <v>43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44</v>
      </c>
      <c r="D10" s="1" t="s">
        <v>42</v>
      </c>
      <c r="E10" s="1" t="s">
        <v>41</v>
      </c>
      <c r="F10" s="1" t="s">
        <v>43</v>
      </c>
    </row>
    <row r="11" spans="1:6" x14ac:dyDescent="0.25">
      <c r="A11" s="1" t="str">
        <f t="shared" si="0"/>
        <v>A/Ramount&gt;1Dr</v>
      </c>
      <c r="B11" s="1">
        <v>9</v>
      </c>
      <c r="C11" s="1" t="s">
        <v>45</v>
      </c>
      <c r="D11" s="1" t="s">
        <v>38</v>
      </c>
      <c r="E11" s="1" t="s">
        <v>39</v>
      </c>
      <c r="F11" s="1" t="s">
        <v>40</v>
      </c>
    </row>
    <row r="12" spans="1:6" x14ac:dyDescent="0.25">
      <c r="A12" s="1" t="str">
        <f t="shared" si="0"/>
        <v>A/Ramount&gt;1Cr</v>
      </c>
      <c r="B12" s="1">
        <v>10</v>
      </c>
      <c r="C12" s="1" t="s">
        <v>45</v>
      </c>
      <c r="D12" s="1" t="s">
        <v>38</v>
      </c>
      <c r="E12" s="1" t="s">
        <v>41</v>
      </c>
      <c r="F12" s="1" t="s">
        <v>40</v>
      </c>
    </row>
    <row r="13" spans="1:6" x14ac:dyDescent="0.25">
      <c r="A13" s="1" t="str">
        <f t="shared" si="0"/>
        <v>A/Ramount&lt;1Dr</v>
      </c>
      <c r="B13" s="1">
        <v>11</v>
      </c>
      <c r="C13" s="1" t="s">
        <v>45</v>
      </c>
      <c r="D13" s="1" t="s">
        <v>42</v>
      </c>
      <c r="E13" s="1" t="s">
        <v>39</v>
      </c>
      <c r="F13" s="1" t="s">
        <v>43</v>
      </c>
    </row>
    <row r="14" spans="1:6" x14ac:dyDescent="0.25">
      <c r="A14" s="1" t="str">
        <f t="shared" si="0"/>
        <v>A/Ramount&lt;1Cr</v>
      </c>
      <c r="B14" s="1">
        <v>12</v>
      </c>
      <c r="C14" s="1" t="s">
        <v>45</v>
      </c>
      <c r="D14" s="1" t="s">
        <v>42</v>
      </c>
      <c r="E14" s="1" t="s">
        <v>41</v>
      </c>
      <c r="F14" s="1" t="s">
        <v>43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6" customWidth="1"/>
  </cols>
  <sheetData>
    <row r="1" spans="2:15" x14ac:dyDescent="0.25">
      <c r="B1" s="1">
        <v>1</v>
      </c>
      <c r="D1" s="1" t="s">
        <v>39</v>
      </c>
      <c r="E1" s="1" t="s">
        <v>41</v>
      </c>
      <c r="G1" s="14" t="s">
        <v>46</v>
      </c>
      <c r="H1" s="14" t="s">
        <v>47</v>
      </c>
      <c r="I1" s="14"/>
    </row>
    <row r="2" spans="2:15" x14ac:dyDescent="0.25">
      <c r="C2" s="1" t="s">
        <v>48</v>
      </c>
      <c r="D2" s="1">
        <v>100</v>
      </c>
      <c r="G2" s="1" t="s">
        <v>49</v>
      </c>
      <c r="H2" s="16" t="s">
        <v>49</v>
      </c>
    </row>
    <row r="3" spans="2:15" x14ac:dyDescent="0.25">
      <c r="C3" s="1" t="s">
        <v>50</v>
      </c>
      <c r="E3" s="1">
        <v>-100</v>
      </c>
      <c r="G3" s="1" t="s">
        <v>37</v>
      </c>
      <c r="H3" s="16" t="s">
        <v>49</v>
      </c>
    </row>
    <row r="5" spans="2:15" x14ac:dyDescent="0.25">
      <c r="B5" s="1">
        <v>2</v>
      </c>
      <c r="C5" s="16" t="str">
        <f>C2</f>
        <v>Def</v>
      </c>
      <c r="D5" s="16">
        <v>100</v>
      </c>
      <c r="E5" s="16"/>
      <c r="G5" s="16" t="s">
        <v>49</v>
      </c>
      <c r="H5" s="16" t="s">
        <v>49</v>
      </c>
    </row>
    <row r="6" spans="2:15" x14ac:dyDescent="0.25">
      <c r="C6" s="16" t="s">
        <v>50</v>
      </c>
      <c r="D6" s="16"/>
      <c r="E6" s="16">
        <v>-100</v>
      </c>
      <c r="G6" s="16" t="s">
        <v>37</v>
      </c>
      <c r="H6" s="16" t="s">
        <v>49</v>
      </c>
    </row>
    <row r="8" spans="2:15" x14ac:dyDescent="0.25">
      <c r="B8" s="1">
        <v>3</v>
      </c>
      <c r="C8" s="16" t="s">
        <v>50</v>
      </c>
      <c r="D8" s="16">
        <v>200</v>
      </c>
      <c r="E8" s="16"/>
      <c r="F8" s="16"/>
      <c r="G8" s="16" t="s">
        <v>37</v>
      </c>
      <c r="H8" s="16" t="s">
        <v>51</v>
      </c>
    </row>
    <row r="9" spans="2:15" x14ac:dyDescent="0.25">
      <c r="C9" s="16" t="s">
        <v>48</v>
      </c>
      <c r="D9" s="16"/>
      <c r="E9" s="16">
        <v>-200</v>
      </c>
      <c r="F9" s="16"/>
      <c r="G9" s="16" t="s">
        <v>49</v>
      </c>
      <c r="H9" s="16" t="s">
        <v>51</v>
      </c>
    </row>
    <row r="10" spans="2:15" x14ac:dyDescent="0.25">
      <c r="J10" s="16" t="s">
        <v>52</v>
      </c>
      <c r="K10" s="16" t="s">
        <v>53</v>
      </c>
      <c r="L10" s="16" t="s">
        <v>54</v>
      </c>
      <c r="M10" s="16" t="s">
        <v>55</v>
      </c>
      <c r="N10" s="16" t="s">
        <v>56</v>
      </c>
      <c r="O10" s="16" t="s">
        <v>57</v>
      </c>
    </row>
    <row r="11" spans="2:15" x14ac:dyDescent="0.25">
      <c r="B11" s="1">
        <v>3</v>
      </c>
      <c r="C11" s="1" t="s">
        <v>48</v>
      </c>
      <c r="D11" s="1">
        <v>200</v>
      </c>
      <c r="G11" s="16" t="s">
        <v>58</v>
      </c>
      <c r="H11" s="16" t="s">
        <v>51</v>
      </c>
      <c r="M11" s="1">
        <v>100</v>
      </c>
      <c r="O11" s="1">
        <v>100</v>
      </c>
    </row>
    <row r="12" spans="2:15" x14ac:dyDescent="0.25">
      <c r="C12" s="1" t="s">
        <v>50</v>
      </c>
      <c r="E12" s="1">
        <v>-200</v>
      </c>
      <c r="G12" s="16" t="str">
        <f>G8</f>
        <v>Revenue</v>
      </c>
      <c r="H12" s="16" t="s">
        <v>51</v>
      </c>
      <c r="J12" s="16">
        <f>O11</f>
        <v>100</v>
      </c>
      <c r="M12" s="1">
        <v>100</v>
      </c>
      <c r="O12" s="16">
        <f>J12+M12</f>
        <v>200</v>
      </c>
    </row>
    <row r="13" spans="2:15" x14ac:dyDescent="0.25">
      <c r="J13" s="16">
        <f>O12</f>
        <v>200</v>
      </c>
      <c r="L13" s="1">
        <v>1200</v>
      </c>
      <c r="M13" s="1">
        <v>100</v>
      </c>
      <c r="N13" s="16">
        <f>L13-J13-M13</f>
        <v>900</v>
      </c>
      <c r="O13" s="1">
        <v>0</v>
      </c>
    </row>
    <row r="14" spans="2:15" x14ac:dyDescent="0.25">
      <c r="B14" s="1">
        <v>3</v>
      </c>
      <c r="C14" s="1" t="s">
        <v>59</v>
      </c>
      <c r="D14" s="1">
        <v>1200</v>
      </c>
      <c r="G14" s="1" t="s">
        <v>60</v>
      </c>
      <c r="H14" s="16" t="s">
        <v>51</v>
      </c>
      <c r="K14" s="16">
        <f t="shared" ref="K14:K22" si="0">N13</f>
        <v>900</v>
      </c>
      <c r="M14" s="16">
        <v>100</v>
      </c>
      <c r="N14" s="16">
        <f t="shared" ref="N14:N22" si="1">K14-M14</f>
        <v>800</v>
      </c>
    </row>
    <row r="15" spans="2:15" x14ac:dyDescent="0.25">
      <c r="C15" s="1" t="s">
        <v>61</v>
      </c>
      <c r="E15" s="1">
        <v>-1200</v>
      </c>
      <c r="G15" s="16" t="str">
        <f>G11</f>
        <v>Def Revenue</v>
      </c>
      <c r="H15" s="16" t="s">
        <v>51</v>
      </c>
      <c r="K15" s="16">
        <f t="shared" si="0"/>
        <v>800</v>
      </c>
      <c r="L15" s="16"/>
      <c r="M15" s="16">
        <v>100</v>
      </c>
      <c r="N15" s="16">
        <f t="shared" si="1"/>
        <v>700</v>
      </c>
    </row>
    <row r="16" spans="2:15" x14ac:dyDescent="0.25">
      <c r="K16" s="16">
        <f t="shared" si="0"/>
        <v>700</v>
      </c>
      <c r="L16" s="16"/>
      <c r="M16" s="16">
        <v>100</v>
      </c>
      <c r="N16" s="16">
        <f t="shared" si="1"/>
        <v>600</v>
      </c>
    </row>
    <row r="17" spans="2:14" x14ac:dyDescent="0.25">
      <c r="B17" s="1">
        <v>3</v>
      </c>
      <c r="C17" s="1" t="s">
        <v>48</v>
      </c>
      <c r="D17" s="1">
        <v>100</v>
      </c>
      <c r="G17" s="16" t="s">
        <v>58</v>
      </c>
      <c r="H17" s="16" t="s">
        <v>51</v>
      </c>
      <c r="K17" s="16">
        <f t="shared" si="0"/>
        <v>600</v>
      </c>
      <c r="L17" s="16"/>
      <c r="M17" s="16">
        <v>100</v>
      </c>
      <c r="N17" s="16">
        <f t="shared" si="1"/>
        <v>500</v>
      </c>
    </row>
    <row r="18" spans="2:14" x14ac:dyDescent="0.25">
      <c r="C18" s="1" t="s">
        <v>50</v>
      </c>
      <c r="E18" s="1">
        <v>-100</v>
      </c>
      <c r="G18" s="16" t="str">
        <f>G12</f>
        <v>Revenue</v>
      </c>
      <c r="H18" s="16" t="s">
        <v>51</v>
      </c>
      <c r="K18" s="16">
        <f t="shared" si="0"/>
        <v>500</v>
      </c>
      <c r="L18" s="16"/>
      <c r="M18" s="16">
        <v>100</v>
      </c>
      <c r="N18" s="16">
        <f t="shared" si="1"/>
        <v>400</v>
      </c>
    </row>
    <row r="19" spans="2:14" x14ac:dyDescent="0.25">
      <c r="K19" s="16">
        <f t="shared" si="0"/>
        <v>400</v>
      </c>
      <c r="L19" s="16"/>
      <c r="M19" s="16">
        <v>100</v>
      </c>
      <c r="N19" s="16">
        <f t="shared" si="1"/>
        <v>300</v>
      </c>
    </row>
    <row r="20" spans="2:14" x14ac:dyDescent="0.25">
      <c r="K20" s="16">
        <f t="shared" si="0"/>
        <v>300</v>
      </c>
      <c r="L20" s="16"/>
      <c r="M20" s="16">
        <v>100</v>
      </c>
      <c r="N20" s="16">
        <f t="shared" si="1"/>
        <v>200</v>
      </c>
    </row>
    <row r="21" spans="2:14" x14ac:dyDescent="0.25">
      <c r="C21" s="1" t="s">
        <v>49</v>
      </c>
      <c r="D21" s="1" t="s">
        <v>37</v>
      </c>
      <c r="E21" s="1" t="s">
        <v>60</v>
      </c>
      <c r="F21" s="1" t="s">
        <v>58</v>
      </c>
      <c r="K21" s="16">
        <f t="shared" si="0"/>
        <v>200</v>
      </c>
      <c r="L21" s="16"/>
      <c r="M21" s="16">
        <v>100</v>
      </c>
      <c r="N21" s="16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6">
        <f t="shared" si="0"/>
        <v>100</v>
      </c>
      <c r="L22" s="16"/>
      <c r="M22" s="16">
        <v>100</v>
      </c>
      <c r="N22" s="16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6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6"/>
    </row>
    <row r="25" spans="2:14" x14ac:dyDescent="0.25">
      <c r="C25" s="1">
        <f>SUM(C22:C24)</f>
        <v>0</v>
      </c>
      <c r="D25" s="1">
        <f>SUM(D22:D24)</f>
        <v>-300</v>
      </c>
      <c r="E25" s="16">
        <f>SUM(E22:E24)</f>
        <v>1200</v>
      </c>
      <c r="F25" s="16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xxInstrumentAttribute</vt:lpstr>
      <vt:lpstr>xxTransactionActivity</vt:lpstr>
      <vt:lpstr>xxTransactionActivity2</vt:lpstr>
      <vt:lpstr>xxTransactionActivity3</vt:lpstr>
      <vt:lpstr>xxTransactionActivity4</vt:lpstr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29</cp:revision>
  <dcterms:created xsi:type="dcterms:W3CDTF">2024-02-24T05:30:44Z</dcterms:created>
  <dcterms:modified xsi:type="dcterms:W3CDTF">2025-11-05T16:30:23Z</dcterms:modified>
  <dc:language>en-US</dc:language>
</cp:coreProperties>
</file>