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6BB7492A-0873-438B-B55E-2D31FC7CD1DD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Scenario" sheetId="30" r:id="rId1"/>
    <sheet name="TRANX" sheetId="27" r:id="rId2"/>
    <sheet name="EOD" sheetId="28" r:id="rId3"/>
    <sheet name="REPLAY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9" l="1"/>
  <c r="B26" i="29" l="1"/>
  <c r="D26" i="29" l="1"/>
  <c r="C26" i="29"/>
  <c r="B4" i="29"/>
  <c r="B3" i="29"/>
  <c r="B2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5" i="29" l="1"/>
  <c r="B9" i="29" l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F40" i="29" s="1"/>
  <c r="B10" i="29" l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C9" i="29"/>
  <c r="D9" i="29"/>
  <c r="F9" i="29"/>
  <c r="A2" i="7"/>
  <c r="D40" i="29"/>
  <c r="D2" i="7" s="1"/>
  <c r="H6" i="30"/>
  <c r="E5" i="30"/>
  <c r="I5" i="30"/>
  <c r="F2" i="7"/>
  <c r="C40" i="29"/>
  <c r="C2" i="7" s="1"/>
  <c r="B40" i="29"/>
  <c r="B2" i="7" s="1"/>
  <c r="E26" i="29"/>
  <c r="F10" i="29" l="1"/>
  <c r="F11" i="29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G21" i="29" l="1"/>
  <c r="H12" i="29"/>
  <c r="I12" i="29" s="1"/>
  <c r="I21" i="29" s="1"/>
  <c r="H21" i="29" l="1"/>
  <c r="J12" i="29"/>
  <c r="K12" i="29" s="1"/>
  <c r="K21" i="29" s="1"/>
  <c r="B31" i="29"/>
  <c r="A42" i="29" s="1"/>
  <c r="G26" i="29"/>
  <c r="E42" i="29" l="1"/>
  <c r="E4" i="7" s="1"/>
  <c r="F42" i="29"/>
  <c r="F4" i="7" s="1"/>
  <c r="H26" i="29"/>
  <c r="I26" i="29" s="1"/>
  <c r="J26" i="29" s="1"/>
  <c r="B35" i="29"/>
  <c r="A43" i="29" s="1"/>
  <c r="B42" i="29"/>
  <c r="B4" i="7" s="1"/>
  <c r="C42" i="29"/>
  <c r="C4" i="7" s="1"/>
  <c r="A4" i="7"/>
  <c r="D42" i="29"/>
  <c r="D4" i="7" s="1"/>
  <c r="E43" i="29" l="1"/>
  <c r="E5" i="7" s="1"/>
  <c r="F43" i="29"/>
  <c r="F5" i="7" s="1"/>
  <c r="B36" i="29"/>
  <c r="A44" i="29" s="1"/>
  <c r="B43" i="29"/>
  <c r="B5" i="7" s="1"/>
  <c r="D43" i="29"/>
  <c r="D5" i="7" s="1"/>
  <c r="C43" i="29"/>
  <c r="C5" i="7" s="1"/>
  <c r="A5" i="7"/>
  <c r="K26" i="29"/>
  <c r="B30" i="29" s="1"/>
  <c r="B29" i="29"/>
  <c r="E40" i="29" s="1"/>
  <c r="E44" i="29" l="1"/>
  <c r="E6" i="7" s="1"/>
  <c r="F44" i="29"/>
  <c r="F6" i="7" s="1"/>
  <c r="A41" i="29"/>
  <c r="F41" i="29" s="1"/>
  <c r="B44" i="29"/>
  <c r="B6" i="7" s="1"/>
  <c r="D44" i="29"/>
  <c r="D6" i="7" s="1"/>
  <c r="A6" i="7"/>
  <c r="C44" i="29"/>
  <c r="C6" i="7" s="1"/>
  <c r="E2" i="7" l="1"/>
  <c r="E41" i="29"/>
  <c r="E3" i="7" s="1"/>
  <c r="F3" i="7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<sst xmlns="http://schemas.openxmlformats.org/spreadsheetml/2006/main" count="661" uniqueCount="103">
  <si>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</si>
  <si>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</si>
  <si>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</si>
  <si>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</si>
  <si>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</si>
  <si>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</si>
  <si>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</si>
  <si>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</si>
  <si>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</si>
  <si>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</si>
  <si>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</si>
  <si>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</si>
  <si>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</si>
  <si>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</si>
  <si>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</si>
  <si>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</si>
  <si>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</si>
  <si>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</si>
  <si>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</si>
  <si>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</si>
  <si>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</si>
  <si>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</si>
  <si>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</si>
  <si>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</si>
  <si>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</si>
  <si>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</si>
  <si>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</si>
  <si>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</si>
  <si>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</si>
  <si>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</si>
  <si>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</si>
  <si>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</si>
  <si>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</si>
  <si>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</si>
  <si>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</si>
  <si>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</si>
  <si>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</si>
  <si>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</si>
  <si>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</si>
  <si>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</si>
  <si>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</si>
  <si>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</si>
  <si>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</si>
  <si>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</si>
  <si>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</si>
  <si>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</si>
  <si>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</si>
  <si>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</si>
  <si>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</si>
  <si>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</si>
  <si>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</si>
  <si>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</si>
  <si>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</si>
  <si>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</si>
  <si>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</si>
  <si>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</si>
  <si>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</si>
  <si>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</si>
  <si>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</si>
  <si>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</si>
  <si>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</si>
  <si>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</si>
  <si>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</si>
  <si>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</si>
  <si>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</si>
  <si>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</si>
  <si>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</si>
  <si>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</si>
  <si>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</si>
  <si>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</si>
  <si>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</si>
  <si>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</si>
  <si>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</si>
  <si>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</si>
  <si>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</si>
  <si>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</si>
  <si>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</si>
  <si>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</si>
  <si>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</si>
  <si>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</si>
  <si>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</si>
  <si>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</si>
  <si>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</si>
  <si>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</si>
  <si>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</si>
  <si>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</si>
  <si>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</si>
  <si>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</si>
  <si>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</si>
  <si>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</si>
  <si>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</si>
  <si>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</si>
  <si>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</si>
  <si>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</si>
  <si>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</si>
  <si>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</si>
  <si>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</si>
  <si>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</si>
  <si>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TransactionName</t>
  </si>
  <si>
    <t>BALANCES_BEGINNINGBALANCE_UNPAID_PRINCIPAL_BALANCE</t>
  </si>
  <si>
    <t>BALANCES_BEGINNINGBALANCE_ACCRUED_INTEREST_RECEIVABLE</t>
  </si>
  <si>
    <t>BALANCES_BEGINNINGBALANCE_Unpaid_Principal_Balance</t>
  </si>
  <si>
    <t>BALANCES_BEGINNINGBALANCE_Accrued_Interest_Receivable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</si>
</sst>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9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8" borderId="3" xfId="1" applyFont="1" applyFill="1" applyBorder="1"/>
    <xf numFmtId="2" fontId="0" fillId="0" borderId="2" xfId="0" applyNumberFormat="1" applyBorder="1" applyAlignment="1">
      <alignment horizontal="center"/>
    </xf>
    <xf numFmtId="2" fontId="0" fillId="0" borderId="2" xfId="0" applyNumberFormat="1" applyBorder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6" t="s">
        <v>0</v>
      </c>
      <c r="B1" s="96"/>
      <c r="C1" s="96"/>
      <c r="D1" s="96"/>
      <c r="E1" s="96"/>
      <c r="F1" s="96"/>
      <c r="H1" s="96" t="s">
        <v>34</v>
      </c>
      <c r="I1" s="96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5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5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5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5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5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5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5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5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5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5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5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5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5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5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5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5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6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88" t="s">
        <v>3</v>
      </c>
      <c r="B1" s="89" t="s">
        <v>7</v>
      </c>
      <c r="C1" s="90" t="s">
        <v>5</v>
      </c>
      <c r="D1" s="90" t="s">
        <v>6</v>
      </c>
      <c r="E1" s="16" t="s">
        <v>95</v>
      </c>
    </row>
    <row r="2" spans="1:7" x14ac:dyDescent="0.25">
      <c r="A2" s="27"/>
      <c r="B2" s="27"/>
      <c r="C2" s="84"/>
      <c r="D2" s="8"/>
      <c r="E2" s="9"/>
      <c r="F2" s="69"/>
      <c r="G2" s="69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/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88" t="s">
        <v>3</v>
      </c>
      <c r="B1" s="89" t="s">
        <v>7</v>
      </c>
      <c r="C1" s="90" t="s">
        <v>5</v>
      </c>
      <c r="D1" s="90" t="s">
        <v>6</v>
      </c>
      <c r="E1" s="4" t="s">
        <v>97</v>
      </c>
      <c r="F1" s="61" t="s">
        <v>99</v>
      </c>
      <c r="G1" s="61" t="s">
        <v>100</v>
      </c>
    </row>
    <row r="2" spans="1:7" x14ac:dyDescent="0.25">
      <c r="A2" s="27"/>
      <c r="B2" s="27"/>
      <c r="C2" s="8"/>
      <c r="D2" s="8"/>
      <c r="E2" s="84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tabSelected="1" workbookViewId="0">
      <selection activeCell="G1" sqref="G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8" t="s">
        <v>7</v>
      </c>
      <c r="C1" s="14" t="s">
        <v>5</v>
      </c>
      <c r="D1" s="14" t="s">
        <v>6</v>
      </c>
      <c r="E1" s="16" t="s">
        <v>95</v>
      </c>
      <c r="F1" s="4" t="s">
        <v>101</v>
      </c>
      <c r="G1" s="17" t="s">
        <v>102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Z98"/>
  <sheetViews>
    <sheetView topLeftCell="E26" workbookViewId="0">
      <selection activeCell="A59" sqref="A59:E59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7" t="s">
        <v>85</v>
      </c>
      <c r="B1" s="98"/>
      <c r="C1" s="98"/>
      <c r="D1" s="98"/>
      <c r="E1" s="98"/>
      <c r="F1" s="98"/>
      <c r="G1" s="99"/>
    </row>
    <row r="3" spans="1:15" x14ac:dyDescent="0.25">
      <c r="A3" s="78" t="s">
        <v>84</v>
      </c>
    </row>
    <row r="4" spans="1:15" x14ac:dyDescent="0.25">
      <c r="A4" s="80" t="s">
        <v>3</v>
      </c>
      <c r="B4" s="12" t="s">
        <v>7</v>
      </c>
      <c r="C4" s="81" t="s">
        <v>5</v>
      </c>
      <c r="D4" s="81" t="s">
        <v>6</v>
      </c>
      <c r="E4" s="82" t="s">
        <v>23</v>
      </c>
      <c r="F4" s="82" t="s">
        <v>25</v>
      </c>
      <c r="G4" s="83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4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7" t="s">
        <v>86</v>
      </c>
      <c r="B8" s="98"/>
      <c r="C8" s="98"/>
      <c r="D8" s="98"/>
      <c r="E8" s="98"/>
      <c r="F8" s="98"/>
      <c r="G8" s="99"/>
    </row>
    <row r="9" spans="1:15" x14ac:dyDescent="0.25">
      <c r="A9" s="79"/>
      <c r="B9" s="79"/>
      <c r="C9" s="79"/>
      <c r="D9" s="79"/>
      <c r="E9" s="79"/>
      <c r="F9" s="79"/>
      <c r="G9" s="79"/>
    </row>
    <row r="10" spans="1:15" x14ac:dyDescent="0.25">
      <c r="A10" s="78" t="s">
        <v>84</v>
      </c>
      <c r="B10" s="79"/>
      <c r="C10" s="79"/>
      <c r="D10" s="79"/>
      <c r="E10" s="79"/>
      <c r="F10" s="79"/>
      <c r="G10" s="79"/>
    </row>
    <row r="11" spans="1:15" x14ac:dyDescent="0.25">
      <c r="A11" s="80" t="s">
        <v>3</v>
      </c>
      <c r="B11" s="12" t="s">
        <v>7</v>
      </c>
      <c r="C11" s="81" t="s">
        <v>5</v>
      </c>
      <c r="D11" s="81" t="s">
        <v>6</v>
      </c>
      <c r="E11" s="82" t="s">
        <v>23</v>
      </c>
      <c r="F11" s="82" t="s">
        <v>25</v>
      </c>
      <c r="G11" s="83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4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7" t="s">
        <v>87</v>
      </c>
      <c r="B15" s="98"/>
      <c r="C15" s="98"/>
      <c r="D15" s="98"/>
      <c r="E15" s="98"/>
      <c r="F15" s="98"/>
      <c r="G15" s="99"/>
      <c r="H15" s="79"/>
      <c r="I15" s="79"/>
      <c r="J15" s="79"/>
      <c r="K15" s="79"/>
      <c r="L15" s="79"/>
      <c r="M15" s="79"/>
      <c r="N15" s="79"/>
      <c r="O15" s="79"/>
    </row>
    <row r="16" spans="1:15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</row>
    <row r="17" spans="1:15" x14ac:dyDescent="0.25">
      <c r="A17" s="78" t="s">
        <v>84</v>
      </c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</row>
    <row r="18" spans="1:15" x14ac:dyDescent="0.25">
      <c r="A18" s="80" t="s">
        <v>3</v>
      </c>
      <c r="B18" s="12" t="s">
        <v>7</v>
      </c>
      <c r="C18" s="81" t="s">
        <v>5</v>
      </c>
      <c r="D18" s="81" t="s">
        <v>6</v>
      </c>
      <c r="E18" s="82" t="s">
        <v>23</v>
      </c>
      <c r="F18" s="82" t="s">
        <v>25</v>
      </c>
      <c r="G18" s="83" t="s">
        <v>26</v>
      </c>
      <c r="H18" s="79"/>
      <c r="I18" s="79"/>
      <c r="J18" s="79" t="s">
        <v>3</v>
      </c>
      <c r="K18" s="79" t="s">
        <v>4</v>
      </c>
      <c r="L18" s="79" t="s">
        <v>5</v>
      </c>
      <c r="M18" s="79" t="s">
        <v>10</v>
      </c>
      <c r="N18" s="79" t="s">
        <v>1</v>
      </c>
      <c r="O18" s="79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4">
        <v>10</v>
      </c>
      <c r="F19" s="9">
        <v>100000</v>
      </c>
      <c r="G19" s="9">
        <v>127.7778</v>
      </c>
      <c r="H19" s="79"/>
      <c r="I19" s="79"/>
      <c r="J19" s="63">
        <v>44594</v>
      </c>
      <c r="K19" s="63">
        <v>44594</v>
      </c>
      <c r="L19" s="79" t="s">
        <v>12</v>
      </c>
      <c r="M19" s="79" t="s">
        <v>65</v>
      </c>
      <c r="N19" s="79">
        <v>27.777799999999999</v>
      </c>
      <c r="O19" s="79" t="s">
        <v>66</v>
      </c>
    </row>
    <row r="21" spans="1:15" ht="15.75" thickBot="1" x14ac:dyDescent="0.3"/>
    <row r="22" spans="1:15" ht="15.75" thickBot="1" x14ac:dyDescent="0.3">
      <c r="A22" s="97" t="s">
        <v>88</v>
      </c>
      <c r="B22" s="98"/>
      <c r="C22" s="98"/>
      <c r="D22" s="98"/>
      <c r="E22" s="98"/>
      <c r="F22" s="98"/>
      <c r="G22" s="99"/>
    </row>
    <row r="23" spans="1:15" x14ac:dyDescent="0.25">
      <c r="A23" s="79"/>
      <c r="B23" s="79"/>
      <c r="C23" s="79"/>
      <c r="D23" s="79"/>
      <c r="E23" s="79"/>
      <c r="F23" s="79"/>
      <c r="G23" s="79"/>
    </row>
    <row r="24" spans="1:15" x14ac:dyDescent="0.25">
      <c r="A24" s="78" t="s">
        <v>84</v>
      </c>
      <c r="B24" s="79"/>
      <c r="C24" s="79"/>
      <c r="D24" s="79"/>
      <c r="E24" s="79"/>
      <c r="F24" s="79"/>
      <c r="G24" s="79"/>
    </row>
    <row r="25" spans="1:15" x14ac:dyDescent="0.25">
      <c r="A25" s="80" t="s">
        <v>3</v>
      </c>
      <c r="B25" s="12" t="s">
        <v>7</v>
      </c>
      <c r="C25" s="81" t="s">
        <v>5</v>
      </c>
      <c r="D25" s="81" t="s">
        <v>6</v>
      </c>
      <c r="E25" s="82" t="s">
        <v>23</v>
      </c>
      <c r="F25" s="82" t="s">
        <v>25</v>
      </c>
      <c r="G25" s="83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4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8" t="s">
        <v>61</v>
      </c>
    </row>
    <row r="29" spans="1:15" x14ac:dyDescent="0.25">
      <c r="A29" s="15" t="s">
        <v>3</v>
      </c>
      <c r="B29" s="78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4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7" t="s">
        <v>89</v>
      </c>
      <c r="B33" s="98"/>
      <c r="C33" s="98"/>
      <c r="D33" s="98"/>
      <c r="E33" s="98"/>
      <c r="F33" s="98"/>
      <c r="G33" s="99"/>
    </row>
    <row r="34" spans="1:15" x14ac:dyDescent="0.25">
      <c r="A34" s="79"/>
      <c r="B34" s="79"/>
      <c r="C34" s="79"/>
      <c r="D34" s="79"/>
      <c r="E34" s="79"/>
      <c r="F34" s="79"/>
      <c r="G34" s="79"/>
    </row>
    <row r="35" spans="1:15" x14ac:dyDescent="0.25">
      <c r="A35" s="78" t="s">
        <v>84</v>
      </c>
      <c r="B35" s="79"/>
      <c r="C35" s="79"/>
      <c r="D35" s="79"/>
      <c r="E35" s="79"/>
      <c r="F35" s="79"/>
      <c r="G35" s="79"/>
    </row>
    <row r="36" spans="1:15" x14ac:dyDescent="0.25">
      <c r="A36" s="80" t="s">
        <v>3</v>
      </c>
      <c r="B36" s="12" t="s">
        <v>7</v>
      </c>
      <c r="C36" s="81" t="s">
        <v>5</v>
      </c>
      <c r="D36" s="81" t="s">
        <v>6</v>
      </c>
      <c r="E36" s="82" t="s">
        <v>23</v>
      </c>
      <c r="F36" s="82" t="s">
        <v>25</v>
      </c>
      <c r="G36" s="83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4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7" t="s">
        <v>89</v>
      </c>
      <c r="B40" s="98"/>
      <c r="C40" s="98"/>
      <c r="D40" s="98"/>
      <c r="E40" s="98"/>
      <c r="F40" s="98"/>
      <c r="G40" s="99"/>
    </row>
    <row r="41" spans="1:15" x14ac:dyDescent="0.25">
      <c r="A41" s="79"/>
      <c r="B41" s="79"/>
      <c r="C41" s="79"/>
      <c r="D41" s="79"/>
      <c r="E41" s="79"/>
      <c r="F41" s="79"/>
      <c r="G41" s="79"/>
    </row>
    <row r="42" spans="1:15" x14ac:dyDescent="0.25">
      <c r="A42" s="78" t="s">
        <v>84</v>
      </c>
      <c r="B42" s="79"/>
      <c r="C42" s="79"/>
      <c r="D42" s="79"/>
      <c r="E42" s="79"/>
      <c r="F42" s="79"/>
      <c r="G42" s="79"/>
    </row>
    <row r="43" spans="1:15" x14ac:dyDescent="0.25">
      <c r="A43" s="80" t="s">
        <v>3</v>
      </c>
      <c r="B43" s="12" t="s">
        <v>7</v>
      </c>
      <c r="C43" s="81" t="s">
        <v>5</v>
      </c>
      <c r="D43" s="81" t="s">
        <v>6</v>
      </c>
      <c r="E43" s="82" t="s">
        <v>23</v>
      </c>
      <c r="F43" s="82" t="s">
        <v>25</v>
      </c>
      <c r="G43" s="83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4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8" t="s">
        <v>61</v>
      </c>
      <c r="B46" s="79"/>
      <c r="C46" s="79"/>
      <c r="D46" s="79"/>
      <c r="E46" s="79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8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4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7" t="s">
        <v>90</v>
      </c>
      <c r="B51" s="98"/>
      <c r="C51" s="98"/>
      <c r="D51" s="98"/>
      <c r="E51" s="98"/>
      <c r="F51" s="98"/>
      <c r="G51" s="99"/>
      <c r="H51" s="79"/>
      <c r="I51" s="79"/>
      <c r="J51" s="79"/>
      <c r="K51" s="79"/>
      <c r="L51" s="79"/>
      <c r="M51" s="79"/>
      <c r="N51" s="79"/>
      <c r="O51" s="79"/>
    </row>
    <row r="52" spans="1:15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 x14ac:dyDescent="0.25">
      <c r="A53" s="78" t="s">
        <v>84</v>
      </c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 x14ac:dyDescent="0.25">
      <c r="A54" s="80" t="s">
        <v>3</v>
      </c>
      <c r="B54" s="12" t="s">
        <v>7</v>
      </c>
      <c r="C54" s="81" t="s">
        <v>5</v>
      </c>
      <c r="D54" s="81" t="s">
        <v>6</v>
      </c>
      <c r="E54" s="82" t="s">
        <v>23</v>
      </c>
      <c r="F54" s="82" t="s">
        <v>25</v>
      </c>
      <c r="G54" s="83" t="s">
        <v>26</v>
      </c>
      <c r="H54" s="79"/>
      <c r="I54" s="79"/>
      <c r="J54" s="79" t="s">
        <v>3</v>
      </c>
      <c r="K54" s="79" t="s">
        <v>4</v>
      </c>
      <c r="L54" s="79" t="s">
        <v>5</v>
      </c>
      <c r="M54" s="79" t="s">
        <v>10</v>
      </c>
      <c r="N54" s="79" t="s">
        <v>1</v>
      </c>
      <c r="O54" s="79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4">
        <v>10</v>
      </c>
      <c r="F55" s="9">
        <v>99856.111199999999</v>
      </c>
      <c r="G55" s="9">
        <v>27.737799999999993</v>
      </c>
      <c r="H55" s="79"/>
      <c r="I55" s="79"/>
      <c r="J55" s="63">
        <v>44598</v>
      </c>
      <c r="K55" s="63">
        <v>44598</v>
      </c>
      <c r="L55" s="79" t="s">
        <v>12</v>
      </c>
      <c r="M55" s="79" t="s">
        <v>65</v>
      </c>
      <c r="N55" s="79">
        <v>27.648299999999999</v>
      </c>
      <c r="O55" s="79" t="s">
        <v>66</v>
      </c>
    </row>
    <row r="56" spans="1:15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63">
        <v>44598</v>
      </c>
      <c r="K56" s="63">
        <v>44598</v>
      </c>
      <c r="L56" s="79" t="s">
        <v>12</v>
      </c>
      <c r="M56" s="79" t="s">
        <v>72</v>
      </c>
      <c r="N56" s="79">
        <v>-322.26220000000001</v>
      </c>
      <c r="O56" s="79" t="s">
        <v>66</v>
      </c>
    </row>
    <row r="57" spans="1:15" x14ac:dyDescent="0.25">
      <c r="A57" s="78" t="s">
        <v>61</v>
      </c>
      <c r="B57" s="79"/>
      <c r="C57" s="79"/>
      <c r="D57" s="79"/>
      <c r="E57" s="79"/>
      <c r="F57" s="79"/>
      <c r="G57" s="79"/>
      <c r="H57" s="79"/>
      <c r="I57" s="79"/>
      <c r="J57" s="63">
        <v>44598</v>
      </c>
      <c r="K57" s="63">
        <v>44598</v>
      </c>
      <c r="L57" s="79" t="s">
        <v>12</v>
      </c>
      <c r="M57" s="79" t="s">
        <v>71</v>
      </c>
      <c r="N57" s="79">
        <v>-27.7378</v>
      </c>
      <c r="O57" s="79" t="s">
        <v>66</v>
      </c>
    </row>
    <row r="58" spans="1:15" x14ac:dyDescent="0.25">
      <c r="A58" s="15" t="s">
        <v>3</v>
      </c>
      <c r="B58" s="78" t="s">
        <v>7</v>
      </c>
      <c r="C58" s="14" t="s">
        <v>5</v>
      </c>
      <c r="D58" s="14" t="s">
        <v>6</v>
      </c>
      <c r="E58" s="16" t="s">
        <v>24</v>
      </c>
      <c r="F58" s="79"/>
      <c r="G58" s="79"/>
      <c r="H58" s="79"/>
      <c r="I58" s="79"/>
    </row>
    <row r="59" spans="1:15" x14ac:dyDescent="0.25">
      <c r="A59" s="27">
        <v>44598</v>
      </c>
      <c r="B59" s="27">
        <v>44598</v>
      </c>
      <c r="C59" s="84" t="s">
        <v>12</v>
      </c>
      <c r="D59" s="8">
        <v>1</v>
      </c>
      <c r="E59" s="9">
        <v>350</v>
      </c>
      <c r="F59" s="79"/>
      <c r="G59" s="79"/>
      <c r="H59" s="79"/>
      <c r="I59" s="79"/>
      <c r="J59" s="79" t="s">
        <v>68</v>
      </c>
      <c r="K59" s="79" t="s">
        <v>68</v>
      </c>
      <c r="L59" s="79" t="s">
        <v>68</v>
      </c>
      <c r="M59" s="79" t="s">
        <v>68</v>
      </c>
      <c r="N59" s="79" t="s">
        <v>68</v>
      </c>
      <c r="O59" s="79" t="s">
        <v>68</v>
      </c>
    </row>
    <row r="61" spans="1:15" ht="15.75" thickBot="1" x14ac:dyDescent="0.3"/>
    <row r="62" spans="1:15" ht="15.75" thickBot="1" x14ac:dyDescent="0.3">
      <c r="A62" s="97" t="s">
        <v>91</v>
      </c>
      <c r="B62" s="98"/>
      <c r="C62" s="98"/>
      <c r="D62" s="98"/>
      <c r="E62" s="98"/>
      <c r="F62" s="98"/>
      <c r="G62" s="99"/>
    </row>
    <row r="63" spans="1:15" x14ac:dyDescent="0.25">
      <c r="A63" s="79"/>
      <c r="B63" s="79"/>
      <c r="C63" s="79"/>
      <c r="D63" s="79"/>
      <c r="E63" s="79"/>
      <c r="F63" s="79"/>
      <c r="G63" s="79"/>
    </row>
    <row r="64" spans="1:15" x14ac:dyDescent="0.25">
      <c r="A64" s="78" t="s">
        <v>84</v>
      </c>
      <c r="B64" s="79"/>
      <c r="C64" s="79"/>
      <c r="D64" s="79"/>
      <c r="E64" s="79"/>
      <c r="F64" s="79"/>
      <c r="G64" s="79"/>
    </row>
    <row r="65" spans="1:15" x14ac:dyDescent="0.25">
      <c r="A65" s="80" t="s">
        <v>3</v>
      </c>
      <c r="B65" s="12" t="s">
        <v>7</v>
      </c>
      <c r="C65" s="81" t="s">
        <v>5</v>
      </c>
      <c r="D65" s="81" t="s">
        <v>6</v>
      </c>
      <c r="E65" s="82" t="s">
        <v>23</v>
      </c>
      <c r="F65" s="82" t="s">
        <v>25</v>
      </c>
      <c r="G65" s="83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4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79"/>
      <c r="B67" s="79"/>
      <c r="C67" s="79"/>
      <c r="D67" s="79"/>
      <c r="E67" s="79"/>
      <c r="F67" s="79"/>
      <c r="G67" s="79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7" t="s">
        <v>92</v>
      </c>
      <c r="B69" s="98"/>
      <c r="C69" s="98"/>
      <c r="D69" s="98"/>
      <c r="E69" s="98"/>
      <c r="F69" s="98"/>
      <c r="G69" s="99"/>
      <c r="H69" s="79"/>
      <c r="I69" s="79"/>
      <c r="J69" s="79"/>
      <c r="K69" s="79"/>
      <c r="L69" s="79"/>
      <c r="M69" s="79"/>
      <c r="N69" s="79"/>
      <c r="O69" s="79"/>
    </row>
    <row r="70" spans="1:15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 x14ac:dyDescent="0.25">
      <c r="A71" s="78" t="s">
        <v>84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 x14ac:dyDescent="0.25">
      <c r="A72" s="80" t="s">
        <v>3</v>
      </c>
      <c r="B72" s="12" t="s">
        <v>7</v>
      </c>
      <c r="C72" s="81" t="s">
        <v>5</v>
      </c>
      <c r="D72" s="81" t="s">
        <v>6</v>
      </c>
      <c r="E72" s="82" t="s">
        <v>23</v>
      </c>
      <c r="F72" s="82" t="s">
        <v>25</v>
      </c>
      <c r="G72" s="83" t="s">
        <v>26</v>
      </c>
      <c r="H72" s="79"/>
      <c r="I72" s="79"/>
      <c r="J72" s="79" t="s">
        <v>3</v>
      </c>
      <c r="K72" s="79" t="s">
        <v>4</v>
      </c>
      <c r="L72" s="79" t="s">
        <v>5</v>
      </c>
      <c r="M72" s="79" t="s">
        <v>10</v>
      </c>
      <c r="N72" s="79" t="s">
        <v>1</v>
      </c>
      <c r="O72" s="79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4">
        <v>10</v>
      </c>
      <c r="F73" s="9">
        <v>99533.849000000002</v>
      </c>
      <c r="G73" s="9">
        <v>55.296599999999991</v>
      </c>
      <c r="H73" s="79"/>
      <c r="I73" s="79"/>
      <c r="J73" s="63">
        <v>44600</v>
      </c>
      <c r="K73" s="63">
        <v>44600</v>
      </c>
      <c r="L73" s="79" t="s">
        <v>12</v>
      </c>
      <c r="M73" s="79" t="s">
        <v>65</v>
      </c>
      <c r="N73" s="79">
        <v>27.648299999999999</v>
      </c>
      <c r="O73" s="79" t="s">
        <v>66</v>
      </c>
    </row>
    <row r="75" spans="1:15" ht="15.75" thickBot="1" x14ac:dyDescent="0.3"/>
    <row r="76" spans="1:15" ht="15.75" thickBot="1" x14ac:dyDescent="0.3">
      <c r="A76" s="97" t="s">
        <v>93</v>
      </c>
      <c r="B76" s="98"/>
      <c r="C76" s="98"/>
      <c r="D76" s="98"/>
      <c r="E76" s="98"/>
      <c r="F76" s="98"/>
      <c r="G76" s="99"/>
      <c r="H76" s="79"/>
      <c r="I76" s="79"/>
      <c r="J76" s="79"/>
      <c r="K76" s="79"/>
      <c r="L76" s="79"/>
      <c r="M76" s="79"/>
      <c r="N76" s="79"/>
      <c r="O76" s="79"/>
    </row>
    <row r="77" spans="1:15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 x14ac:dyDescent="0.25">
      <c r="A78" s="78" t="s">
        <v>84</v>
      </c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 x14ac:dyDescent="0.25">
      <c r="A79" s="80" t="s">
        <v>3</v>
      </c>
      <c r="B79" s="12" t="s">
        <v>7</v>
      </c>
      <c r="C79" s="81" t="s">
        <v>5</v>
      </c>
      <c r="D79" s="81" t="s">
        <v>6</v>
      </c>
      <c r="E79" s="82" t="s">
        <v>23</v>
      </c>
      <c r="F79" s="82" t="s">
        <v>25</v>
      </c>
      <c r="G79" s="83" t="s">
        <v>26</v>
      </c>
      <c r="H79" s="79"/>
      <c r="I79" s="79"/>
      <c r="J79" s="79" t="s">
        <v>3</v>
      </c>
      <c r="K79" s="79" t="s">
        <v>4</v>
      </c>
      <c r="L79" s="79" t="s">
        <v>5</v>
      </c>
      <c r="M79" s="79" t="s">
        <v>10</v>
      </c>
      <c r="N79" s="79" t="s">
        <v>1</v>
      </c>
      <c r="O79" s="79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4">
        <v>10</v>
      </c>
      <c r="F80" s="9">
        <v>99533.849000000002</v>
      </c>
      <c r="G80" s="9">
        <v>82.94489999999999</v>
      </c>
      <c r="H80" s="79"/>
      <c r="I80" s="79"/>
      <c r="J80" s="63">
        <v>44601</v>
      </c>
      <c r="K80" s="63">
        <v>44601</v>
      </c>
      <c r="L80" s="79" t="s">
        <v>12</v>
      </c>
      <c r="M80" s="79" t="s">
        <v>65</v>
      </c>
      <c r="N80" s="79">
        <v>27.648299999999999</v>
      </c>
      <c r="O80" s="79" t="s">
        <v>66</v>
      </c>
    </row>
    <row r="81" spans="1:26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26" x14ac:dyDescent="0.25">
      <c r="A82" s="78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26" x14ac:dyDescent="0.25">
      <c r="A83" s="15" t="s">
        <v>3</v>
      </c>
      <c r="B83" s="78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26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26" x14ac:dyDescent="0.25">
      <c r="A86" s="78" t="s">
        <v>62</v>
      </c>
    </row>
    <row r="87" spans="1:26" x14ac:dyDescent="0.25">
      <c r="A87" s="15" t="s">
        <v>3</v>
      </c>
      <c r="B87" s="78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  <c r="Y87" s="4" t="s">
        <v>25</v>
      </c>
      <c r="Z87" s="17" t="s">
        <v>26</v>
      </c>
    </row>
    <row r="88" spans="1:26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  <c r="Y88" s="9">
        <v>100000</v>
      </c>
      <c r="Z88" s="9">
        <v>155.55555555555554</v>
      </c>
    </row>
    <row r="89" spans="1:26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/>
      <c r="G89" s="9"/>
      <c r="Y89" s="9">
        <v>100000</v>
      </c>
      <c r="Z89" s="9">
        <v>131.11111111111109</v>
      </c>
    </row>
    <row r="90" spans="1:26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/>
      <c r="G90" s="9"/>
      <c r="Y90" s="9">
        <v>99856.111111111109</v>
      </c>
      <c r="Z90" s="9">
        <v>27.64829136659808</v>
      </c>
    </row>
    <row r="91" spans="1:26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/>
      <c r="G91" s="9"/>
      <c r="Y91" s="9">
        <v>99533.848919753087</v>
      </c>
      <c r="Z91" s="9">
        <v>82.944874099794248</v>
      </c>
    </row>
    <row r="93" spans="1:26" ht="15.75" thickBot="1" x14ac:dyDescent="0.3"/>
    <row r="94" spans="1:26" ht="15.75" thickBot="1" x14ac:dyDescent="0.3">
      <c r="A94" s="97" t="s">
        <v>94</v>
      </c>
      <c r="B94" s="98"/>
      <c r="C94" s="98"/>
      <c r="D94" s="98"/>
      <c r="E94" s="98"/>
      <c r="F94" s="98"/>
      <c r="G94" s="99"/>
    </row>
    <row r="95" spans="1:26" x14ac:dyDescent="0.25">
      <c r="A95" s="79"/>
      <c r="B95" s="79"/>
      <c r="C95" s="79"/>
      <c r="D95" s="79"/>
      <c r="E95" s="79"/>
      <c r="F95" s="79"/>
      <c r="G95" s="79"/>
    </row>
    <row r="96" spans="1:26" x14ac:dyDescent="0.25">
      <c r="A96" s="78" t="s">
        <v>84</v>
      </c>
      <c r="B96" s="79"/>
      <c r="C96" s="79"/>
      <c r="D96" s="79"/>
      <c r="E96" s="79"/>
      <c r="F96" s="79"/>
      <c r="G96" s="79"/>
    </row>
    <row r="97" spans="1:7" x14ac:dyDescent="0.25">
      <c r="A97" s="80" t="s">
        <v>3</v>
      </c>
      <c r="B97" s="12" t="s">
        <v>7</v>
      </c>
      <c r="C97" s="81" t="s">
        <v>5</v>
      </c>
      <c r="D97" s="81" t="s">
        <v>6</v>
      </c>
      <c r="E97" s="82" t="s">
        <v>23</v>
      </c>
      <c r="F97" s="82" t="s">
        <v>25</v>
      </c>
      <c r="G97" s="83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4">
        <v>10</v>
      </c>
      <c r="F98" s="9">
        <v>99563.857300000003</v>
      </c>
      <c r="G98" s="9">
        <v>110.62649999999999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topLeftCell="A13" workbookViewId="0">
      <selection activeCell="B10" sqref="B10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100" t="s">
        <v>29</v>
      </c>
      <c r="B1" s="101"/>
      <c r="C1" s="101"/>
      <c r="D1" s="101"/>
      <c r="E1" s="101"/>
      <c r="F1" s="101"/>
      <c r="G1" s="101"/>
      <c r="H1" s="101"/>
      <c r="I1" s="101"/>
      <c r="J1" s="101"/>
      <c r="K1" s="102"/>
    </row>
    <row r="2" spans="1:14" x14ac:dyDescent="0.25">
      <c r="A2" s="28" t="s">
        <v>14</v>
      </c>
      <c r="B2" s="29">
        <f>EOD!E2/100</f>
        <v>0</v>
      </c>
    </row>
    <row r="3" spans="1:14" s="11" customFormat="1" x14ac:dyDescent="0.25">
      <c r="A3" s="12" t="s">
        <v>5</v>
      </c>
      <c r="B3" s="30">
        <f>EOD!C2</f>
        <v>0</v>
      </c>
    </row>
    <row r="4" spans="1:14" s="11" customFormat="1" x14ac:dyDescent="0.25">
      <c r="A4" s="12" t="s">
        <v>3</v>
      </c>
      <c r="B4" s="31" t="str">
        <f>IF(EOD!A2="","",EOD!A2)</f>
        <v/>
      </c>
      <c r="D4" s="63"/>
    </row>
    <row r="5" spans="1:14" s="69" customFormat="1" x14ac:dyDescent="0.25">
      <c r="A5" s="12" t="s">
        <v>59</v>
      </c>
      <c r="B5" s="31" t="str">
        <f>IF(OR(MIN(TRANX!$B$2:$B$13)=B4,MIN(TRANX!$B$2:$B$13)=0),"",MIN(TRANX!$B$2:$B$13))</f>
        <v/>
      </c>
      <c r="D5" s="63"/>
    </row>
    <row r="6" spans="1:14" s="11" customFormat="1" x14ac:dyDescent="0.25">
      <c r="A6" s="12" t="s">
        <v>53</v>
      </c>
      <c r="B6" s="94">
        <f>COUNT(REPLAY!B2:B13)+1</f>
        <v>1</v>
      </c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95">
        <v>1</v>
      </c>
      <c r="B9" s="33" t="str">
        <f>IFERROR(IF(AND(A9=$B$6,B8&lt;&gt;$B$4),$B$4,IF(MATCH(TRANX!B2,TRANX!B$2:'TRANX'!B$100,0)=ROW(TRANX!B2)-ROW(TRANX!B$2)+1,TRANX!B2,"")),"")</f>
        <v/>
      </c>
      <c r="C9" s="34" t="str">
        <f>IFERROR(IF(B9="","",IF(B5="",VLOOKUP(B9,EOD!$B$2:$G$5,5,FALSE),VLOOKUP(B9,REPLAY!$B$2:$G$3,5,FALSE))),"")</f>
        <v/>
      </c>
      <c r="D9" s="34" t="str">
        <f>IFERROR(IF(B9="","",IF(B5="",VLOOKUP(B9,EOD!$B$2:$G$5,6,FALSE),VLOOKUP(B9,REPLAY!$B$2:$G$3,6,FALSE))),"")</f>
        <v/>
      </c>
      <c r="E9" s="34" t="str">
        <f>IF(B9="","",IF(B10="",0,(B10-B9)-1))</f>
        <v/>
      </c>
      <c r="F9" s="34" t="str">
        <f>IF(B9="","",IF($B$5="",SUMIF(TRANX!$B$2:$E$13,CALCULATION!B9,TRANX!$E$2:$E$13),SUMIF(REPLAY!$B$2:$E$10,CALCULATION!B9,REPLAY!$E$2:$E$10)))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7">
        <f>IF(G9&lt;&gt;"",ROW(),0)</f>
        <v>0</v>
      </c>
      <c r="M9" s="65"/>
      <c r="N9" s="63"/>
    </row>
    <row r="10" spans="1:14" x14ac:dyDescent="0.25">
      <c r="A10" s="95">
        <v>2</v>
      </c>
      <c r="B10" s="33" t="str">
        <f>IFERROR(IF(AND(A10=$B$6,B9&lt;&gt;$B$4),$B$4,IF(MATCH(REPLAY!B3,REPLAY!B$2:'REPLAY'!B$97,0)=ROW(REPLAY!B3)-ROW(REPLAY!B$2)+1,REPLAY!B3,"")),"")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IF(B10="","",IF($B$5="",SUMIF(TRANX!$B$2:$E$13,CALCULATION!B10,TRANX!$E$2:$E$13),SUMIF(REPLAY!$B$2:$E$10,CALCULATION!B10,REPLAY!$E$2:$E$10)))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7">
        <f t="shared" ref="L10:L20" si="6">IF(G10&lt;&gt;"",ROW(),0)</f>
        <v>0</v>
      </c>
      <c r="M10" s="65"/>
      <c r="N10" s="63"/>
    </row>
    <row r="11" spans="1:14" x14ac:dyDescent="0.25">
      <c r="A11" s="95">
        <v>3</v>
      </c>
      <c r="B11" s="33" t="str">
        <f>IFERROR(IF(AND(A11=$B$6,B10&lt;&gt;$B$4),$B$4,IF(MATCH(REPLAY!B4,REPLAY!B$2:'REPLAY'!B$97,0)=ROW(REPLAY!B4)-ROW(REPLAY!B$2)+1,REPLAY!B4,"")),"")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IF(B11="","",IF($B$5="",SUMIF(TRANX!$B$2:$E$13,CALCULATION!B11,TRANX!$E$2:$E$13),SUMIF(REPLAY!$B$2:$E$10,CALCULATION!B11,REPLAY!$E$2:$E$10)))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7">
        <f t="shared" si="6"/>
        <v>0</v>
      </c>
      <c r="M11" s="65"/>
      <c r="N11" s="63"/>
    </row>
    <row r="12" spans="1:14" x14ac:dyDescent="0.25">
      <c r="A12" s="95">
        <v>4</v>
      </c>
      <c r="B12" s="33" t="str">
        <f>IFERROR(IF(AND(A12=$B$6,B11&lt;&gt;$B$4),$B$4,IF(MATCH(REPLAY!B5,REPLAY!B$2:'REPLAY'!B$97,0)=ROW(REPLAY!B5)-ROW(REPLAY!B$2)+1,REPLAY!B5,"")),"")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IF(B12="","",IF($B$5="",SUMIF(TRANX!$B$2:$E$13,CALCULATION!B12,TRANX!$E$2:$E$13),SUMIF(REPLAY!$B$2:$E$10,CALCULATION!B12,REPLAY!$E$2:$E$10)))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7">
        <f t="shared" si="6"/>
        <v>0</v>
      </c>
      <c r="M12" s="65"/>
      <c r="N12" s="63"/>
    </row>
    <row r="13" spans="1:14" x14ac:dyDescent="0.25">
      <c r="A13" s="95">
        <v>5</v>
      </c>
      <c r="B13" s="33" t="str">
        <f>IFERROR(IF(AND(A13=$B$6,B12&lt;&gt;$B$4),$B$4,IF(MATCH(REPLAY!B6,REPLAY!B$2:'REPLAY'!B$97,0)=ROW(REPLAY!B6)-ROW(REPLAY!B$2)+1,REPLAY!B6,"")),"")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IF(B13="","",IF($B$5="",SUMIF(TRANX!$B$2:$E$13,CALCULATION!B13,TRANX!$E$2:$E$13),SUMIF(REPLAY!$B$2:$E$10,CALCULATION!B13,REPLAY!$E$2:$E$10)))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7">
        <f t="shared" si="6"/>
        <v>0</v>
      </c>
      <c r="M13" s="64"/>
      <c r="N13" s="63"/>
    </row>
    <row r="14" spans="1:14" x14ac:dyDescent="0.25">
      <c r="A14" s="95">
        <v>6</v>
      </c>
      <c r="B14" s="33" t="str">
        <f>IFERROR(IF(AND(A14=$B$6,B13&lt;&gt;$B$4),$B$4,IF(MATCH(REPLAY!B7,REPLAY!B$2:'REPLAY'!B$97,0)=ROW(REPLAY!B7)-ROW(REPLAY!B$2)+1,REPLAY!B7,"")),"")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IF(B14="","",IF($B$5="",SUMIF(TRANX!$B$2:$E$13,CALCULATION!B14,TRANX!$E$2:$E$13),SUMIF(REPLAY!$B$2:$E$10,CALCULATION!B14,REPLAY!$E$2:$E$10)))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7">
        <f t="shared" si="6"/>
        <v>0</v>
      </c>
      <c r="M14" s="63"/>
      <c r="N14" s="63"/>
    </row>
    <row r="15" spans="1:14" x14ac:dyDescent="0.25">
      <c r="A15" s="95">
        <v>7</v>
      </c>
      <c r="B15" s="33" t="str">
        <f>IFERROR(IF(AND(A15=$B$6,B14&lt;&gt;$B$4),$B$4,IF(MATCH(REPLAY!B8,REPLAY!B$2:'REPLAY'!B$97,0)=ROW(REPLAY!B8)-ROW(REPLAY!B$2)+1,REPLAY!B8,"")),"")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IF(B15="","",IF($B$5="",SUMIF(TRANX!$B$2:$E$13,CALCULATION!B15,TRANX!$E$2:$E$13),SUMIF(REPLAY!$B$2:$E$10,CALCULATION!B15,REPLAY!$E$2:$E$10)))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7">
        <f t="shared" si="6"/>
        <v>0</v>
      </c>
      <c r="M15" s="63"/>
      <c r="N15" s="63"/>
    </row>
    <row r="16" spans="1:14" x14ac:dyDescent="0.25">
      <c r="A16" s="95">
        <v>8</v>
      </c>
      <c r="B16" s="33" t="str">
        <f>IFERROR(IF(AND(A16=$B$6,B15&lt;&gt;$B$4),$B$4,IF(MATCH(REPLAY!B9,REPLAY!B$2:'REPLAY'!B$97,0)=ROW(REPLAY!B9)-ROW(REPLAY!B$2)+1,REPLAY!B9,"")),"")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IF(B16="","",IF($B$5="",SUMIF(TRANX!$B$2:$E$13,CALCULATION!B16,TRANX!$E$2:$E$13),SUMIF(REPLAY!$B$2:$E$10,CALCULATION!B16,REPLAY!$E$2:$E$10)))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7">
        <f t="shared" si="6"/>
        <v>0</v>
      </c>
      <c r="M16" s="63" t="str">
        <f>IFERROR(IF(AND(A16=$B$6,B15&lt;&gt;$B$4),$B$4,IF(MATCH(TRANX!B9,TRANX!B$2:'TRANX'!B$100,0)=ROW(TRANX!B9)-ROW(TRANX!B$2)+1,TRANX!B9,"")),"")</f>
        <v/>
      </c>
      <c r="N16" s="63" t="str">
        <f t="shared" ref="N16:N20" si="9">IFERROR(SMALL($M$9:$M$12,A16),"")</f>
        <v/>
      </c>
    </row>
    <row r="17" spans="1:14" x14ac:dyDescent="0.25">
      <c r="A17" s="95">
        <v>9</v>
      </c>
      <c r="B17" s="33" t="str">
        <f>IFERROR(IF(AND(A17=$B$6,B16&lt;&gt;$B$4),$B$4,IF(MATCH(REPLAY!B10,REPLAY!B$2:'REPLAY'!B$97,0)=ROW(REPLAY!B10)-ROW(REPLAY!B$2)+1,REPLAY!B10,"")),"")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IF(B17="","",IF($B$5="",SUMIF(TRANX!$B$2:$E$13,CALCULATION!B17,TRANX!$E$2:$E$13),SUMIF(REPLAY!$B$2:$E$10,CALCULATION!B17,REPLAY!$E$2:$E$10)))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7">
        <f t="shared" si="6"/>
        <v>0</v>
      </c>
      <c r="M17" s="63" t="str">
        <f>IFERROR(IF(AND(A17=$B$6,B16&lt;&gt;$B$4),$B$4,IF(MATCH(TRANX!B10,TRANX!B$2:'TRANX'!B$100,0)=ROW(TRANX!B10)-ROW(TRANX!B$2)+1,TRANX!B10,"")),"")</f>
        <v/>
      </c>
      <c r="N17" s="63" t="str">
        <f t="shared" si="9"/>
        <v/>
      </c>
    </row>
    <row r="18" spans="1:14" x14ac:dyDescent="0.25">
      <c r="A18" s="95">
        <v>10</v>
      </c>
      <c r="B18" s="33" t="str">
        <f>IFERROR(IF(AND(A18=$B$6,B17&lt;&gt;$B$4),$B$4,IF(MATCH(REPLAY!B11,REPLAY!B$2:'REPLAY'!B$97,0)=ROW(REPLAY!B11)-ROW(REPLAY!B$2)+1,REPLAY!B11,"")),"")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IF(B18="","",IF($B$5="",SUMIF(TRANX!$B$2:$E$13,CALCULATION!B18,TRANX!$E$2:$E$13),SUMIF(REPLAY!$B$2:$E$10,CALCULATION!B18,REPLAY!$E$2:$E$10)))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7">
        <f t="shared" si="6"/>
        <v>0</v>
      </c>
      <c r="M18" s="63" t="str">
        <f>IFERROR(IF(AND(A18=$B$6,B17&lt;&gt;$B$4),$B$4,IF(MATCH(TRANX!B11,TRANX!B$2:'TRANX'!B$100,0)=ROW(TRANX!B11)-ROW(TRANX!B$2)+1,TRANX!B11,"")),"")</f>
        <v/>
      </c>
      <c r="N18" s="63" t="str">
        <f t="shared" si="9"/>
        <v/>
      </c>
    </row>
    <row r="19" spans="1:14" x14ac:dyDescent="0.25">
      <c r="A19" s="95">
        <v>11</v>
      </c>
      <c r="B19" s="33" t="str">
        <f>IFERROR(IF(AND(A19=$B$6,B18&lt;&gt;$B$4),$B$4,IF(MATCH(REPLAY!B12,REPLAY!B$2:'REPLAY'!B$97,0)=ROW(REPLAY!B12)-ROW(REPLAY!B$2)+1,REPLAY!B12,"")),"")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IF(B19="","",IF($B$5="",SUMIF(TRANX!$B$2:$E$13,CALCULATION!B19,TRANX!$E$2:$E$13),SUMIF(REPLAY!$B$2:$E$10,CALCULATION!B19,REPLAY!$E$2:$E$10)))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7">
        <f t="shared" si="6"/>
        <v>0</v>
      </c>
      <c r="M19" s="63" t="str">
        <f>IFERROR(IF(AND(A19=$B$6,B18&lt;&gt;$B$4),$B$4,IF(MATCH(TRANX!B12,TRANX!B$2:'TRANX'!B$100,0)=ROW(TRANX!B12)-ROW(TRANX!B$2)+1,TRANX!B12,"")),"")</f>
        <v/>
      </c>
      <c r="N19" s="63" t="str">
        <f t="shared" si="9"/>
        <v/>
      </c>
    </row>
    <row r="20" spans="1:14" ht="15.75" thickBot="1" x14ac:dyDescent="0.3">
      <c r="A20" s="95">
        <v>12</v>
      </c>
      <c r="B20" s="33" t="str">
        <f>IFERROR(IF(AND(A20=$B$6,B19&lt;&gt;$B$4),$B$4,IF(MATCH(REPLAY!B13,REPLAY!B$2:'REPLAY'!B$97,0)=ROW(REPLAY!B13)-ROW(REPLAY!B$2)+1,REPLAY!B13,"")),"")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IF(B20="","",IF($B$5="",SUMIF(TRANX!$B$2:$E$13,CALCULATION!B20,TRANX!$E$2:$E$13),SUMIF(REPLAY!$B$2:$E$10,CALCULATION!B20,REPLAY!$E$2:$E$10)))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7">
        <f t="shared" si="6"/>
        <v>0</v>
      </c>
      <c r="M20" s="63" t="str">
        <f>IFERROR(IF(AND(A20=$B$6,B19&lt;&gt;$B$4),$B$4,IF(MATCH(TRANX!B13,TRANX!B$2:'TRANX'!B$100,0)=ROW(TRANX!B13)-ROW(TRANX!B$2)+1,TRANX!B13,"")),"")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3" t="s">
        <v>30</v>
      </c>
      <c r="B24" s="104"/>
      <c r="C24" s="104"/>
      <c r="D24" s="104"/>
      <c r="E24" s="104"/>
      <c r="F24" s="104"/>
      <c r="G24" s="104"/>
      <c r="H24" s="104"/>
      <c r="I24" s="104"/>
      <c r="J24" s="104"/>
      <c r="K24" s="105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IF(EOD!B2="","",EOD!B2)</f>
        <v/>
      </c>
      <c r="C26" s="43">
        <f>EOD!F2</f>
        <v>0</v>
      </c>
      <c r="D26" s="43">
        <f>EOD!G2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103" t="s">
        <v>32</v>
      </c>
      <c r="B28" s="105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7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3" t="s">
        <v>33</v>
      </c>
      <c r="B34" s="105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6">
        <f>IF(C9="",0,I21-I26)</f>
        <v>0</v>
      </c>
    </row>
    <row r="37" spans="1:6" ht="15.75" thickBot="1" x14ac:dyDescent="0.3"/>
    <row r="38" spans="1:6" ht="15.75" thickBot="1" x14ac:dyDescent="0.3">
      <c r="A38" s="100" t="s">
        <v>0</v>
      </c>
      <c r="B38" s="101"/>
      <c r="C38" s="101"/>
      <c r="D38" s="101"/>
      <c r="E38" s="101"/>
      <c r="F38" s="102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IF(A40="","",EOD!$D$2)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IF(A41="","",EOD!$D$2)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>IF(A42="","",EOD!$D$2)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>IF(A43="","",EOD!$D$2)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IF(A44="","",EOD!$D$2)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69" customFormat="1" x14ac:dyDescent="0.25">
      <c r="A1" s="106" t="s">
        <v>63</v>
      </c>
      <c r="B1" s="106"/>
      <c r="C1" s="106"/>
      <c r="D1" s="106"/>
      <c r="E1" s="106"/>
      <c r="F1" s="106"/>
      <c r="G1" s="106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69" customFormat="1" x14ac:dyDescent="0.25">
      <c r="A2" s="68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8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8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6" t="s">
        <v>64</v>
      </c>
      <c r="B16" s="106"/>
      <c r="C16" s="106"/>
      <c r="D16" s="106"/>
      <c r="E16" s="106"/>
      <c r="F16" s="106"/>
      <c r="G16" s="106"/>
    </row>
    <row r="17" spans="1:15" x14ac:dyDescent="0.25">
      <c r="A17" s="68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8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8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6" t="s">
        <v>70</v>
      </c>
      <c r="B30" s="106"/>
      <c r="C30" s="106"/>
      <c r="D30" s="106"/>
      <c r="E30" s="106"/>
      <c r="F30" s="106"/>
      <c r="G30" s="106"/>
    </row>
    <row r="33" spans="1:15" x14ac:dyDescent="0.25">
      <c r="A33" s="68" t="s">
        <v>60</v>
      </c>
      <c r="B33" s="69"/>
      <c r="C33" s="69"/>
      <c r="D33" s="69"/>
      <c r="E33" s="69"/>
      <c r="F33" s="69"/>
      <c r="G33" s="69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8" t="s">
        <v>61</v>
      </c>
      <c r="B37" s="69"/>
      <c r="C37" s="69"/>
      <c r="D37" s="69"/>
      <c r="E37" s="69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6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6" t="s">
        <v>61</v>
      </c>
    </row>
    <row r="13" spans="1:3" x14ac:dyDescent="0.25">
      <c r="A13" s="77" t="s">
        <v>73</v>
      </c>
      <c r="B13" t="s">
        <v>81</v>
      </c>
    </row>
    <row r="14" spans="1:3" x14ac:dyDescent="0.25">
      <c r="A14" s="77" t="s">
        <v>82</v>
      </c>
      <c r="B14" t="s">
        <v>48</v>
      </c>
    </row>
    <row r="17" spans="1:3" x14ac:dyDescent="0.25">
      <c r="A17" s="77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6" t="s">
        <v>62</v>
      </c>
    </row>
    <row r="21" spans="1:3" x14ac:dyDescent="0.25">
      <c r="A21" s="77" t="s">
        <v>73</v>
      </c>
      <c r="B21" s="77" t="s">
        <v>81</v>
      </c>
    </row>
    <row r="22" spans="1:3" x14ac:dyDescent="0.25">
      <c r="A22" s="77" t="s">
        <v>83</v>
      </c>
      <c r="B22" s="77" t="s">
        <v>48</v>
      </c>
    </row>
    <row r="24" spans="1:3" x14ac:dyDescent="0.25">
      <c r="A24" s="77" t="s">
        <v>75</v>
      </c>
      <c r="B24" s="77"/>
      <c r="C24" s="77"/>
    </row>
    <row r="25" spans="1:3" x14ac:dyDescent="0.25">
      <c r="A25" s="77" t="s">
        <v>34</v>
      </c>
      <c r="B25" s="77" t="s">
        <v>76</v>
      </c>
      <c r="C25" s="77" t="s">
        <v>77</v>
      </c>
    </row>
    <row r="26" spans="1:3" x14ac:dyDescent="0.25">
      <c r="A26" s="77" t="s">
        <v>0</v>
      </c>
      <c r="B26" s="77" t="s">
        <v>1</v>
      </c>
      <c r="C26" s="77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D1" sqref="D1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2" customWidth="1"/>
    <col min="4" max="4" width="32.7109375" style="9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1" t="s">
        <v>5</v>
      </c>
      <c r="D1" s="93" t="s">
        <v>98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3" t="str">
        <f>CALCULATION!C40</f>
        <v/>
      </c>
      <c r="D2" s="3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7" t="s">
        <v>54</v>
      </c>
      <c r="B5" s="107"/>
      <c r="C5" s="107"/>
      <c r="D5" s="107"/>
      <c r="E5" s="107"/>
      <c r="F5" s="107"/>
      <c r="H5" s="108" t="s">
        <v>46</v>
      </c>
      <c r="I5" s="108"/>
      <c r="J5" s="108"/>
      <c r="K5" s="108"/>
      <c r="L5" s="108"/>
      <c r="M5" s="108"/>
      <c r="P5" s="107" t="s">
        <v>54</v>
      </c>
      <c r="Q5" s="107"/>
      <c r="R5" s="107"/>
      <c r="S5" s="107"/>
      <c r="T5" s="107"/>
      <c r="U5" s="107"/>
      <c r="W5" s="107" t="s">
        <v>46</v>
      </c>
      <c r="X5" s="107"/>
      <c r="Y5" s="107"/>
      <c r="Z5" s="107"/>
      <c r="AA5" s="107"/>
      <c r="AB5" s="107"/>
    </row>
    <row r="6" spans="1:28" x14ac:dyDescent="0.25">
      <c r="A6" s="70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0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0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0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5">
        <v>0</v>
      </c>
      <c r="K7" s="65">
        <v>100</v>
      </c>
      <c r="M7" s="65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5">
        <v>0</v>
      </c>
      <c r="Z7" s="65">
        <v>100</v>
      </c>
      <c r="AB7" s="65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5">
        <f t="shared" ref="J8:J16" si="1">M7</f>
        <v>100</v>
      </c>
      <c r="K8" s="71">
        <f>(F8*$Q$1)/360</f>
        <v>27.777777777777779</v>
      </c>
      <c r="M8" s="65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5">
        <f t="shared" ref="Y8:Y16" si="3">AB7</f>
        <v>100</v>
      </c>
      <c r="Z8" s="71">
        <f>(U8*$Q$1)/360</f>
        <v>27.777777777777779</v>
      </c>
      <c r="AB8" s="65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5">
        <f t="shared" si="1"/>
        <v>127.77777777777777</v>
      </c>
      <c r="K9" s="71">
        <f>(F9*$Q$1)/360</f>
        <v>27.777777777777779</v>
      </c>
      <c r="M9" s="65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5">
        <f t="shared" si="3"/>
        <v>127.77777777777777</v>
      </c>
      <c r="Z9" s="71">
        <f>(U9*$Q$1)/360</f>
        <v>27.777777777777779</v>
      </c>
      <c r="AB9" s="65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5">
        <v>0</v>
      </c>
      <c r="F10" s="65">
        <f>C10+E10</f>
        <v>100000</v>
      </c>
      <c r="G10" s="65"/>
      <c r="H10" s="63">
        <v>44595</v>
      </c>
      <c r="I10" s="11" t="s">
        <v>42</v>
      </c>
      <c r="J10" s="65">
        <f t="shared" si="1"/>
        <v>155.55555555555554</v>
      </c>
      <c r="K10" s="71">
        <f>+(F10*$Q$1/360)</f>
        <v>27.777777777777779</v>
      </c>
      <c r="L10" s="65">
        <v>0</v>
      </c>
      <c r="M10" s="65">
        <f t="shared" ref="M10:M16" si="4">J10+K10+L10</f>
        <v>183.33333333333331</v>
      </c>
      <c r="N10" s="65"/>
      <c r="O10" s="72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5">
        <v>0</v>
      </c>
      <c r="U10" s="65">
        <f>R10+T10</f>
        <v>100000</v>
      </c>
      <c r="W10" s="63">
        <v>44595</v>
      </c>
      <c r="X10" s="11" t="s">
        <v>42</v>
      </c>
      <c r="Y10" s="65">
        <f t="shared" si="3"/>
        <v>155.55555555555554</v>
      </c>
      <c r="Z10" s="71">
        <f>(U10*$Q$1/360)</f>
        <v>27.777777777777779</v>
      </c>
      <c r="AA10" s="11">
        <f>-S10</f>
        <v>0</v>
      </c>
      <c r="AB10" s="65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5"/>
      <c r="H11" s="63">
        <v>44596</v>
      </c>
      <c r="I11" s="11" t="s">
        <v>42</v>
      </c>
      <c r="J11" s="65">
        <f t="shared" si="1"/>
        <v>183.33333333333331</v>
      </c>
      <c r="K11" s="71">
        <f>(F11*$Q$1)/360</f>
        <v>27.777777777777779</v>
      </c>
      <c r="L11" s="65"/>
      <c r="M11" s="65">
        <f t="shared" si="4"/>
        <v>211.11111111111109</v>
      </c>
      <c r="O11" s="72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5">
        <f t="shared" si="3"/>
        <v>183.33333333333331</v>
      </c>
      <c r="Z11" s="71">
        <f>(U11*$Q$1)/360</f>
        <v>27.777777777777779</v>
      </c>
      <c r="AB11" s="65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5">
        <v>0</v>
      </c>
      <c r="F12" s="11">
        <f>C12+E12</f>
        <v>100000</v>
      </c>
      <c r="G12" s="65"/>
      <c r="H12" s="63">
        <v>44597</v>
      </c>
      <c r="I12" s="11" t="s">
        <v>42</v>
      </c>
      <c r="J12" s="65">
        <f t="shared" si="1"/>
        <v>211.11111111111109</v>
      </c>
      <c r="K12" s="71">
        <f>+(F12*$Q$1/360)</f>
        <v>27.777777777777779</v>
      </c>
      <c r="L12" s="65">
        <v>0</v>
      </c>
      <c r="M12" s="65">
        <f t="shared" si="4"/>
        <v>238.88888888888886</v>
      </c>
      <c r="N12" s="65"/>
      <c r="O12" s="72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5">
        <v>0</v>
      </c>
      <c r="U12" s="11">
        <f>R12+T12</f>
        <v>100000</v>
      </c>
      <c r="W12" s="63">
        <v>44597</v>
      </c>
      <c r="X12" s="11" t="s">
        <v>42</v>
      </c>
      <c r="Y12" s="65">
        <f t="shared" si="3"/>
        <v>211.11111111111109</v>
      </c>
      <c r="Z12" s="71">
        <f>+(U12*$Q$1/360)</f>
        <v>27.777777777777779</v>
      </c>
      <c r="AA12" s="65">
        <v>0</v>
      </c>
      <c r="AB12" s="65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5">
        <v>0</v>
      </c>
      <c r="F13" s="11">
        <f t="shared" ref="F13:F16" si="6">C13+E13</f>
        <v>100000</v>
      </c>
      <c r="G13" s="65"/>
      <c r="H13" s="63">
        <v>44598</v>
      </c>
      <c r="I13" s="11" t="s">
        <v>42</v>
      </c>
      <c r="J13" s="65">
        <f t="shared" si="1"/>
        <v>238.88888888888886</v>
      </c>
      <c r="K13" s="71">
        <f>(F13*$Q$1/360)</f>
        <v>27.777777777777779</v>
      </c>
      <c r="L13" s="65">
        <v>0</v>
      </c>
      <c r="M13" s="65">
        <f t="shared" si="4"/>
        <v>266.66666666666663</v>
      </c>
      <c r="N13" s="73"/>
      <c r="O13" s="72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5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5">
        <f t="shared" si="3"/>
        <v>238.88888888888886</v>
      </c>
      <c r="Z13" s="71">
        <f>(U13*$Q$1/360)</f>
        <v>27.777777777777779</v>
      </c>
      <c r="AA13" s="65">
        <v>0</v>
      </c>
      <c r="AB13" s="65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5"/>
      <c r="H14" s="63">
        <v>44599</v>
      </c>
      <c r="I14" s="11" t="s">
        <v>42</v>
      </c>
      <c r="J14" s="65">
        <f t="shared" si="1"/>
        <v>266.66666666666663</v>
      </c>
      <c r="K14" s="71">
        <f>(F14*$Q$1)/360</f>
        <v>27.777777777777779</v>
      </c>
      <c r="L14" s="65"/>
      <c r="M14" s="65">
        <f t="shared" si="4"/>
        <v>294.4444444444444</v>
      </c>
      <c r="O14" s="72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5">
        <f t="shared" si="3"/>
        <v>266.66666666666663</v>
      </c>
      <c r="Z14" s="71">
        <f>(U14*$Q$1)/360</f>
        <v>27.777777777777779</v>
      </c>
      <c r="AB14" s="65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5"/>
      <c r="H15" s="63">
        <v>44600</v>
      </c>
      <c r="I15" s="61" t="s">
        <v>42</v>
      </c>
      <c r="J15" s="74">
        <f t="shared" si="1"/>
        <v>294.4444444444444</v>
      </c>
      <c r="K15" s="75">
        <f>(F15*$Q$1)/360</f>
        <v>27.777777777777779</v>
      </c>
      <c r="L15" s="65"/>
      <c r="M15" s="65">
        <f t="shared" si="4"/>
        <v>322.22222222222217</v>
      </c>
      <c r="O15" s="72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4">
        <f t="shared" si="3"/>
        <v>294.4444444444444</v>
      </c>
      <c r="Z15" s="75">
        <f>(U15*$Q$1)/360</f>
        <v>27.777777777777779</v>
      </c>
      <c r="AB15" s="65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4">
        <f t="shared" si="1"/>
        <v>322.22222222222217</v>
      </c>
      <c r="K16" s="75">
        <v>0</v>
      </c>
      <c r="L16" s="65"/>
      <c r="M16" s="65">
        <f t="shared" si="4"/>
        <v>322.22222222222217</v>
      </c>
      <c r="N16" s="73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4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4">
        <f t="shared" si="3"/>
        <v>322.22222222222217</v>
      </c>
      <c r="Z16" s="75">
        <f>(U16*$Q$1)/360</f>
        <v>27.756172839506174</v>
      </c>
      <c r="AA16" s="65">
        <f>-AB15</f>
        <v>-322.22222222222217</v>
      </c>
      <c r="AB16" s="65">
        <f t="shared" si="5"/>
        <v>27.756172839506178</v>
      </c>
    </row>
    <row r="17" spans="26:28" x14ac:dyDescent="0.25">
      <c r="AB17" s="65">
        <f>AB16-M16</f>
        <v>-294.46604938271599</v>
      </c>
    </row>
    <row r="18" spans="26:28" x14ac:dyDescent="0.25">
      <c r="AA18" s="65">
        <f>AB16-M16</f>
        <v>-294.46604938271599</v>
      </c>
    </row>
    <row r="19" spans="26:28" x14ac:dyDescent="0.25">
      <c r="Z19" s="65">
        <f>J16</f>
        <v>322.22222222222217</v>
      </c>
    </row>
    <row r="20" spans="26:28" x14ac:dyDescent="0.25">
      <c r="Z20" s="65">
        <f>Z16</f>
        <v>27.756172839506174</v>
      </c>
    </row>
    <row r="21" spans="26:28" x14ac:dyDescent="0.25">
      <c r="Z21" s="65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TRANX</vt:lpstr>
      <vt:lpstr>EOD</vt:lpstr>
      <vt:lpstr>REPLAY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2025-12-30T15:16:17Z</dcterms:modified>
  <dc:language>en-US</dc:language>
</cp:coreProperties>
</file>