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01AD1572-B4E9-49B5-925B-9CA29E6485C0}" xr6:coauthVersionLast="47" xr6:coauthVersionMax="47" xr10:uidLastSave="{00000000-0000-0000-0000-000000000000}"/>
  <bookViews>
    <workbookView xWindow="-120" yWindow="-120" windowWidth="29040" windowHeight="17520" tabRatio="500" activeTab="5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1" i="29" l="1"/>
  <c r="I21" i="29"/>
  <c r="H21" i="29"/>
  <c r="G21" i="29"/>
  <c r="T16" i="32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26" i="29" l="1"/>
  <c r="B4" i="29"/>
  <c r="B5" i="29" s="1"/>
  <c r="B9" i="29" l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B3" i="29"/>
  <c r="D26" i="29"/>
  <c r="C26" i="29"/>
  <c r="B2" i="29"/>
  <c r="F10" i="29" l="1"/>
  <c r="C9" i="29"/>
  <c r="F9" i="29"/>
  <c r="D9" i="29"/>
  <c r="A2" i="7"/>
  <c r="D40" i="29"/>
  <c r="H6" i="30"/>
  <c r="E5" i="30"/>
  <c r="I5" i="30"/>
  <c r="F40" i="29"/>
  <c r="F2" i="7" s="1"/>
  <c r="C40" i="29"/>
  <c r="C2" i="7" s="1"/>
  <c r="B40" i="29"/>
  <c r="B2" i="7" s="1"/>
  <c r="E26" i="29"/>
  <c r="F11" i="29" l="1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H12" i="29" l="1"/>
  <c r="I12" i="29" s="1"/>
  <c r="J12" i="29" l="1"/>
  <c r="K12" i="29" s="1"/>
  <c r="B31" i="29"/>
  <c r="A42" i="29" s="1"/>
  <c r="E42" i="29" s="1"/>
  <c r="G26" i="29"/>
  <c r="H26" i="29" l="1"/>
  <c r="I26" i="29" s="1"/>
  <c r="J26" i="29" s="1"/>
  <c r="B35" i="29"/>
  <c r="A43" i="29" s="1"/>
  <c r="E43" i="29" s="1"/>
  <c r="B42" i="29"/>
  <c r="B4" i="7" s="1"/>
  <c r="C42" i="29"/>
  <c r="C4" i="7" s="1"/>
  <c r="A4" i="7"/>
  <c r="E4" i="7"/>
  <c r="D42" i="29"/>
  <c r="D4" i="7" s="1"/>
  <c r="F42" i="29"/>
  <c r="F4" i="7" s="1"/>
  <c r="B36" i="29" l="1"/>
  <c r="A44" i="29" s="1"/>
  <c r="E44" i="29" s="1"/>
  <c r="E6" i="7" s="1"/>
  <c r="E5" i="7"/>
  <c r="F43" i="29"/>
  <c r="F5" i="7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A41" i="29" l="1"/>
  <c r="B44" i="29"/>
  <c r="B6" i="7" s="1"/>
  <c r="F44" i="29"/>
  <c r="F6" i="7" s="1"/>
  <c r="D44" i="29"/>
  <c r="D6" i="7" s="1"/>
  <c r="A6" i="7"/>
  <c r="C44" i="29"/>
  <c r="C6" i="7" s="1"/>
  <c r="D2" i="7" l="1"/>
  <c r="E2" i="7"/>
  <c r="E41" i="29"/>
  <c r="E3" i="7" s="1"/>
  <c r="F41" i="29"/>
  <c r="F3" i="7" s="1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<sst xmlns="http://schemas.openxmlformats.org/spreadsheetml/2006/main" count="659" uniqueCount="100">
  <si>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</si>
  <si>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</si>
  <si>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</si>
  <si>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</si>
  <si>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</si>
  <si>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</si>
  <si>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</si>
  <si>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</si>
  <si>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</si>
  <si>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</si>
  <si>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</si>
  <si>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</si>
  <si>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</si>
  <si>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</si>
  <si>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</si>
  <si>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</si>
  <si>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</si>
  <si>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</si>
  <si>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</si>
  <si>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</si>
  <si>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</si>
  <si>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</si>
  <si>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</si>
  <si>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</si>
  <si>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</si>
  <si>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</si>
  <si>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</si>
  <si>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</si>
  <si>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</si>
  <si>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</si>
  <si>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</si>
  <si>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</si>
  <si>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</si>
  <si>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</si>
  <si>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</si>
  <si>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</si>
  <si>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</si>
  <si>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</si>
  <si>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</si>
  <si>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</si>
  <si>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</si>
  <si>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</si>
  <si>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</si>
  <si>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</si>
  <si>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</si>
  <si>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</si>
  <si>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</si>
  <si>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</si>
  <si>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</si>
  <si>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</si>
  <si>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</si>
  <si>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</si>
  <si>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</si>
  <si>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</si>
  <si>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</si>
  <si>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</si>
  <si>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</si>
  <si>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</si>
  <si>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</si>
  <si>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</si>
  <si>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</si>
  <si>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</si>
  <si>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</si>
  <si>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</si>
  <si>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</si>
  <si>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</si>
  <si>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</si>
  <si>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</si>
  <si>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</si>
  <si>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</si>
  <si>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</si>
  <si>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</si>
  <si>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</si>
  <si>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</si>
  <si>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</si>
  <si>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</si>
  <si>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</si>
  <si>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</si>
  <si>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</si>
  <si>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</si>
  <si>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</si>
  <si>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</si>
  <si>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</si>
  <si>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</si>
  <si>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</si>
  <si>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</si>
  <si>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</si>
  <si>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</si>
  <si>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</si>
  <si>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</si>
  <si>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</si>
  <si>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</si>
  <si>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</si>
  <si>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</si>
  <si>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</si>
  <si>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</si>
  <si>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BALANCES_BEGINNINGBALANCE_Unpaid_Principal_Balance</t>
  </si>
  <si>
    <t>BALANCES_BEGINNINGBALANCE_Accrued_Interest_Receivable</t>
  </si>
  <si>
    <t>ATTRIBUTES_INTEREST_RATE_CURRENT</t>
  </si>
  <si>
    <t>Helper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</si>
</sst>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2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89" t="s">
        <v>0</v>
      </c>
      <c r="B1" s="89"/>
      <c r="C1" s="89"/>
      <c r="D1" s="89"/>
      <c r="E1" s="89"/>
      <c r="F1" s="89"/>
      <c r="H1" s="89" t="s">
        <v>34</v>
      </c>
      <c r="I1" s="89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10" t="s">
        <v>7</v>
      </c>
      <c r="C1" s="14" t="s">
        <v>5</v>
      </c>
      <c r="D1" s="14" t="s">
        <v>6</v>
      </c>
      <c r="E1" s="4" t="s">
        <v>98</v>
      </c>
      <c r="F1" s="4" t="s">
        <v>96</v>
      </c>
      <c r="G1" s="17" t="s">
        <v>97</v>
      </c>
    </row>
    <row r="2" spans="1:7" x14ac:dyDescent="0.25">
      <c r="A2" s="63"/>
      <c r="B2" s="63"/>
      <c r="C2" s="8"/>
      <c r="D2" s="8"/>
      <c r="E2" s="85"/>
      <c r="F2" s="9"/>
      <c r="G2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A2" sqref="A2:G5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96</v>
      </c>
      <c r="G1" s="17" t="s">
        <v>97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topLeftCell="A75" workbookViewId="0">
      <selection activeCell="A88" sqref="A88:G9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0" t="s">
        <v>85</v>
      </c>
      <c r="B1" s="91"/>
      <c r="C1" s="91"/>
      <c r="D1" s="91"/>
      <c r="E1" s="91"/>
      <c r="F1" s="91"/>
      <c r="G1" s="92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0" t="s">
        <v>86</v>
      </c>
      <c r="B8" s="91"/>
      <c r="C8" s="91"/>
      <c r="D8" s="91"/>
      <c r="E8" s="91"/>
      <c r="F8" s="91"/>
      <c r="G8" s="92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0" t="s">
        <v>87</v>
      </c>
      <c r="B15" s="91"/>
      <c r="C15" s="91"/>
      <c r="D15" s="91"/>
      <c r="E15" s="91"/>
      <c r="F15" s="91"/>
      <c r="G15" s="92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0" t="s">
        <v>88</v>
      </c>
      <c r="B22" s="91"/>
      <c r="C22" s="91"/>
      <c r="D22" s="91"/>
      <c r="E22" s="91"/>
      <c r="F22" s="91"/>
      <c r="G22" s="92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0" t="s">
        <v>89</v>
      </c>
      <c r="B33" s="91"/>
      <c r="C33" s="91"/>
      <c r="D33" s="91"/>
      <c r="E33" s="91"/>
      <c r="F33" s="91"/>
      <c r="G33" s="92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0" t="s">
        <v>89</v>
      </c>
      <c r="B40" s="91"/>
      <c r="C40" s="91"/>
      <c r="D40" s="91"/>
      <c r="E40" s="91"/>
      <c r="F40" s="91"/>
      <c r="G40" s="92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0" t="s">
        <v>90</v>
      </c>
      <c r="B51" s="91"/>
      <c r="C51" s="91"/>
      <c r="D51" s="91"/>
      <c r="E51" s="91"/>
      <c r="F51" s="91"/>
      <c r="G51" s="92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0" t="s">
        <v>91</v>
      </c>
      <c r="B62" s="91"/>
      <c r="C62" s="91"/>
      <c r="D62" s="91"/>
      <c r="E62" s="91"/>
      <c r="F62" s="91"/>
      <c r="G62" s="92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0" t="s">
        <v>92</v>
      </c>
      <c r="B69" s="91"/>
      <c r="C69" s="91"/>
      <c r="D69" s="91"/>
      <c r="E69" s="91"/>
      <c r="F69" s="91"/>
      <c r="G69" s="92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0" t="s">
        <v>93</v>
      </c>
      <c r="B76" s="91"/>
      <c r="C76" s="91"/>
      <c r="D76" s="91"/>
      <c r="E76" s="91"/>
      <c r="F76" s="91"/>
      <c r="G76" s="92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0" t="s">
        <v>94</v>
      </c>
      <c r="B94" s="91"/>
      <c r="C94" s="91"/>
      <c r="D94" s="91"/>
      <c r="E94" s="91"/>
      <c r="F94" s="91"/>
      <c r="G94" s="92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tabSelected="1" workbookViewId="0">
      <selection activeCell="K22" sqref="K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3" t="s">
        <v>29</v>
      </c>
      <c r="B1" s="94"/>
      <c r="C1" s="94"/>
      <c r="D1" s="94"/>
      <c r="E1" s="94"/>
      <c r="F1" s="94"/>
      <c r="G1" s="94"/>
      <c r="H1" s="94"/>
      <c r="I1" s="94"/>
      <c r="J1" s="94"/>
      <c r="K1" s="95"/>
    </row>
    <row r="2" spans="1:14" x14ac:dyDescent="0.25">
      <c r="A2" s="28" t="s">
        <v>14</v>
      </c>
      <c r="B2" s="29">
        <f>INT_ACC!E2/100</f>
        <v>0</v>
      </c>
    </row>
    <row r="3" spans="1:14" s="11" customFormat="1" x14ac:dyDescent="0.25">
      <c r="A3" s="12" t="s">
        <v>5</v>
      </c>
      <c r="B3" s="30">
        <f>INT_ACC!C2</f>
        <v>0</v>
      </c>
    </row>
    <row r="4" spans="1:14" s="11" customFormat="1" x14ac:dyDescent="0.25">
      <c r="A4" s="12" t="s">
        <v>3</v>
      </c>
      <c r="B4" s="31" t="str">
        <f>IF(INT_ACC!A2="","",INT_ACC!A2)</f>
        <v/>
      </c>
      <c r="D4" s="63"/>
    </row>
    <row r="5" spans="1:14" s="70" customFormat="1" x14ac:dyDescent="0.25">
      <c r="A5" s="12" t="s">
        <v>59</v>
      </c>
      <c r="B5" s="31" t="str">
        <f>IF(OR(MIN(PMT!$B$2:$B$13)=B4,MIN(PMT!$B$2:$B$13)=0),"",MIN(PMT!$B$2:$B$13))</f>
        <v/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99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IFERROR(IF(B9="","",IF(B5="",VLOOKUP(B9,INT_ACC!$B$2:$G$5,5,FALSE),VLOOKUP(B9,PMT_RP!$B$2:$G$3,5,FALSE))),"")</f>
        <v/>
      </c>
      <c r="D9" s="34" t="str">
        <f>IFERROR(IF(B9="","",IF(B5="",VLOOKUP(B9,INT_ACC!$B$2:$G$5,6,FALSE),VLOOKUP(B9,PMT_RP!$B$2:$G$3,6,FALSE))),"")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96" t="s">
        <v>30</v>
      </c>
      <c r="B24" s="97"/>
      <c r="C24" s="97"/>
      <c r="D24" s="97"/>
      <c r="E24" s="97"/>
      <c r="F24" s="97"/>
      <c r="G24" s="97"/>
      <c r="H24" s="97"/>
      <c r="I24" s="97"/>
      <c r="J24" s="97"/>
      <c r="K24" s="98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str">
        <f>IF(INT_ACC!B2="","",INT_ACC!B2)</f>
        <v/>
      </c>
      <c r="C26" s="43">
        <f>INT_ACC!F2</f>
        <v>0</v>
      </c>
      <c r="D26" s="43">
        <f>INT_ACC!G2</f>
        <v>0</v>
      </c>
      <c r="E26" s="34" t="str">
        <f>IF(B26="","",IF(B27="",0,(B27-B26)-1))</f>
        <v/>
      </c>
      <c r="F26" s="34">
        <v>0</v>
      </c>
      <c r="G26" s="34">
        <f>G21</f>
        <v>0</v>
      </c>
      <c r="H26" s="34">
        <f>H21</f>
        <v>0</v>
      </c>
      <c r="I26" s="44">
        <f>C26-H26</f>
        <v>0</v>
      </c>
      <c r="J26" s="45">
        <f>IF(B26="",0,(I26*$B$2)/360)</f>
        <v>0</v>
      </c>
      <c r="K26" s="46">
        <f>D26+J26-G26</f>
        <v>0</v>
      </c>
    </row>
    <row r="27" spans="1:14" ht="15.75" thickBot="1" x14ac:dyDescent="0.3">
      <c r="K27" s="18"/>
    </row>
    <row r="28" spans="1:14" ht="15.75" thickBot="1" x14ac:dyDescent="0.3">
      <c r="A28" s="96" t="s">
        <v>32</v>
      </c>
      <c r="B28" s="98"/>
    </row>
    <row r="29" spans="1:14" x14ac:dyDescent="0.25">
      <c r="A29" s="25" t="s">
        <v>11</v>
      </c>
      <c r="B29" s="47">
        <f>J26</f>
        <v>0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96" t="s">
        <v>33</v>
      </c>
      <c r="B34" s="98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3" t="s">
        <v>0</v>
      </c>
      <c r="B38" s="94"/>
      <c r="C38" s="94"/>
      <c r="D38" s="94"/>
      <c r="E38" s="94"/>
      <c r="F38" s="95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str">
        <f>B4</f>
        <v/>
      </c>
      <c r="B40" s="1" t="str">
        <f>A40</f>
        <v/>
      </c>
      <c r="C40" s="8" t="str">
        <f>IF(A40="","",$B$3)</f>
        <v/>
      </c>
      <c r="D40" s="8" t="str">
        <f>IF(A40="","","Servicing_Interest_Accrual")</f>
        <v/>
      </c>
      <c r="E40" s="32" t="str">
        <f>IF(A40="","",ROUND(B29,4))</f>
        <v/>
      </c>
      <c r="F40" s="8" t="str">
        <f>IF(A40="","","1")</f>
        <v/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 t="shared" ref="F42:F43" si="11">IF(A42="","","1")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 t="shared" si="11"/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IF(A44="","","1")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99" t="s">
        <v>63</v>
      </c>
      <c r="B1" s="99"/>
      <c r="C1" s="99"/>
      <c r="D1" s="99"/>
      <c r="E1" s="99"/>
      <c r="F1" s="99"/>
      <c r="G1" s="99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99" t="s">
        <v>64</v>
      </c>
      <c r="B16" s="99"/>
      <c r="C16" s="99"/>
      <c r="D16" s="99"/>
      <c r="E16" s="99"/>
      <c r="F16" s="99"/>
      <c r="G16" s="99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99" t="s">
        <v>70</v>
      </c>
      <c r="B30" s="99"/>
      <c r="C30" s="99"/>
      <c r="D30" s="99"/>
      <c r="E30" s="99"/>
      <c r="F30" s="99"/>
      <c r="G30" s="99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sqref="A1:F6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str">
        <f>CALCULATION!A40</f>
        <v/>
      </c>
      <c r="B2" s="3" t="str">
        <f>CALCULATION!B40</f>
        <v/>
      </c>
      <c r="C2" s="3" t="str">
        <f>CALCULATION!C40</f>
        <v/>
      </c>
      <c r="D2" s="3" t="str">
        <f>CALCULATION!D40</f>
        <v/>
      </c>
      <c r="E2" s="6" t="str">
        <f>CALCULATION!E40</f>
        <v/>
      </c>
      <c r="F2" s="7" t="str">
        <f>CALCULATION!F40</f>
        <v/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0" t="s">
        <v>54</v>
      </c>
      <c r="B5" s="100"/>
      <c r="C5" s="100"/>
      <c r="D5" s="100"/>
      <c r="E5" s="100"/>
      <c r="F5" s="100"/>
      <c r="H5" s="101" t="s">
        <v>46</v>
      </c>
      <c r="I5" s="101"/>
      <c r="J5" s="101"/>
      <c r="K5" s="101"/>
      <c r="L5" s="101"/>
      <c r="M5" s="101"/>
      <c r="P5" s="100" t="s">
        <v>54</v>
      </c>
      <c r="Q5" s="100"/>
      <c r="R5" s="100"/>
      <c r="S5" s="100"/>
      <c r="T5" s="100"/>
      <c r="U5" s="100"/>
      <c r="W5" s="100" t="s">
        <v>46</v>
      </c>
      <c r="X5" s="100"/>
      <c r="Y5" s="100"/>
      <c r="Z5" s="100"/>
      <c r="AA5" s="100"/>
      <c r="AB5" s="100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2025-12-17T06:59:32Z</dcterms:modified>
  <dc:language>en-US</dc:language>
</cp:coreProperties>
</file>