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1\Model\"/>
    </mc:Choice>
  </mc:AlternateContent>
  <xr:revisionPtr revIDLastSave="0" documentId="13_ncr:1_{E83EE993-94E6-46EE-BCF4-DA52011FEF44}" xr6:coauthVersionLast="47" xr6:coauthVersionMax="47" xr10:uidLastSave="{00000000-0000-0000-0000-000000000000}"/>
  <bookViews>
    <workbookView xWindow="-120" yWindow="-120" windowWidth="29040" windowHeight="17520" tabRatio="500" activeTab="5" xr2:uid="{00000000-000D-0000-FFFF-FFFF00000000}"/>
  </bookViews>
  <sheets>
    <sheet name="Scenario" sheetId="30" r:id="rId1"/>
    <sheet name="PMT" sheetId="27" r:id="rId2"/>
    <sheet name="INT_ACC" sheetId="28" r:id="rId3"/>
    <sheet name="PMT_RP" sheetId="33" r:id="rId4"/>
    <sheet name="EXPECTED" sheetId="35" r:id="rId5"/>
    <sheet name="CALCULATION" sheetId="29" r:id="rId6"/>
    <sheet name="Sample Data" sheetId="31" r:id="rId7"/>
    <sheet name="Events" sheetId="34" r:id="rId8"/>
    <sheet name="o_Transaction" sheetId="7" r:id="rId9"/>
    <sheet name="Example_worsheet_check" sheetId="32" r:id="rId10"/>
  </sheets>
  <definedNames>
    <definedName name="_xlnm._FilterDatabase" localSheetId="0" hidden="1">Scenario!$A$2:$F$51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6" i="29" l="1"/>
  <c r="C26" i="29"/>
  <c r="B26" i="29"/>
  <c r="B4" i="29"/>
  <c r="B3" i="29"/>
  <c r="B2" i="29"/>
  <c r="T16" i="32"/>
  <c r="AA16" i="32"/>
  <c r="Z19" i="32"/>
  <c r="AA10" i="32"/>
  <c r="M16" i="32"/>
  <c r="M15" i="32"/>
  <c r="M14" i="32"/>
  <c r="M13" i="32"/>
  <c r="Y8" i="32"/>
  <c r="J8" i="32"/>
  <c r="U7" i="32"/>
  <c r="F7" i="32"/>
  <c r="F8" i="32" s="1"/>
  <c r="K8" i="32" s="1"/>
  <c r="C8" i="32" l="1"/>
  <c r="C9" i="32"/>
  <c r="F9" i="32" s="1"/>
  <c r="K9" i="32" s="1"/>
  <c r="M8" i="32"/>
  <c r="J9" i="32" s="1"/>
  <c r="U8" i="32"/>
  <c r="R8" i="32"/>
  <c r="C10" i="32" l="1"/>
  <c r="F10" i="32" s="1"/>
  <c r="R9" i="32"/>
  <c r="U9" i="32" s="1"/>
  <c r="Z8" i="32"/>
  <c r="AB8" i="32" s="1"/>
  <c r="Y9" i="32" s="1"/>
  <c r="M9" i="32"/>
  <c r="J10" i="32" s="1"/>
  <c r="C11" i="32" l="1"/>
  <c r="F11" i="32" s="1"/>
  <c r="K10" i="32"/>
  <c r="R10" i="32"/>
  <c r="U10" i="32" s="1"/>
  <c r="Z9" i="32"/>
  <c r="AB9" i="32" s="1"/>
  <c r="Y10" i="32" s="1"/>
  <c r="M10" i="32"/>
  <c r="J11" i="32" s="1"/>
  <c r="K11" i="32" l="1"/>
  <c r="C12" i="32"/>
  <c r="R11" i="32"/>
  <c r="U11" i="32" s="1"/>
  <c r="Z10" i="32"/>
  <c r="AB10" i="32" s="1"/>
  <c r="Y11" i="32" s="1"/>
  <c r="Z11" i="32" l="1"/>
  <c r="AB11" i="32" s="1"/>
  <c r="R12" i="32"/>
  <c r="M11" i="32"/>
  <c r="J12" i="32" s="1"/>
  <c r="Y12" i="32" l="1"/>
  <c r="F12" i="32" l="1"/>
  <c r="U12" i="32"/>
  <c r="C13" i="32" l="1"/>
  <c r="K12" i="32"/>
  <c r="R13" i="32"/>
  <c r="Z12" i="32"/>
  <c r="AB12" i="32" s="1"/>
  <c r="M12" i="32" l="1"/>
  <c r="J13" i="32" s="1"/>
  <c r="Y13" i="32"/>
  <c r="AB13" i="32" s="1"/>
  <c r="U13" i="32" l="1"/>
  <c r="F13" i="32" l="1"/>
  <c r="R14" i="32"/>
  <c r="U14" i="32" s="1"/>
  <c r="Z13" i="32"/>
  <c r="Y14" i="32" s="1"/>
  <c r="AB14" i="32" s="1"/>
  <c r="Z14" i="32" l="1"/>
  <c r="Y15" i="32" s="1"/>
  <c r="AB15" i="32" s="1"/>
  <c r="R15" i="32"/>
  <c r="U15" i="32" s="1"/>
  <c r="C14" i="32"/>
  <c r="F14" i="32" s="1"/>
  <c r="K13" i="32"/>
  <c r="Z15" i="32" l="1"/>
  <c r="R16" i="32"/>
  <c r="U16" i="32" s="1"/>
  <c r="J14" i="32"/>
  <c r="C15" i="32"/>
  <c r="F15" i="32" s="1"/>
  <c r="K14" i="32"/>
  <c r="J15" i="32" l="1"/>
  <c r="Y16" i="32"/>
  <c r="Z16" i="32"/>
  <c r="Z20" i="32" s="1"/>
  <c r="Z21" i="32" s="1"/>
  <c r="C16" i="32"/>
  <c r="K15" i="32"/>
  <c r="AB16" i="32" l="1"/>
  <c r="AB17" i="32" s="1"/>
  <c r="F16" i="32"/>
  <c r="J16" i="32" l="1"/>
  <c r="AA18" i="32" l="1"/>
  <c r="B5" i="29" l="1"/>
  <c r="B9" i="29" l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E45" i="30"/>
  <c r="A41" i="30"/>
  <c r="A42" i="30" s="1"/>
  <c r="A43" i="30" s="1"/>
  <c r="E33" i="30"/>
  <c r="E29" i="30"/>
  <c r="A29" i="30"/>
  <c r="A30" i="30" s="1"/>
  <c r="A31" i="30" s="1"/>
  <c r="E25" i="30"/>
  <c r="E23" i="30"/>
  <c r="E9" i="30"/>
  <c r="E26" i="30" s="1"/>
  <c r="I4" i="30"/>
  <c r="H4" i="30"/>
  <c r="H5" i="30" s="1"/>
  <c r="B4" i="30"/>
  <c r="H3" i="30"/>
  <c r="B3" i="30"/>
  <c r="Q1" i="30"/>
  <c r="R1" i="30" s="1"/>
  <c r="N2" i="30" s="1"/>
  <c r="N1" i="30"/>
  <c r="A40" i="29"/>
  <c r="F10" i="29" l="1"/>
  <c r="C9" i="29"/>
  <c r="F9" i="29"/>
  <c r="D9" i="29"/>
  <c r="A2" i="7"/>
  <c r="D40" i="29"/>
  <c r="H6" i="30"/>
  <c r="E5" i="30"/>
  <c r="I5" i="30"/>
  <c r="F40" i="29"/>
  <c r="F2" i="7" s="1"/>
  <c r="C40" i="29"/>
  <c r="C2" i="7" s="1"/>
  <c r="B40" i="29"/>
  <c r="B2" i="7" s="1"/>
  <c r="E26" i="29"/>
  <c r="F11" i="29" l="1"/>
  <c r="H7" i="30"/>
  <c r="E6" i="30"/>
  <c r="I6" i="30" s="1"/>
  <c r="I7" i="30" s="1"/>
  <c r="I8" i="30" s="1"/>
  <c r="I9" i="30" s="1"/>
  <c r="F12" i="29" l="1"/>
  <c r="H8" i="30"/>
  <c r="H9" i="30"/>
  <c r="H10" i="30" s="1"/>
  <c r="F13" i="29" l="1"/>
  <c r="H11" i="30"/>
  <c r="H12" i="30" s="1"/>
  <c r="E10" i="30"/>
  <c r="E11" i="30"/>
  <c r="E27" i="30" s="1"/>
  <c r="F14" i="29" l="1"/>
  <c r="I10" i="30"/>
  <c r="I11" i="30" s="1"/>
  <c r="I12" i="30" s="1"/>
  <c r="E22" i="30"/>
  <c r="F15" i="29" l="1"/>
  <c r="E13" i="30"/>
  <c r="I13" i="30"/>
  <c r="E14" i="30"/>
  <c r="E31" i="30" s="1"/>
  <c r="F16" i="29" l="1"/>
  <c r="I14" i="30"/>
  <c r="E30" i="30"/>
  <c r="H13" i="30"/>
  <c r="H14" i="30" s="1"/>
  <c r="H15" i="30" s="1"/>
  <c r="F17" i="29" l="1"/>
  <c r="H16" i="30"/>
  <c r="E15" i="30"/>
  <c r="F18" i="29" l="1"/>
  <c r="I15" i="30"/>
  <c r="I16" i="30" s="1"/>
  <c r="E28" i="30"/>
  <c r="F20" i="29" l="1"/>
  <c r="F19" i="29"/>
  <c r="E18" i="30"/>
  <c r="E17" i="30"/>
  <c r="I17" i="30"/>
  <c r="E34" i="30" l="1"/>
  <c r="H17" i="30"/>
  <c r="H18" i="30" s="1"/>
  <c r="H19" i="30" s="1"/>
  <c r="E35" i="30"/>
  <c r="I18" i="30"/>
  <c r="H20" i="30" l="1"/>
  <c r="H21" i="30" s="1"/>
  <c r="H37" i="30" s="1"/>
  <c r="E20" i="30"/>
  <c r="E19" i="30"/>
  <c r="I19" i="30" l="1"/>
  <c r="I20" i="30" s="1"/>
  <c r="E32" i="30"/>
  <c r="E36" i="30"/>
  <c r="E21" i="30"/>
  <c r="E37" i="30" s="1"/>
  <c r="H38" i="30"/>
  <c r="H39" i="30"/>
  <c r="H40" i="30" s="1"/>
  <c r="E40" i="30"/>
  <c r="E39" i="30" s="1"/>
  <c r="I21" i="30" l="1"/>
  <c r="I37" i="30" s="1"/>
  <c r="I38" i="30" s="1"/>
  <c r="I39" i="30" s="1"/>
  <c r="I40" i="30" s="1"/>
  <c r="E43" i="30" l="1"/>
  <c r="E42" i="30" s="1"/>
  <c r="H42" i="30" s="1"/>
  <c r="H43" i="30" s="1"/>
  <c r="H44" i="30" s="1"/>
  <c r="I42" i="30"/>
  <c r="I43" i="30" s="1"/>
  <c r="E44" i="30" l="1"/>
  <c r="I44" i="30" s="1"/>
  <c r="E47" i="30" l="1"/>
  <c r="E46" i="30" s="1"/>
  <c r="H46" i="30" s="1"/>
  <c r="H47" i="30" s="1"/>
  <c r="H48" i="30" s="1"/>
  <c r="I46" i="30"/>
  <c r="H49" i="30" l="1"/>
  <c r="H50" i="30" s="1"/>
  <c r="H51" i="30" s="1"/>
  <c r="E49" i="30"/>
  <c r="E50" i="30" s="1"/>
  <c r="E51" i="30" s="1"/>
  <c r="E48" i="30"/>
  <c r="I47" i="30"/>
  <c r="I48" i="30" s="1"/>
  <c r="I49" i="30" s="1"/>
  <c r="I50" i="30" s="1"/>
  <c r="I51" i="30" s="1"/>
  <c r="E10" i="29" l="1"/>
  <c r="E11" i="29" l="1"/>
  <c r="E12" i="29" l="1"/>
  <c r="K13" i="29"/>
  <c r="J13" i="29"/>
  <c r="I13" i="29"/>
  <c r="G13" i="29"/>
  <c r="L13" i="29" s="1"/>
  <c r="D13" i="29"/>
  <c r="H13" i="29"/>
  <c r="C13" i="29"/>
  <c r="E13" i="29"/>
  <c r="C14" i="29" l="1"/>
  <c r="E14" i="29"/>
  <c r="D14" i="29"/>
  <c r="G14" i="29" s="1"/>
  <c r="L14" i="29" s="1"/>
  <c r="H14" i="29" l="1"/>
  <c r="I14" i="29"/>
  <c r="J14" i="29" s="1"/>
  <c r="K14" i="29" s="1"/>
  <c r="D15" i="29" s="1"/>
  <c r="E15" i="29"/>
  <c r="M16" i="29"/>
  <c r="C15" i="29" l="1"/>
  <c r="G15" i="29"/>
  <c r="K16" i="29"/>
  <c r="J16" i="29"/>
  <c r="I16" i="29"/>
  <c r="G16" i="29"/>
  <c r="L16" i="29" s="1"/>
  <c r="E16" i="29"/>
  <c r="C16" i="29"/>
  <c r="M17" i="29"/>
  <c r="D16" i="29"/>
  <c r="H16" i="29"/>
  <c r="H15" i="29" l="1"/>
  <c r="I15" i="29" s="1"/>
  <c r="J15" i="29" s="1"/>
  <c r="L15" i="29"/>
  <c r="K15" i="29"/>
  <c r="K17" i="29"/>
  <c r="J17" i="29"/>
  <c r="I17" i="29"/>
  <c r="E17" i="29"/>
  <c r="D17" i="29"/>
  <c r="M18" i="29"/>
  <c r="C17" i="29"/>
  <c r="G17" i="29"/>
  <c r="L17" i="29" s="1"/>
  <c r="H17" i="29"/>
  <c r="K18" i="29" l="1"/>
  <c r="J18" i="29"/>
  <c r="I18" i="29"/>
  <c r="M19" i="29"/>
  <c r="E18" i="29"/>
  <c r="C18" i="29"/>
  <c r="H18" i="29"/>
  <c r="G18" i="29"/>
  <c r="L18" i="29" s="1"/>
  <c r="D18" i="29"/>
  <c r="K19" i="29" l="1"/>
  <c r="J19" i="29"/>
  <c r="I19" i="29"/>
  <c r="G19" i="29"/>
  <c r="L19" i="29" s="1"/>
  <c r="H19" i="29"/>
  <c r="D19" i="29"/>
  <c r="C19" i="29"/>
  <c r="E19" i="29"/>
  <c r="M20" i="29"/>
  <c r="K20" i="29" l="1"/>
  <c r="J20" i="29"/>
  <c r="I20" i="29"/>
  <c r="D20" i="29"/>
  <c r="H20" i="29"/>
  <c r="G20" i="29"/>
  <c r="L20" i="29" s="1"/>
  <c r="C20" i="29"/>
  <c r="E20" i="29"/>
  <c r="E9" i="29"/>
  <c r="G9" i="29" l="1"/>
  <c r="L9" i="29" s="1"/>
  <c r="H9" i="29" l="1"/>
  <c r="I9" i="29" s="1"/>
  <c r="J9" i="29" l="1"/>
  <c r="K9" i="29" s="1"/>
  <c r="C10" i="29"/>
  <c r="D10" i="29" l="1"/>
  <c r="G10" i="29" l="1"/>
  <c r="H10" i="29" l="1"/>
  <c r="I10" i="29" s="1"/>
  <c r="J10" i="29" s="1"/>
  <c r="K10" i="29" s="1"/>
  <c r="D11" i="29" s="1"/>
  <c r="L10" i="29"/>
  <c r="C11" i="29" l="1"/>
  <c r="G11" i="29"/>
  <c r="H11" i="29" l="1"/>
  <c r="I11" i="29" s="1"/>
  <c r="L11" i="29"/>
  <c r="J11" i="29" l="1"/>
  <c r="K11" i="29" s="1"/>
  <c r="D12" i="29" s="1"/>
  <c r="C12" i="29"/>
  <c r="N18" i="29" l="1"/>
  <c r="N16" i="29"/>
  <c r="N19" i="29"/>
  <c r="N17" i="29"/>
  <c r="N20" i="29"/>
  <c r="G12" i="29"/>
  <c r="L12" i="29" s="1"/>
  <c r="K21" i="29" l="1"/>
  <c r="G21" i="29"/>
  <c r="I21" i="29"/>
  <c r="H21" i="29"/>
  <c r="H12" i="29"/>
  <c r="I12" i="29" s="1"/>
  <c r="J12" i="29" l="1"/>
  <c r="K12" i="29" s="1"/>
  <c r="B31" i="29"/>
  <c r="A42" i="29" s="1"/>
  <c r="E42" i="29" s="1"/>
  <c r="G26" i="29"/>
  <c r="H26" i="29" l="1"/>
  <c r="I26" i="29" s="1"/>
  <c r="J26" i="29" s="1"/>
  <c r="B35" i="29"/>
  <c r="A43" i="29" s="1"/>
  <c r="E43" i="29" s="1"/>
  <c r="B42" i="29"/>
  <c r="B4" i="7" s="1"/>
  <c r="C42" i="29"/>
  <c r="C4" i="7" s="1"/>
  <c r="A4" i="7"/>
  <c r="E4" i="7"/>
  <c r="D42" i="29"/>
  <c r="D4" i="7" s="1"/>
  <c r="F42" i="29"/>
  <c r="F4" i="7" s="1"/>
  <c r="B36" i="29" l="1"/>
  <c r="A44" i="29" s="1"/>
  <c r="E44" i="29" s="1"/>
  <c r="E6" i="7" s="1"/>
  <c r="E5" i="7"/>
  <c r="F43" i="29"/>
  <c r="F5" i="7" s="1"/>
  <c r="B43" i="29"/>
  <c r="B5" i="7" s="1"/>
  <c r="D43" i="29"/>
  <c r="D5" i="7" s="1"/>
  <c r="C43" i="29"/>
  <c r="C5" i="7" s="1"/>
  <c r="A5" i="7"/>
  <c r="K26" i="29"/>
  <c r="B30" i="29" s="1"/>
  <c r="B29" i="29"/>
  <c r="E40" i="29" s="1"/>
  <c r="A41" i="29" l="1"/>
  <c r="B44" i="29"/>
  <c r="B6" i="7" s="1"/>
  <c r="F44" i="29"/>
  <c r="F6" i="7" s="1"/>
  <c r="D44" i="29"/>
  <c r="D6" i="7" s="1"/>
  <c r="A6" i="7"/>
  <c r="C44" i="29"/>
  <c r="C6" i="7" s="1"/>
  <c r="D2" i="7" l="1"/>
  <c r="E2" i="7"/>
  <c r="E41" i="29"/>
  <c r="E3" i="7" s="1"/>
  <c r="F41" i="29"/>
  <c r="F3" i="7" s="1"/>
  <c r="C41" i="29"/>
  <c r="C3" i="7" s="1"/>
  <c r="A3" i="7"/>
  <c r="D41" i="29"/>
  <c r="D3" i="7" s="1"/>
  <c r="B41" i="29"/>
  <c r="B3" i="7" s="1"/>
</calcChain>
</file>

<file path=xl/sharedStrings.xml><?xml version="1.0" encoding="utf-8"?>
<sst xmlns="http://schemas.openxmlformats.org/spreadsheetml/2006/main" count="659" uniqueCount="102">
  <si>
    <t>Transactions</t>
  </si>
  <si>
    <t>Amount</t>
  </si>
  <si>
    <t>Accrual</t>
  </si>
  <si>
    <t>PostingDate</t>
  </si>
  <si>
    <t>TransactionDate</t>
  </si>
  <si>
    <t>InstrumentId</t>
  </si>
  <si>
    <t>AttributeId</t>
  </si>
  <si>
    <t>EffectiveDate</t>
  </si>
  <si>
    <t>Interest Payment</t>
  </si>
  <si>
    <t>Principal Payment</t>
  </si>
  <si>
    <t>Transactiontype</t>
  </si>
  <si>
    <t>Interest Accrual</t>
  </si>
  <si>
    <t>IDHJ-EGNY</t>
  </si>
  <si>
    <t>Interest Adjustment</t>
  </si>
  <si>
    <t>Interest Rate</t>
  </si>
  <si>
    <t>Final Remit</t>
  </si>
  <si>
    <t>Days</t>
  </si>
  <si>
    <t>Beg UPB</t>
  </si>
  <si>
    <t>Beg AIR</t>
  </si>
  <si>
    <t>Interest Paid</t>
  </si>
  <si>
    <t>Principal Paid</t>
  </si>
  <si>
    <t>End AIR</t>
  </si>
  <si>
    <t>End UPB</t>
  </si>
  <si>
    <t>ATTRIBUTES.INTEREST_RATE.CURRENT</t>
  </si>
  <si>
    <t>TRANSACTIONS.AMOUNT.REMIT</t>
  </si>
  <si>
    <t>BALANCES.BEGINNINGBALANCE.Unpaid_Principal_Balance</t>
  </si>
  <si>
    <t>BALANCES.BEGINNINGBALANCE.Accrued_Interest_Receivable</t>
  </si>
  <si>
    <t>S.No</t>
  </si>
  <si>
    <t>Effective Date</t>
  </si>
  <si>
    <t>PAYMENT CALC</t>
  </si>
  <si>
    <t>ACCRUAL CALC</t>
  </si>
  <si>
    <t>Principal Adjustment</t>
  </si>
  <si>
    <t>AIR Transactions</t>
  </si>
  <si>
    <t>UPB Transactions</t>
  </si>
  <si>
    <t>Balances</t>
  </si>
  <si>
    <t>Monthly NR</t>
  </si>
  <si>
    <t>PD</t>
  </si>
  <si>
    <t>ED</t>
  </si>
  <si>
    <t>Transaction</t>
  </si>
  <si>
    <t>Component</t>
  </si>
  <si>
    <t>Entry</t>
  </si>
  <si>
    <t>UPB</t>
  </si>
  <si>
    <t>AIR</t>
  </si>
  <si>
    <t>Daily NR</t>
  </si>
  <si>
    <t>Purchase</t>
  </si>
  <si>
    <t>New</t>
  </si>
  <si>
    <t>Interest</t>
  </si>
  <si>
    <t>accrual</t>
  </si>
  <si>
    <t>Remit</t>
  </si>
  <si>
    <t>Payment</t>
  </si>
  <si>
    <t>Reversal</t>
  </si>
  <si>
    <t>Remit Reversal</t>
  </si>
  <si>
    <t>Rebook</t>
  </si>
  <si>
    <t>Row Posting</t>
  </si>
  <si>
    <t>Principal</t>
  </si>
  <si>
    <t>Metric</t>
  </si>
  <si>
    <t>BeginningBalance</t>
  </si>
  <si>
    <t>Activity</t>
  </si>
  <si>
    <t>EndingBalance</t>
  </si>
  <si>
    <t>ReplayDate</t>
  </si>
  <si>
    <t>INT_ACC</t>
  </si>
  <si>
    <t>PMT</t>
  </si>
  <si>
    <t>PMT_RP</t>
  </si>
  <si>
    <t>Replay Scenario</t>
  </si>
  <si>
    <t>OUT OF ORDER</t>
  </si>
  <si>
    <t>Servicing_Interest_Accrual</t>
  </si>
  <si>
    <t>1</t>
  </si>
  <si>
    <t>Interest_Adjustment</t>
  </si>
  <si>
    <t/>
  </si>
  <si>
    <t>Principal_Adjustment</t>
  </si>
  <si>
    <t>IN  ORDER</t>
  </si>
  <si>
    <t>Payment_Interest</t>
  </si>
  <si>
    <t>Payment_UPB</t>
  </si>
  <si>
    <t>Trigger Type</t>
  </si>
  <si>
    <t>ON MODEL EXECUTION</t>
  </si>
  <si>
    <t>Source Mapping</t>
  </si>
  <si>
    <t>BEGINNINGBALANCE</t>
  </si>
  <si>
    <t>UPB,AIR</t>
  </si>
  <si>
    <t>Attribute</t>
  </si>
  <si>
    <t>NoteRate</t>
  </si>
  <si>
    <t>Current</t>
  </si>
  <si>
    <t>Trigger Source</t>
  </si>
  <si>
    <t>ON TRANSACTION POST</t>
  </si>
  <si>
    <t>ON REPLAY</t>
  </si>
  <si>
    <t>INTACC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</si>
  <si>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</si>
  <si>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</si>
  <si>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</si>
  <si>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</si>
  <si>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</si>
  <si>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</si>
  <si>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</si>
  <si>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</si>
  <si>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</si>
  <si>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</si>
  <si>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TRANSACTIONS_AMOUNT_REMIT</t>
  </si>
  <si>
    <t>Helper Column</t>
  </si>
  <si>
    <t>ATTRIBUTE_INTEREST_RATE_CURRENT</t>
  </si>
  <si>
    <t>BALANCES_ENDINGBALANCE_UNPAID_PRINCIPAL_BALANCE</t>
  </si>
  <si>
    <t>BALANCES_ENDINGBALANCE_ACCRUED_INTEREST_RECEIVABLE</t>
  </si>
  <si>
    <t>BALANCES_ENDINGBALANCE_Unpaid_Principal_Balance</t>
  </si>
  <si>
    <t>BALANCES_ENDINGBALANCE_Accrued_Interest_Receivable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</si>
</sst>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#,##0.0000_);[Red]\(#,##0.0000\)"/>
    <numFmt numFmtId="166" formatCode="0.00_);[Red]\(0.00\)"/>
    <numFmt numFmtId="167" formatCode="0.0000_);[Red]\(0.0000\)"/>
    <numFmt numFmtId="168" formatCode="#,##0.000_);[Red]\(#,##0.000\)"/>
    <numFmt numFmtId="169" formatCode="0.00000000"/>
    <numFmt numFmtId="170" formatCode="0.000000000"/>
  </numFmts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969696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06">
    <xf numFmtId="0" fontId="0" fillId="0" borderId="0" xfId="0"/>
    <xf numFmtId="14" fontId="0" fillId="0" borderId="2" xfId="0" applyNumberFormat="1" applyBorder="1"/>
    <xf numFmtId="0" fontId="0" fillId="0" borderId="0" xfId="1" applyFont="1"/>
    <xf numFmtId="14" fontId="0" fillId="0" borderId="0" xfId="1" applyNumberFormat="1" applyFont="1"/>
    <xf numFmtId="0" fontId="0" fillId="2" borderId="0" xfId="1" applyFont="1" applyFill="1"/>
    <xf numFmtId="0" fontId="0" fillId="0" borderId="0" xfId="0" applyBorder="1"/>
    <xf numFmtId="164" fontId="0" fillId="0" borderId="0" xfId="1" applyNumberFormat="1" applyFont="1"/>
    <xf numFmtId="1" fontId="0" fillId="0" borderId="0" xfId="1" applyNumberFormat="1" applyFont="1"/>
    <xf numFmtId="0" fontId="0" fillId="0" borderId="2" xfId="0" applyBorder="1"/>
    <xf numFmtId="164" fontId="0" fillId="0" borderId="2" xfId="0" applyNumberFormat="1" applyBorder="1"/>
    <xf numFmtId="0" fontId="4" fillId="0" borderId="0" xfId="0" applyFont="1"/>
    <xf numFmtId="0" fontId="0" fillId="0" borderId="0" xfId="0"/>
    <xf numFmtId="0" fontId="4" fillId="0" borderId="2" xfId="0" applyFont="1" applyBorder="1"/>
    <xf numFmtId="0" fontId="1" fillId="5" borderId="2" xfId="0" applyFont="1" applyFill="1" applyBorder="1" applyAlignment="1">
      <alignment horizontal="center" vertical="center" wrapText="1"/>
    </xf>
    <xf numFmtId="0" fontId="4" fillId="0" borderId="0" xfId="1" applyFont="1"/>
    <xf numFmtId="0" fontId="4" fillId="0" borderId="0" xfId="1" applyFont="1" applyFill="1"/>
    <xf numFmtId="0" fontId="4" fillId="4" borderId="0" xfId="1" applyFont="1" applyFill="1"/>
    <xf numFmtId="0" fontId="2" fillId="4" borderId="0" xfId="1" applyFont="1" applyFill="1"/>
    <xf numFmtId="165" fontId="0" fillId="0" borderId="0" xfId="0" applyNumberFormat="1"/>
    <xf numFmtId="14" fontId="0" fillId="0" borderId="0" xfId="0" applyNumberFormat="1" applyBorder="1"/>
    <xf numFmtId="164" fontId="0" fillId="0" borderId="0" xfId="0" applyNumberFormat="1" applyBorder="1"/>
    <xf numFmtId="164" fontId="0" fillId="0" borderId="0" xfId="0" applyNumberFormat="1" applyBorder="1" applyAlignment="1">
      <alignment vertical="center" wrapText="1"/>
    </xf>
    <xf numFmtId="164" fontId="2" fillId="0" borderId="0" xfId="0" applyNumberFormat="1" applyFont="1" applyBorder="1" applyAlignment="1">
      <alignment vertical="center" wrapText="1"/>
    </xf>
    <xf numFmtId="164" fontId="1" fillId="0" borderId="0" xfId="0" applyNumberFormat="1" applyFont="1" applyBorder="1" applyAlignment="1">
      <alignment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0" fillId="0" borderId="3" xfId="0" applyBorder="1"/>
    <xf numFmtId="0" fontId="1" fillId="5" borderId="3" xfId="1" applyFont="1" applyFill="1" applyBorder="1"/>
    <xf numFmtId="14" fontId="0" fillId="0" borderId="2" xfId="0" applyNumberFormat="1" applyBorder="1" applyAlignment="1">
      <alignment vertical="center" wrapText="1"/>
    </xf>
    <xf numFmtId="0" fontId="4" fillId="0" borderId="3" xfId="0" applyFont="1" applyBorder="1"/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165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left"/>
    </xf>
    <xf numFmtId="165" fontId="0" fillId="0" borderId="2" xfId="0" applyNumberFormat="1" applyBorder="1" applyAlignment="1">
      <alignment horizontal="left"/>
    </xf>
    <xf numFmtId="165" fontId="2" fillId="0" borderId="2" xfId="0" applyNumberFormat="1" applyFont="1" applyBorder="1" applyAlignment="1">
      <alignment horizontal="left" vertical="center" wrapText="1"/>
    </xf>
    <xf numFmtId="165" fontId="1" fillId="0" borderId="2" xfId="0" applyNumberFormat="1" applyFont="1" applyBorder="1" applyAlignment="1">
      <alignment horizontal="left" vertical="center" wrapText="1"/>
    </xf>
    <xf numFmtId="165" fontId="0" fillId="0" borderId="2" xfId="0" applyNumberFormat="1" applyBorder="1" applyAlignment="1">
      <alignment horizontal="left" vertical="center" wrapText="1"/>
    </xf>
    <xf numFmtId="164" fontId="0" fillId="0" borderId="2" xfId="0" applyNumberFormat="1" applyBorder="1" applyAlignment="1">
      <alignment horizontal="left"/>
    </xf>
    <xf numFmtId="164" fontId="0" fillId="0" borderId="2" xfId="0" applyNumberForma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left" vertical="center" wrapText="1"/>
    </xf>
    <xf numFmtId="164" fontId="0" fillId="0" borderId="0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165" fontId="0" fillId="0" borderId="11" xfId="0" applyNumberFormat="1" applyBorder="1" applyAlignment="1">
      <alignment horizontal="left"/>
    </xf>
    <xf numFmtId="165" fontId="0" fillId="4" borderId="1" xfId="0" applyNumberFormat="1" applyFill="1" applyBorder="1" applyAlignment="1">
      <alignment horizontal="left" vertical="center" wrapText="1"/>
    </xf>
    <xf numFmtId="165" fontId="0" fillId="4" borderId="1" xfId="0" applyNumberFormat="1" applyFill="1" applyBorder="1" applyAlignment="1">
      <alignment horizontal="left"/>
    </xf>
    <xf numFmtId="165" fontId="0" fillId="0" borderId="3" xfId="0" applyNumberFormat="1" applyBorder="1" applyAlignment="1">
      <alignment horizontal="left"/>
    </xf>
    <xf numFmtId="164" fontId="0" fillId="0" borderId="3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/>
    <xf numFmtId="40" fontId="0" fillId="0" borderId="0" xfId="0" applyNumberFormat="1"/>
    <xf numFmtId="0" fontId="0" fillId="2" borderId="0" xfId="0" applyFill="1"/>
    <xf numFmtId="40" fontId="0" fillId="6" borderId="0" xfId="0" applyNumberFormat="1" applyFill="1"/>
    <xf numFmtId="166" fontId="0" fillId="0" borderId="0" xfId="0" applyNumberFormat="1"/>
    <xf numFmtId="167" fontId="0" fillId="0" borderId="2" xfId="0" applyNumberFormat="1" applyBorder="1"/>
    <xf numFmtId="168" fontId="0" fillId="0" borderId="0" xfId="0" applyNumberFormat="1"/>
    <xf numFmtId="14" fontId="0" fillId="7" borderId="2" xfId="0" applyNumberFormat="1" applyFill="1" applyBorder="1"/>
    <xf numFmtId="0" fontId="0" fillId="7" borderId="2" xfId="0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4" borderId="0" xfId="0" applyFill="1"/>
    <xf numFmtId="167" fontId="0" fillId="2" borderId="2" xfId="0" applyNumberFormat="1" applyFill="1" applyBorder="1"/>
    <xf numFmtId="14" fontId="0" fillId="0" borderId="0" xfId="0" applyNumberFormat="1"/>
    <xf numFmtId="2" fontId="0" fillId="0" borderId="0" xfId="0" applyNumberFormat="1"/>
    <xf numFmtId="0" fontId="0" fillId="0" borderId="2" xfId="0" applyNumberFormat="1" applyBorder="1" applyAlignment="1">
      <alignment horizontal="center"/>
    </xf>
    <xf numFmtId="164" fontId="0" fillId="0" borderId="0" xfId="0" applyNumberFormat="1"/>
    <xf numFmtId="167" fontId="4" fillId="0" borderId="2" xfId="0" applyNumberFormat="1" applyFont="1" applyBorder="1" applyAlignment="1">
      <alignment horizontal="left"/>
    </xf>
    <xf numFmtId="165" fontId="4" fillId="0" borderId="2" xfId="0" applyNumberFormat="1" applyFont="1" applyBorder="1" applyAlignment="1">
      <alignment horizontal="left"/>
    </xf>
    <xf numFmtId="0" fontId="4" fillId="0" borderId="0" xfId="0" applyFont="1"/>
    <xf numFmtId="0" fontId="0" fillId="0" borderId="0" xfId="0"/>
    <xf numFmtId="0" fontId="5" fillId="0" borderId="0" xfId="0" applyFont="1" applyAlignment="1">
      <alignment horizontal="center" vertical="center"/>
    </xf>
    <xf numFmtId="164" fontId="0" fillId="0" borderId="0" xfId="0" quotePrefix="1" applyNumberFormat="1"/>
    <xf numFmtId="169" fontId="0" fillId="0" borderId="0" xfId="0" applyNumberFormat="1"/>
    <xf numFmtId="170" fontId="0" fillId="0" borderId="0" xfId="0" applyNumberFormat="1"/>
    <xf numFmtId="164" fontId="0" fillId="4" borderId="0" xfId="0" applyNumberFormat="1" applyFill="1"/>
    <xf numFmtId="164" fontId="0" fillId="4" borderId="0" xfId="0" quotePrefix="1" applyNumberFormat="1" applyFill="1"/>
    <xf numFmtId="0" fontId="4" fillId="0" borderId="0" xfId="0" applyFont="1"/>
    <xf numFmtId="0" fontId="0" fillId="0" borderId="0" xfId="0"/>
    <xf numFmtId="0" fontId="4" fillId="0" borderId="0" xfId="0" applyFont="1"/>
    <xf numFmtId="0" fontId="0" fillId="0" borderId="0" xfId="0"/>
    <xf numFmtId="0" fontId="4" fillId="0" borderId="2" xfId="1" applyFont="1" applyFill="1" applyBorder="1"/>
    <xf numFmtId="0" fontId="4" fillId="0" borderId="2" xfId="1" applyFont="1" applyBorder="1"/>
    <xf numFmtId="0" fontId="0" fillId="2" borderId="2" xfId="1" applyFont="1" applyFill="1" applyBorder="1"/>
    <xf numFmtId="0" fontId="2" fillId="4" borderId="2" xfId="1" applyFont="1" applyFill="1" applyBorder="1"/>
    <xf numFmtId="0" fontId="0" fillId="0" borderId="2" xfId="1" applyFont="1" applyBorder="1"/>
    <xf numFmtId="167" fontId="0" fillId="7" borderId="2" xfId="0" applyNumberFormat="1" applyFill="1" applyBorder="1"/>
    <xf numFmtId="167" fontId="0" fillId="4" borderId="0" xfId="0" applyNumberFormat="1" applyFill="1"/>
    <xf numFmtId="165" fontId="0" fillId="0" borderId="2" xfId="0" applyNumberFormat="1" applyBorder="1"/>
    <xf numFmtId="0" fontId="0" fillId="0" borderId="0" xfId="0"/>
    <xf numFmtId="14" fontId="1" fillId="0" borderId="0" xfId="1" applyNumberFormat="1" applyFont="1"/>
    <xf numFmtId="14" fontId="1" fillId="0" borderId="0" xfId="0" applyNumberFormat="1" applyFont="1"/>
    <xf numFmtId="0" fontId="1" fillId="0" borderId="0" xfId="1" applyFont="1"/>
    <xf numFmtId="0" fontId="1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0" borderId="0" xfId="0" applyFont="1"/>
    <xf numFmtId="0" fontId="0" fillId="0" borderId="0" xfId="0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E4E5-F77B-435C-B4F0-0B154E18B0F7}">
  <sheetPr filterMode="1">
    <tabColor rgb="FF00B0F0"/>
  </sheetPr>
  <dimension ref="A1:R58"/>
  <sheetViews>
    <sheetView zoomScaleNormal="100" workbookViewId="0">
      <selection activeCell="E3" sqref="E3:E52"/>
    </sheetView>
  </sheetViews>
  <sheetFormatPr defaultColWidth="8.7109375" defaultRowHeight="15" customHeight="1" x14ac:dyDescent="0.25"/>
  <cols>
    <col min="1" max="2" width="9.7109375" style="11" customWidth="1"/>
    <col min="3" max="3" width="11.42578125" style="11" customWidth="1"/>
    <col min="4" max="4" width="8" style="11" customWidth="1"/>
    <col min="5" max="5" width="27.42578125" style="11" customWidth="1"/>
    <col min="6" max="6" width="8.5703125" style="11" customWidth="1"/>
    <col min="7" max="7" width="8.7109375" style="11"/>
    <col min="8" max="8" width="26.85546875" style="11" customWidth="1"/>
    <col min="9" max="9" width="9.28515625" style="11" customWidth="1"/>
    <col min="10" max="11" width="8.7109375" style="11"/>
    <col min="12" max="12" width="9.85546875" style="11" bestFit="1" customWidth="1"/>
    <col min="13" max="13" width="19.42578125" style="11" customWidth="1"/>
    <col min="14" max="14" width="12" style="11" customWidth="1"/>
    <col min="15" max="16384" width="8.7109375" style="11"/>
  </cols>
  <sheetData>
    <row r="1" spans="1:18" ht="15.75" thickBot="1" x14ac:dyDescent="0.3">
      <c r="A1" s="93" t="s">
        <v>0</v>
      </c>
      <c r="B1" s="93"/>
      <c r="C1" s="93"/>
      <c r="D1" s="93"/>
      <c r="E1" s="93"/>
      <c r="F1" s="93"/>
      <c r="H1" s="93" t="s">
        <v>34</v>
      </c>
      <c r="I1" s="93"/>
      <c r="M1" s="8" t="s">
        <v>35</v>
      </c>
      <c r="N1" s="8">
        <f>10/1200</f>
        <v>8.3333333333333332E-3</v>
      </c>
      <c r="P1" s="11">
        <v>10</v>
      </c>
      <c r="Q1" s="11">
        <f>P1/100</f>
        <v>0.1</v>
      </c>
      <c r="R1" s="11">
        <f>Q1/360</f>
        <v>2.7777777777777778E-4</v>
      </c>
    </row>
    <row r="2" spans="1:18" x14ac:dyDescent="0.25">
      <c r="A2" s="50" t="s">
        <v>36</v>
      </c>
      <c r="B2" s="50" t="s">
        <v>37</v>
      </c>
      <c r="C2" s="50" t="s">
        <v>38</v>
      </c>
      <c r="D2" s="50" t="s">
        <v>39</v>
      </c>
      <c r="E2" s="50" t="s">
        <v>1</v>
      </c>
      <c r="F2" s="50" t="s">
        <v>40</v>
      </c>
      <c r="H2" s="50" t="s">
        <v>41</v>
      </c>
      <c r="I2" s="50" t="s">
        <v>42</v>
      </c>
      <c r="M2" s="8" t="s">
        <v>43</v>
      </c>
      <c r="N2" s="8">
        <f>R1</f>
        <v>2.7777777777777778E-4</v>
      </c>
    </row>
    <row r="3" spans="1:18" hidden="1" x14ac:dyDescent="0.25">
      <c r="A3" s="1">
        <v>44592</v>
      </c>
      <c r="B3" s="1">
        <f>A3</f>
        <v>44592</v>
      </c>
      <c r="C3" s="8" t="s">
        <v>44</v>
      </c>
      <c r="D3" s="8" t="s">
        <v>41</v>
      </c>
      <c r="E3" s="55">
        <v>100000</v>
      </c>
      <c r="F3" s="8" t="s">
        <v>45</v>
      </c>
      <c r="H3" s="51">
        <f>E3</f>
        <v>100000</v>
      </c>
      <c r="I3" s="51">
        <v>0</v>
      </c>
    </row>
    <row r="4" spans="1:18" x14ac:dyDescent="0.25">
      <c r="A4" s="1">
        <v>44592</v>
      </c>
      <c r="B4" s="1">
        <f>A4</f>
        <v>44592</v>
      </c>
      <c r="C4" s="8" t="s">
        <v>44</v>
      </c>
      <c r="D4" s="8" t="s">
        <v>46</v>
      </c>
      <c r="E4" s="55">
        <v>100</v>
      </c>
      <c r="F4" s="8" t="s">
        <v>45</v>
      </c>
      <c r="H4" s="51">
        <f>E3</f>
        <v>100000</v>
      </c>
      <c r="I4" s="51">
        <f>E4</f>
        <v>100</v>
      </c>
    </row>
    <row r="5" spans="1:18" x14ac:dyDescent="0.25">
      <c r="A5" s="1">
        <v>44593</v>
      </c>
      <c r="B5" s="1">
        <v>44593</v>
      </c>
      <c r="C5" s="8" t="s">
        <v>47</v>
      </c>
      <c r="D5" s="8" t="s">
        <v>46</v>
      </c>
      <c r="E5" s="55">
        <f>H5*$N$2</f>
        <v>27.777777777777779</v>
      </c>
      <c r="F5" s="8" t="s">
        <v>45</v>
      </c>
      <c r="G5" s="52"/>
      <c r="H5" s="51">
        <f>H4</f>
        <v>100000</v>
      </c>
      <c r="I5" s="51">
        <f>I4+E5</f>
        <v>127.77777777777777</v>
      </c>
    </row>
    <row r="6" spans="1:18" x14ac:dyDescent="0.25">
      <c r="A6" s="1">
        <v>44594</v>
      </c>
      <c r="B6" s="1">
        <v>44594</v>
      </c>
      <c r="C6" s="8" t="s">
        <v>47</v>
      </c>
      <c r="D6" s="8" t="s">
        <v>46</v>
      </c>
      <c r="E6" s="55">
        <f>H6*$N$2</f>
        <v>27.777777777777779</v>
      </c>
      <c r="F6" s="8" t="s">
        <v>45</v>
      </c>
      <c r="G6" s="52"/>
      <c r="H6" s="51">
        <f>H5</f>
        <v>100000</v>
      </c>
      <c r="I6" s="18">
        <f>I5+E6</f>
        <v>155.55555555555554</v>
      </c>
    </row>
    <row r="7" spans="1:18" hidden="1" x14ac:dyDescent="0.25">
      <c r="A7" s="1">
        <v>44595</v>
      </c>
      <c r="B7" s="1">
        <v>44595</v>
      </c>
      <c r="C7" s="8" t="s">
        <v>48</v>
      </c>
      <c r="D7" s="8"/>
      <c r="E7" s="55">
        <v>80</v>
      </c>
      <c r="F7" s="8" t="s">
        <v>45</v>
      </c>
      <c r="G7" s="52"/>
      <c r="H7" s="51">
        <f>H6</f>
        <v>100000</v>
      </c>
      <c r="I7" s="53">
        <f>I6</f>
        <v>155.55555555555554</v>
      </c>
      <c r="N7" s="51"/>
    </row>
    <row r="8" spans="1:18" hidden="1" x14ac:dyDescent="0.25">
      <c r="A8" s="1">
        <v>44595</v>
      </c>
      <c r="B8" s="1">
        <v>44595</v>
      </c>
      <c r="C8" s="8" t="s">
        <v>49</v>
      </c>
      <c r="D8" s="8" t="s">
        <v>41</v>
      </c>
      <c r="E8" s="55">
        <v>0</v>
      </c>
      <c r="F8" s="8" t="s">
        <v>45</v>
      </c>
      <c r="H8" s="51">
        <f>H7+E8</f>
        <v>100000</v>
      </c>
      <c r="I8" s="51">
        <f>I7</f>
        <v>155.55555555555554</v>
      </c>
      <c r="J8" s="54"/>
    </row>
    <row r="9" spans="1:18" x14ac:dyDescent="0.25">
      <c r="A9" s="1">
        <v>44595</v>
      </c>
      <c r="B9" s="1">
        <v>44595</v>
      </c>
      <c r="C9" s="8" t="s">
        <v>49</v>
      </c>
      <c r="D9" s="8" t="s">
        <v>46</v>
      </c>
      <c r="E9" s="55">
        <f>-E7</f>
        <v>-80</v>
      </c>
      <c r="F9" s="8" t="s">
        <v>45</v>
      </c>
      <c r="G9" s="52"/>
      <c r="H9" s="51">
        <f>H7+E8</f>
        <v>100000</v>
      </c>
      <c r="I9" s="51">
        <f>I8+E9</f>
        <v>75.555555555555543</v>
      </c>
    </row>
    <row r="10" spans="1:18" x14ac:dyDescent="0.25">
      <c r="A10" s="1">
        <v>44595</v>
      </c>
      <c r="B10" s="1">
        <v>44595</v>
      </c>
      <c r="C10" s="8" t="s">
        <v>47</v>
      </c>
      <c r="D10" s="8" t="s">
        <v>46</v>
      </c>
      <c r="E10" s="55">
        <f>H10*$N$2</f>
        <v>27.777777777777779</v>
      </c>
      <c r="F10" s="8" t="s">
        <v>45</v>
      </c>
      <c r="G10" s="52"/>
      <c r="H10" s="51">
        <f>H9</f>
        <v>100000</v>
      </c>
      <c r="I10" s="51">
        <f>E10+I9</f>
        <v>103.33333333333331</v>
      </c>
    </row>
    <row r="11" spans="1:18" x14ac:dyDescent="0.25">
      <c r="A11" s="1">
        <v>44596</v>
      </c>
      <c r="B11" s="1">
        <v>44596</v>
      </c>
      <c r="C11" s="8" t="s">
        <v>47</v>
      </c>
      <c r="D11" s="8" t="s">
        <v>46</v>
      </c>
      <c r="E11" s="55">
        <f>ROUND(H10*N2,4)</f>
        <v>27.777799999999999</v>
      </c>
      <c r="F11" s="8" t="s">
        <v>45</v>
      </c>
      <c r="G11" s="52"/>
      <c r="H11" s="51">
        <f>H10</f>
        <v>100000</v>
      </c>
      <c r="I11" s="51">
        <f>I10+E11</f>
        <v>131.11113333333333</v>
      </c>
    </row>
    <row r="12" spans="1:18" hidden="1" x14ac:dyDescent="0.25">
      <c r="A12" s="1">
        <v>44597</v>
      </c>
      <c r="B12" s="1">
        <v>44597</v>
      </c>
      <c r="C12" s="8" t="s">
        <v>48</v>
      </c>
      <c r="D12" s="8"/>
      <c r="E12" s="55">
        <v>275</v>
      </c>
      <c r="F12" s="8" t="s">
        <v>45</v>
      </c>
      <c r="G12" s="52"/>
      <c r="H12" s="51">
        <f>H11</f>
        <v>100000</v>
      </c>
      <c r="I12" s="51">
        <f>I11</f>
        <v>131.11113333333333</v>
      </c>
    </row>
    <row r="13" spans="1:18" hidden="1" x14ac:dyDescent="0.25">
      <c r="A13" s="1">
        <v>44597</v>
      </c>
      <c r="B13" s="1">
        <v>44597</v>
      </c>
      <c r="C13" s="8" t="s">
        <v>49</v>
      </c>
      <c r="D13" s="8" t="s">
        <v>41</v>
      </c>
      <c r="E13" s="55">
        <f>-(E12-I12)</f>
        <v>-143.88886666666667</v>
      </c>
      <c r="F13" s="8" t="s">
        <v>45</v>
      </c>
      <c r="H13" s="51">
        <f>H12+E13</f>
        <v>99856.111133333339</v>
      </c>
      <c r="I13" s="51">
        <f>I12</f>
        <v>131.11113333333333</v>
      </c>
      <c r="J13" s="54"/>
    </row>
    <row r="14" spans="1:18" x14ac:dyDescent="0.25">
      <c r="A14" s="1">
        <v>44597</v>
      </c>
      <c r="B14" s="1">
        <v>44597</v>
      </c>
      <c r="C14" s="8" t="s">
        <v>49</v>
      </c>
      <c r="D14" s="8" t="s">
        <v>46</v>
      </c>
      <c r="E14" s="55">
        <f>-I12</f>
        <v>-131.11113333333333</v>
      </c>
      <c r="F14" s="8" t="s">
        <v>45</v>
      </c>
      <c r="H14" s="51">
        <f>H13</f>
        <v>99856.111133333339</v>
      </c>
      <c r="I14" s="51">
        <f>I13+E14</f>
        <v>0</v>
      </c>
    </row>
    <row r="15" spans="1:18" x14ac:dyDescent="0.25">
      <c r="A15" s="1">
        <v>44597</v>
      </c>
      <c r="B15" s="1">
        <v>44597</v>
      </c>
      <c r="C15" s="8" t="s">
        <v>47</v>
      </c>
      <c r="D15" s="8" t="s">
        <v>46</v>
      </c>
      <c r="E15" s="55">
        <f>H15*$N$2</f>
        <v>27.73780864814815</v>
      </c>
      <c r="F15" s="8" t="s">
        <v>45</v>
      </c>
      <c r="H15" s="51">
        <f>H14</f>
        <v>99856.111133333339</v>
      </c>
      <c r="I15" s="51">
        <f>E15</f>
        <v>27.73780864814815</v>
      </c>
    </row>
    <row r="16" spans="1:18" hidden="1" x14ac:dyDescent="0.25">
      <c r="A16" s="1">
        <v>44598</v>
      </c>
      <c r="B16" s="1">
        <v>44598</v>
      </c>
      <c r="C16" s="8" t="s">
        <v>48</v>
      </c>
      <c r="D16" s="8"/>
      <c r="E16" s="55">
        <v>350</v>
      </c>
      <c r="F16" s="8" t="s">
        <v>45</v>
      </c>
      <c r="G16" s="52"/>
      <c r="H16" s="51">
        <f>H15</f>
        <v>99856.111133333339</v>
      </c>
      <c r="I16" s="51">
        <f>I15</f>
        <v>27.73780864814815</v>
      </c>
    </row>
    <row r="17" spans="1:12" hidden="1" x14ac:dyDescent="0.25">
      <c r="A17" s="1">
        <v>44598</v>
      </c>
      <c r="B17" s="1">
        <v>44598</v>
      </c>
      <c r="C17" s="8" t="s">
        <v>49</v>
      </c>
      <c r="D17" s="8" t="s">
        <v>41</v>
      </c>
      <c r="E17" s="55">
        <f>-(E16-I16)</f>
        <v>-322.26219135185187</v>
      </c>
      <c r="F17" s="8" t="s">
        <v>45</v>
      </c>
      <c r="H17" s="51">
        <f>H16+E17</f>
        <v>99533.848941981487</v>
      </c>
      <c r="I17" s="51">
        <f>I16</f>
        <v>27.73780864814815</v>
      </c>
      <c r="J17" s="54"/>
      <c r="K17" s="54"/>
      <c r="L17" s="51"/>
    </row>
    <row r="18" spans="1:12" x14ac:dyDescent="0.25">
      <c r="A18" s="1">
        <v>44598</v>
      </c>
      <c r="B18" s="1">
        <v>44598</v>
      </c>
      <c r="C18" s="8" t="s">
        <v>49</v>
      </c>
      <c r="D18" s="8" t="s">
        <v>46</v>
      </c>
      <c r="E18" s="55">
        <f>-I16</f>
        <v>-27.73780864814815</v>
      </c>
      <c r="F18" s="8" t="s">
        <v>45</v>
      </c>
      <c r="H18" s="51">
        <f>H17</f>
        <v>99533.848941981487</v>
      </c>
      <c r="I18" s="51">
        <f>E18+I17</f>
        <v>0</v>
      </c>
    </row>
    <row r="19" spans="1:12" x14ac:dyDescent="0.25">
      <c r="A19" s="1">
        <v>44598</v>
      </c>
      <c r="B19" s="1">
        <v>44598</v>
      </c>
      <c r="C19" s="8" t="s">
        <v>47</v>
      </c>
      <c r="D19" s="8" t="s">
        <v>46</v>
      </c>
      <c r="E19" s="55">
        <f>H19*$N$2</f>
        <v>27.648291372772636</v>
      </c>
      <c r="F19" s="8" t="s">
        <v>45</v>
      </c>
      <c r="H19" s="51">
        <f>H18</f>
        <v>99533.848941981487</v>
      </c>
      <c r="I19" s="51">
        <f>E19</f>
        <v>27.648291372772636</v>
      </c>
    </row>
    <row r="20" spans="1:12" x14ac:dyDescent="0.25">
      <c r="A20" s="1">
        <v>44599</v>
      </c>
      <c r="B20" s="1">
        <v>44599</v>
      </c>
      <c r="C20" s="8" t="s">
        <v>47</v>
      </c>
      <c r="D20" s="8" t="s">
        <v>46</v>
      </c>
      <c r="E20" s="55">
        <f>ROUND(H19*N2,4)</f>
        <v>27.648299999999999</v>
      </c>
      <c r="F20" s="8" t="s">
        <v>45</v>
      </c>
      <c r="G20" s="52"/>
      <c r="H20" s="51">
        <f>H19</f>
        <v>99533.848941981487</v>
      </c>
      <c r="I20" s="51">
        <f>I19+E20</f>
        <v>55.296591372772639</v>
      </c>
    </row>
    <row r="21" spans="1:12" x14ac:dyDescent="0.25">
      <c r="A21" s="1">
        <v>44600</v>
      </c>
      <c r="B21" s="1">
        <v>44600</v>
      </c>
      <c r="C21" s="8" t="s">
        <v>47</v>
      </c>
      <c r="D21" s="8" t="s">
        <v>46</v>
      </c>
      <c r="E21" s="55">
        <f>E20</f>
        <v>27.648299999999999</v>
      </c>
      <c r="F21" s="8" t="s">
        <v>45</v>
      </c>
      <c r="G21" s="52"/>
      <c r="H21" s="56">
        <f>H20</f>
        <v>99533.848941981487</v>
      </c>
      <c r="I21" s="51">
        <f>I20+E21</f>
        <v>82.944891372772645</v>
      </c>
    </row>
    <row r="22" spans="1:12" x14ac:dyDescent="0.25">
      <c r="A22" s="57">
        <v>44601</v>
      </c>
      <c r="B22" s="57">
        <v>44595</v>
      </c>
      <c r="C22" s="58" t="s">
        <v>47</v>
      </c>
      <c r="D22" s="58" t="s">
        <v>46</v>
      </c>
      <c r="E22" s="86">
        <f>-E10</f>
        <v>-27.777777777777779</v>
      </c>
      <c r="F22" s="58" t="s">
        <v>50</v>
      </c>
      <c r="H22" s="51"/>
      <c r="I22" s="51"/>
    </row>
    <row r="23" spans="1:12" hidden="1" x14ac:dyDescent="0.25">
      <c r="A23" s="57">
        <v>44601</v>
      </c>
      <c r="B23" s="57">
        <v>44595</v>
      </c>
      <c r="C23" s="58" t="s">
        <v>48</v>
      </c>
      <c r="D23" s="58"/>
      <c r="E23" s="86">
        <f>-E7</f>
        <v>-80</v>
      </c>
      <c r="F23" s="58" t="s">
        <v>50</v>
      </c>
      <c r="H23" s="51"/>
      <c r="I23" s="51"/>
      <c r="L23" s="51"/>
    </row>
    <row r="24" spans="1:12" hidden="1" x14ac:dyDescent="0.25">
      <c r="A24" s="57">
        <v>44601</v>
      </c>
      <c r="B24" s="57">
        <v>44595</v>
      </c>
      <c r="C24" s="58" t="s">
        <v>51</v>
      </c>
      <c r="D24" s="58"/>
      <c r="E24" s="86">
        <v>30</v>
      </c>
      <c r="F24" s="59" t="s">
        <v>45</v>
      </c>
      <c r="H24" s="51"/>
      <c r="I24" s="51"/>
    </row>
    <row r="25" spans="1:12" hidden="1" x14ac:dyDescent="0.25">
      <c r="A25" s="57">
        <v>44601</v>
      </c>
      <c r="B25" s="57">
        <v>44595</v>
      </c>
      <c r="C25" s="58" t="s">
        <v>49</v>
      </c>
      <c r="D25" s="58" t="s">
        <v>41</v>
      </c>
      <c r="E25" s="86">
        <f>-E8</f>
        <v>0</v>
      </c>
      <c r="F25" s="58" t="s">
        <v>50</v>
      </c>
      <c r="H25" s="51"/>
      <c r="I25" s="51"/>
    </row>
    <row r="26" spans="1:12" x14ac:dyDescent="0.25">
      <c r="A26" s="57">
        <v>44601</v>
      </c>
      <c r="B26" s="57">
        <v>44595</v>
      </c>
      <c r="C26" s="58" t="s">
        <v>49</v>
      </c>
      <c r="D26" s="58" t="s">
        <v>46</v>
      </c>
      <c r="E26" s="86">
        <f>-E9</f>
        <v>80</v>
      </c>
      <c r="F26" s="58" t="s">
        <v>50</v>
      </c>
      <c r="H26" s="51"/>
      <c r="I26" s="51"/>
    </row>
    <row r="27" spans="1:12" x14ac:dyDescent="0.25">
      <c r="A27" s="57">
        <v>44601</v>
      </c>
      <c r="B27" s="57">
        <v>44596</v>
      </c>
      <c r="C27" s="58" t="s">
        <v>47</v>
      </c>
      <c r="D27" s="58" t="s">
        <v>46</v>
      </c>
      <c r="E27" s="86">
        <f>-E11</f>
        <v>-27.777799999999999</v>
      </c>
      <c r="F27" s="58" t="s">
        <v>50</v>
      </c>
      <c r="H27" s="51"/>
      <c r="I27" s="51"/>
    </row>
    <row r="28" spans="1:12" x14ac:dyDescent="0.25">
      <c r="A28" s="57">
        <v>44601</v>
      </c>
      <c r="B28" s="57">
        <v>44597</v>
      </c>
      <c r="C28" s="58" t="s">
        <v>47</v>
      </c>
      <c r="D28" s="58" t="s">
        <v>46</v>
      </c>
      <c r="E28" s="86">
        <f>-E15</f>
        <v>-27.73780864814815</v>
      </c>
      <c r="F28" s="58" t="s">
        <v>50</v>
      </c>
      <c r="H28" s="51"/>
      <c r="I28" s="51"/>
    </row>
    <row r="29" spans="1:12" hidden="1" x14ac:dyDescent="0.25">
      <c r="A29" s="57">
        <f>A28</f>
        <v>44601</v>
      </c>
      <c r="B29" s="57">
        <v>44597</v>
      </c>
      <c r="C29" s="58" t="s">
        <v>48</v>
      </c>
      <c r="D29" s="58"/>
      <c r="E29" s="86">
        <f>-E12</f>
        <v>-275</v>
      </c>
      <c r="F29" s="58" t="s">
        <v>50</v>
      </c>
      <c r="H29" s="51"/>
      <c r="I29" s="51"/>
    </row>
    <row r="30" spans="1:12" hidden="1" x14ac:dyDescent="0.25">
      <c r="A30" s="57">
        <f>A29</f>
        <v>44601</v>
      </c>
      <c r="B30" s="57">
        <v>44597</v>
      </c>
      <c r="C30" s="58" t="s">
        <v>49</v>
      </c>
      <c r="D30" s="58" t="s">
        <v>41</v>
      </c>
      <c r="E30" s="86">
        <f>-E13</f>
        <v>143.88886666666667</v>
      </c>
      <c r="F30" s="58" t="s">
        <v>50</v>
      </c>
      <c r="H30" s="51"/>
      <c r="I30" s="51"/>
    </row>
    <row r="31" spans="1:12" x14ac:dyDescent="0.25">
      <c r="A31" s="57">
        <f>A30</f>
        <v>44601</v>
      </c>
      <c r="B31" s="57">
        <v>44597</v>
      </c>
      <c r="C31" s="58" t="s">
        <v>49</v>
      </c>
      <c r="D31" s="58" t="s">
        <v>46</v>
      </c>
      <c r="E31" s="86">
        <f>-E14</f>
        <v>131.11113333333333</v>
      </c>
      <c r="F31" s="58" t="s">
        <v>50</v>
      </c>
      <c r="H31" s="51"/>
      <c r="I31" s="51"/>
    </row>
    <row r="32" spans="1:12" x14ac:dyDescent="0.25">
      <c r="A32" s="57">
        <v>44601</v>
      </c>
      <c r="B32" s="57">
        <v>44598</v>
      </c>
      <c r="C32" s="58" t="s">
        <v>47</v>
      </c>
      <c r="D32" s="58" t="s">
        <v>46</v>
      </c>
      <c r="E32" s="86">
        <f>-E19</f>
        <v>-27.648291372772636</v>
      </c>
      <c r="F32" s="58" t="s">
        <v>50</v>
      </c>
      <c r="H32" s="51"/>
      <c r="I32" s="51"/>
    </row>
    <row r="33" spans="1:9" hidden="1" x14ac:dyDescent="0.25">
      <c r="A33" s="57">
        <v>44601</v>
      </c>
      <c r="B33" s="57">
        <v>44598</v>
      </c>
      <c r="C33" s="58" t="s">
        <v>48</v>
      </c>
      <c r="D33" s="58"/>
      <c r="E33" s="86">
        <f>-E16</f>
        <v>-350</v>
      </c>
      <c r="F33" s="58" t="s">
        <v>50</v>
      </c>
      <c r="H33" s="51"/>
      <c r="I33" s="51"/>
    </row>
    <row r="34" spans="1:9" hidden="1" x14ac:dyDescent="0.25">
      <c r="A34" s="57">
        <v>44601</v>
      </c>
      <c r="B34" s="57">
        <v>44598</v>
      </c>
      <c r="C34" s="58" t="s">
        <v>49</v>
      </c>
      <c r="D34" s="58" t="s">
        <v>41</v>
      </c>
      <c r="E34" s="86">
        <f>-E17</f>
        <v>322.26219135185187</v>
      </c>
      <c r="F34" s="58" t="s">
        <v>50</v>
      </c>
      <c r="H34" s="51"/>
      <c r="I34" s="51"/>
    </row>
    <row r="35" spans="1:9" x14ac:dyDescent="0.25">
      <c r="A35" s="57">
        <v>44601</v>
      </c>
      <c r="B35" s="57">
        <v>44598</v>
      </c>
      <c r="C35" s="58" t="s">
        <v>49</v>
      </c>
      <c r="D35" s="58" t="s">
        <v>46</v>
      </c>
      <c r="E35" s="86">
        <f>-E18</f>
        <v>27.73780864814815</v>
      </c>
      <c r="F35" s="58" t="s">
        <v>50</v>
      </c>
      <c r="H35" s="51"/>
      <c r="I35" s="51"/>
    </row>
    <row r="36" spans="1:9" x14ac:dyDescent="0.25">
      <c r="A36" s="57">
        <v>44601</v>
      </c>
      <c r="B36" s="57">
        <v>44599</v>
      </c>
      <c r="C36" s="58" t="s">
        <v>47</v>
      </c>
      <c r="D36" s="58" t="s">
        <v>46</v>
      </c>
      <c r="E36" s="86">
        <f t="shared" ref="E36:E37" si="0">-E20</f>
        <v>-27.648299999999999</v>
      </c>
      <c r="F36" s="58" t="s">
        <v>50</v>
      </c>
      <c r="H36" s="51"/>
      <c r="I36" s="51"/>
    </row>
    <row r="37" spans="1:9" x14ac:dyDescent="0.25">
      <c r="A37" s="57">
        <v>44601</v>
      </c>
      <c r="B37" s="57">
        <v>44600</v>
      </c>
      <c r="C37" s="58" t="s">
        <v>47</v>
      </c>
      <c r="D37" s="58" t="s">
        <v>46</v>
      </c>
      <c r="E37" s="86">
        <f t="shared" si="0"/>
        <v>-27.648299999999999</v>
      </c>
      <c r="F37" s="58" t="s">
        <v>50</v>
      </c>
      <c r="H37" s="51">
        <f>H21+E25+E34+E30</f>
        <v>100000</v>
      </c>
      <c r="I37" s="53">
        <f>I21+E26+E27+E28+E32+E35+E36+E37+E31+E22</f>
        <v>155.55555555555554</v>
      </c>
    </row>
    <row r="38" spans="1:9" x14ac:dyDescent="0.25">
      <c r="A38" s="60">
        <v>44601</v>
      </c>
      <c r="B38" s="60">
        <v>44595</v>
      </c>
      <c r="C38" s="59" t="s">
        <v>49</v>
      </c>
      <c r="D38" s="59" t="s">
        <v>46</v>
      </c>
      <c r="E38" s="87">
        <v>-50</v>
      </c>
      <c r="F38" s="59" t="s">
        <v>52</v>
      </c>
      <c r="H38" s="51">
        <f>H37</f>
        <v>100000</v>
      </c>
      <c r="I38" s="53">
        <f>I37+E38</f>
        <v>105.55555555555554</v>
      </c>
    </row>
    <row r="39" spans="1:9" x14ac:dyDescent="0.25">
      <c r="A39" s="60">
        <v>44601</v>
      </c>
      <c r="B39" s="60">
        <v>44595</v>
      </c>
      <c r="C39" s="59" t="s">
        <v>47</v>
      </c>
      <c r="D39" s="59" t="s">
        <v>46</v>
      </c>
      <c r="E39" s="62">
        <f>E40</f>
        <v>27.777777777777779</v>
      </c>
      <c r="F39" s="59" t="s">
        <v>52</v>
      </c>
      <c r="H39" s="51">
        <f>H37</f>
        <v>100000</v>
      </c>
      <c r="I39" s="53">
        <f>I38+E39</f>
        <v>133.33333333333331</v>
      </c>
    </row>
    <row r="40" spans="1:9" x14ac:dyDescent="0.25">
      <c r="A40" s="60">
        <v>44601</v>
      </c>
      <c r="B40" s="60">
        <v>44596</v>
      </c>
      <c r="C40" s="59" t="s">
        <v>47</v>
      </c>
      <c r="D40" s="59" t="s">
        <v>46</v>
      </c>
      <c r="E40" s="62">
        <f>H37*N2</f>
        <v>27.777777777777779</v>
      </c>
      <c r="F40" s="59" t="s">
        <v>52</v>
      </c>
      <c r="H40" s="51">
        <f>H39</f>
        <v>100000</v>
      </c>
      <c r="I40" s="53">
        <f>I39+E40</f>
        <v>161.11111111111109</v>
      </c>
    </row>
    <row r="41" spans="1:9" hidden="1" x14ac:dyDescent="0.25">
      <c r="A41" s="60">
        <f>A44</f>
        <v>44601</v>
      </c>
      <c r="B41" s="60">
        <v>44597</v>
      </c>
      <c r="C41" s="59" t="s">
        <v>48</v>
      </c>
      <c r="D41" s="59"/>
      <c r="E41" s="62">
        <v>275</v>
      </c>
      <c r="F41" s="59" t="s">
        <v>52</v>
      </c>
      <c r="H41" s="51"/>
      <c r="I41" s="51"/>
    </row>
    <row r="42" spans="1:9" hidden="1" x14ac:dyDescent="0.25">
      <c r="A42" s="60">
        <f>A41</f>
        <v>44601</v>
      </c>
      <c r="B42" s="60">
        <v>44597</v>
      </c>
      <c r="C42" s="59" t="s">
        <v>49</v>
      </c>
      <c r="D42" s="59" t="s">
        <v>41</v>
      </c>
      <c r="E42" s="62">
        <f>-E41-E43</f>
        <v>-113.88888888888891</v>
      </c>
      <c r="F42" s="59" t="s">
        <v>52</v>
      </c>
      <c r="H42" s="51">
        <f>H40+E42</f>
        <v>99886.111111111109</v>
      </c>
      <c r="I42" s="51">
        <f>I40</f>
        <v>161.11111111111109</v>
      </c>
    </row>
    <row r="43" spans="1:9" x14ac:dyDescent="0.25">
      <c r="A43" s="60">
        <f>A42</f>
        <v>44601</v>
      </c>
      <c r="B43" s="60">
        <v>44597</v>
      </c>
      <c r="C43" s="59" t="s">
        <v>49</v>
      </c>
      <c r="D43" s="59" t="s">
        <v>46</v>
      </c>
      <c r="E43" s="62">
        <f>-I40</f>
        <v>-161.11111111111109</v>
      </c>
      <c r="F43" s="59" t="s">
        <v>52</v>
      </c>
      <c r="H43" s="51">
        <f>H42</f>
        <v>99886.111111111109</v>
      </c>
      <c r="I43" s="51">
        <f>I42+E43</f>
        <v>0</v>
      </c>
    </row>
    <row r="44" spans="1:9" x14ac:dyDescent="0.25">
      <c r="A44" s="60">
        <v>44601</v>
      </c>
      <c r="B44" s="60">
        <v>44597</v>
      </c>
      <c r="C44" s="59" t="s">
        <v>47</v>
      </c>
      <c r="D44" s="59" t="s">
        <v>46</v>
      </c>
      <c r="E44" s="62">
        <f>ROUND(H44*$N$2,4)</f>
        <v>27.746099999999998</v>
      </c>
      <c r="F44" s="59" t="s">
        <v>52</v>
      </c>
      <c r="H44" s="51">
        <f>H43</f>
        <v>99886.111111111109</v>
      </c>
      <c r="I44" s="51">
        <f>E44</f>
        <v>27.746099999999998</v>
      </c>
    </row>
    <row r="45" spans="1:9" hidden="1" x14ac:dyDescent="0.25">
      <c r="A45" s="60">
        <v>44601</v>
      </c>
      <c r="B45" s="60">
        <v>44598</v>
      </c>
      <c r="C45" s="59" t="s">
        <v>48</v>
      </c>
      <c r="D45" s="59"/>
      <c r="E45" s="62">
        <f>E16</f>
        <v>350</v>
      </c>
      <c r="F45" s="59" t="s">
        <v>52</v>
      </c>
      <c r="H45" s="51"/>
      <c r="I45" s="51"/>
    </row>
    <row r="46" spans="1:9" hidden="1" x14ac:dyDescent="0.25">
      <c r="A46" s="60">
        <v>44601</v>
      </c>
      <c r="B46" s="60">
        <v>44598</v>
      </c>
      <c r="C46" s="59" t="s">
        <v>49</v>
      </c>
      <c r="D46" s="59" t="s">
        <v>41</v>
      </c>
      <c r="E46" s="62">
        <f>-E45-E47</f>
        <v>-322.25389999999999</v>
      </c>
      <c r="F46" s="59" t="s">
        <v>52</v>
      </c>
      <c r="H46" s="51">
        <f>H44+E46</f>
        <v>99563.857211111113</v>
      </c>
      <c r="I46" s="51">
        <f>I44</f>
        <v>27.746099999999998</v>
      </c>
    </row>
    <row r="47" spans="1:9" x14ac:dyDescent="0.25">
      <c r="A47" s="60">
        <v>44601</v>
      </c>
      <c r="B47" s="60">
        <v>44598</v>
      </c>
      <c r="C47" s="59" t="s">
        <v>49</v>
      </c>
      <c r="D47" s="59" t="s">
        <v>46</v>
      </c>
      <c r="E47" s="62">
        <f>-I44</f>
        <v>-27.746099999999998</v>
      </c>
      <c r="F47" s="59" t="s">
        <v>52</v>
      </c>
      <c r="H47" s="51">
        <f>H46</f>
        <v>99563.857211111113</v>
      </c>
      <c r="I47" s="51">
        <f>I44+E47</f>
        <v>0</v>
      </c>
    </row>
    <row r="48" spans="1:9" x14ac:dyDescent="0.25">
      <c r="A48" s="60">
        <v>44601</v>
      </c>
      <c r="B48" s="60">
        <v>44598</v>
      </c>
      <c r="C48" s="59" t="s">
        <v>47</v>
      </c>
      <c r="D48" s="59" t="s">
        <v>46</v>
      </c>
      <c r="E48" s="62">
        <f>ROUND(H48*$N$2,4)</f>
        <v>27.656600000000001</v>
      </c>
      <c r="F48" s="59" t="s">
        <v>52</v>
      </c>
      <c r="H48" s="51">
        <f>H47</f>
        <v>99563.857211111113</v>
      </c>
      <c r="I48" s="51">
        <f>I47+E49</f>
        <v>27.65662700308642</v>
      </c>
    </row>
    <row r="49" spans="1:9" x14ac:dyDescent="0.25">
      <c r="A49" s="60">
        <v>44601</v>
      </c>
      <c r="B49" s="60">
        <v>44599</v>
      </c>
      <c r="C49" s="59" t="s">
        <v>47</v>
      </c>
      <c r="D49" s="59" t="s">
        <v>46</v>
      </c>
      <c r="E49" s="62">
        <f>H48*N2</f>
        <v>27.65662700308642</v>
      </c>
      <c r="F49" s="59" t="s">
        <v>52</v>
      </c>
      <c r="H49" s="51">
        <f>H48</f>
        <v>99563.857211111113</v>
      </c>
      <c r="I49" s="51">
        <f>I48+E50</f>
        <v>55.313254006172841</v>
      </c>
    </row>
    <row r="50" spans="1:9" x14ac:dyDescent="0.25">
      <c r="A50" s="60">
        <v>44601</v>
      </c>
      <c r="B50" s="60">
        <v>44600</v>
      </c>
      <c r="C50" s="59" t="s">
        <v>47</v>
      </c>
      <c r="D50" s="59" t="s">
        <v>46</v>
      </c>
      <c r="E50" s="62">
        <f>E49</f>
        <v>27.65662700308642</v>
      </c>
      <c r="F50" s="59" t="s">
        <v>52</v>
      </c>
      <c r="H50" s="51">
        <f>H49</f>
        <v>99563.857211111113</v>
      </c>
      <c r="I50" s="51">
        <f>I49+E51</f>
        <v>82.969881009259268</v>
      </c>
    </row>
    <row r="51" spans="1:9" x14ac:dyDescent="0.25">
      <c r="A51" s="60">
        <v>44601</v>
      </c>
      <c r="B51" s="60">
        <v>44601</v>
      </c>
      <c r="C51" s="59" t="s">
        <v>47</v>
      </c>
      <c r="D51" s="59" t="s">
        <v>46</v>
      </c>
      <c r="E51" s="62">
        <f>E50</f>
        <v>27.65662700308642</v>
      </c>
      <c r="F51" s="59" t="s">
        <v>52</v>
      </c>
      <c r="H51" s="18">
        <f>H50</f>
        <v>99563.857211111113</v>
      </c>
      <c r="I51" s="18">
        <f>I50</f>
        <v>82.969881009259268</v>
      </c>
    </row>
    <row r="52" spans="1:9" x14ac:dyDescent="0.25">
      <c r="H52" s="51"/>
      <c r="I52" s="51"/>
    </row>
    <row r="53" spans="1:9" x14ac:dyDescent="0.25">
      <c r="H53" s="51"/>
      <c r="I53" s="51"/>
    </row>
    <row r="54" spans="1:9" x14ac:dyDescent="0.25"/>
    <row r="55" spans="1:9" x14ac:dyDescent="0.25">
      <c r="H55" s="54"/>
    </row>
    <row r="56" spans="1:9" x14ac:dyDescent="0.25">
      <c r="H56" s="51"/>
    </row>
    <row r="58" spans="1:9" x14ac:dyDescent="0.25">
      <c r="H58" s="51"/>
    </row>
  </sheetData>
  <autoFilter ref="A2:F51" xr:uid="{E92EE4E5-F77B-435C-B4F0-0B154E18B0F7}">
    <filterColumn colId="3">
      <filters>
        <filter val="Interest"/>
      </filters>
    </filterColumn>
  </autoFilter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1DDC-69E8-475E-AFC3-EB756DAF1EDA}">
  <sheetPr>
    <tabColor rgb="FFFFFF00"/>
  </sheetPr>
  <dimension ref="A1:G13"/>
  <sheetViews>
    <sheetView workbookViewId="0">
      <selection sqref="A1:D1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0.5703125" bestFit="1" customWidth="1"/>
  </cols>
  <sheetData>
    <row r="1" spans="1:7" x14ac:dyDescent="0.25">
      <c r="A1" s="90" t="s">
        <v>3</v>
      </c>
      <c r="B1" s="91" t="s">
        <v>7</v>
      </c>
      <c r="C1" s="92" t="s">
        <v>5</v>
      </c>
      <c r="D1" s="92" t="s">
        <v>6</v>
      </c>
      <c r="E1" s="16" t="s">
        <v>95</v>
      </c>
    </row>
    <row r="2" spans="1:7" x14ac:dyDescent="0.25">
      <c r="A2" s="27"/>
      <c r="B2" s="27"/>
      <c r="C2" s="8"/>
      <c r="D2" s="8"/>
      <c r="E2" s="9"/>
      <c r="F2" s="70"/>
      <c r="G2" s="70"/>
    </row>
    <row r="3" spans="1:7" x14ac:dyDescent="0.25">
      <c r="A3" s="27"/>
      <c r="B3" s="27"/>
      <c r="C3" s="8"/>
      <c r="D3" s="8"/>
      <c r="E3" s="9"/>
      <c r="F3" s="63"/>
      <c r="G3" s="11"/>
    </row>
    <row r="4" spans="1:7" x14ac:dyDescent="0.25">
      <c r="A4" s="27"/>
      <c r="B4" s="27"/>
      <c r="C4" s="8"/>
      <c r="D4" s="8"/>
      <c r="E4" s="9"/>
      <c r="F4" s="63"/>
    </row>
    <row r="5" spans="1:7" x14ac:dyDescent="0.25">
      <c r="A5" s="27"/>
      <c r="B5" s="27"/>
      <c r="C5" s="8"/>
      <c r="D5" s="8"/>
      <c r="E5" s="9"/>
      <c r="F5" s="63"/>
    </row>
    <row r="6" spans="1:7" x14ac:dyDescent="0.25">
      <c r="A6" s="8"/>
      <c r="B6" s="8"/>
      <c r="C6" s="8"/>
      <c r="D6" s="8"/>
      <c r="E6" s="8"/>
    </row>
    <row r="7" spans="1:7" x14ac:dyDescent="0.25">
      <c r="A7" s="8"/>
      <c r="B7" s="8"/>
      <c r="C7" s="8"/>
      <c r="D7" s="8"/>
      <c r="E7" s="8"/>
    </row>
    <row r="8" spans="1:7" x14ac:dyDescent="0.25">
      <c r="A8" s="8"/>
      <c r="B8" s="8"/>
      <c r="C8" s="8"/>
      <c r="D8" s="8"/>
      <c r="E8" s="8"/>
    </row>
    <row r="9" spans="1:7" x14ac:dyDescent="0.25">
      <c r="A9" s="8"/>
      <c r="B9" s="8"/>
      <c r="C9" s="8"/>
      <c r="D9" s="8"/>
      <c r="E9" s="8"/>
    </row>
    <row r="10" spans="1:7" x14ac:dyDescent="0.25">
      <c r="A10" s="8"/>
      <c r="B10" s="8"/>
      <c r="C10" s="8"/>
      <c r="D10" s="8"/>
      <c r="E10" s="8"/>
    </row>
    <row r="11" spans="1:7" x14ac:dyDescent="0.25">
      <c r="A11" s="8"/>
      <c r="B11" s="8"/>
      <c r="C11" s="8"/>
      <c r="D11" s="8"/>
      <c r="E11" s="8"/>
    </row>
    <row r="12" spans="1:7" x14ac:dyDescent="0.25">
      <c r="A12" s="8"/>
      <c r="B12" s="8"/>
      <c r="C12" s="8"/>
      <c r="D12" s="8"/>
      <c r="E12" s="8"/>
    </row>
    <row r="13" spans="1:7" x14ac:dyDescent="0.25">
      <c r="A13" s="8"/>
      <c r="B13" s="8"/>
      <c r="C13" s="8"/>
      <c r="D13" s="8"/>
      <c r="E13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AA1B-8AD2-4427-8A7A-E76E5DBAF7F4}">
  <sheetPr>
    <tabColor rgb="FFFFFF00"/>
  </sheetPr>
  <dimension ref="A1:G1"/>
  <sheetViews>
    <sheetView workbookViewId="0">
      <selection activeCell="F2" sqref="A1:R58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5.140625" bestFit="1" customWidth="1"/>
    <col min="6" max="6" width="53.85546875" bestFit="1" customWidth="1"/>
    <col min="7" max="7" width="57" bestFit="1" customWidth="1"/>
  </cols>
  <sheetData>
    <row r="1" spans="1:7" x14ac:dyDescent="0.25">
      <c r="A1" s="90" t="s">
        <v>3</v>
      </c>
      <c r="B1" s="91" t="s">
        <v>7</v>
      </c>
      <c r="C1" s="92" t="s">
        <v>5</v>
      </c>
      <c r="D1" s="92" t="s">
        <v>6</v>
      </c>
      <c r="E1" s="4" t="s">
        <v>97</v>
      </c>
      <c r="F1" s="89" t="s">
        <v>98</v>
      </c>
      <c r="G1" s="89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A6D6-6EA5-4EA8-8CE1-71D2C6D2E1E5}">
  <sheetPr>
    <tabColor rgb="FFFFFF00"/>
  </sheetPr>
  <dimension ref="A1:G5"/>
  <sheetViews>
    <sheetView workbookViewId="0">
      <selection activeCell="F5" sqref="F5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0.5703125" bestFit="1" customWidth="1"/>
    <col min="6" max="6" width="53.85546875" bestFit="1" customWidth="1"/>
    <col min="7" max="7" width="57" bestFit="1" customWidth="1"/>
  </cols>
  <sheetData>
    <row r="1" spans="1:7" x14ac:dyDescent="0.25">
      <c r="A1" s="15" t="s">
        <v>3</v>
      </c>
      <c r="B1" s="69" t="s">
        <v>7</v>
      </c>
      <c r="C1" s="14" t="s">
        <v>5</v>
      </c>
      <c r="D1" s="14" t="s">
        <v>6</v>
      </c>
      <c r="E1" s="16" t="s">
        <v>95</v>
      </c>
      <c r="F1" s="4" t="s">
        <v>100</v>
      </c>
      <c r="G1" s="17" t="s">
        <v>101</v>
      </c>
    </row>
    <row r="2" spans="1:7" x14ac:dyDescent="0.25">
      <c r="A2" s="27"/>
      <c r="B2" s="27"/>
      <c r="C2" s="8"/>
      <c r="D2" s="8"/>
      <c r="E2" s="9"/>
      <c r="F2" s="9"/>
      <c r="G2" s="9"/>
    </row>
    <row r="3" spans="1:7" x14ac:dyDescent="0.25">
      <c r="A3" s="27"/>
      <c r="B3" s="27"/>
      <c r="C3" s="8"/>
      <c r="D3" s="8"/>
      <c r="E3" s="9"/>
      <c r="F3" s="9"/>
      <c r="G3" s="9"/>
    </row>
    <row r="4" spans="1:7" x14ac:dyDescent="0.25">
      <c r="A4" s="27"/>
      <c r="B4" s="27"/>
      <c r="C4" s="8"/>
      <c r="D4" s="8"/>
      <c r="E4" s="9"/>
      <c r="F4" s="9"/>
      <c r="G4" s="9"/>
    </row>
    <row r="5" spans="1:7" x14ac:dyDescent="0.25">
      <c r="A5" s="27"/>
      <c r="B5" s="27"/>
      <c r="C5" s="8"/>
      <c r="D5" s="8"/>
      <c r="E5" s="9"/>
      <c r="F5" s="9"/>
      <c r="G5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077D-B5EA-4F4C-AC71-F4C52059894C}">
  <sheetPr>
    <tabColor rgb="FFFFC000"/>
  </sheetPr>
  <dimension ref="A1:O98"/>
  <sheetViews>
    <sheetView topLeftCell="A75" workbookViewId="0">
      <selection activeCell="A88" sqref="A88:G91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5.140625" bestFit="1" customWidth="1"/>
    <col min="6" max="6" width="53.85546875" bestFit="1" customWidth="1"/>
    <col min="7" max="7" width="57" bestFit="1" customWidth="1"/>
    <col min="10" max="11" width="9.7109375" bestFit="1" customWidth="1"/>
    <col min="13" max="13" width="25" customWidth="1"/>
  </cols>
  <sheetData>
    <row r="1" spans="1:15" ht="15.75" thickBot="1" x14ac:dyDescent="0.3">
      <c r="A1" s="94" t="s">
        <v>85</v>
      </c>
      <c r="B1" s="95"/>
      <c r="C1" s="95"/>
      <c r="D1" s="95"/>
      <c r="E1" s="95"/>
      <c r="F1" s="95"/>
      <c r="G1" s="96"/>
    </row>
    <row r="3" spans="1:15" x14ac:dyDescent="0.25">
      <c r="A3" s="79" t="s">
        <v>84</v>
      </c>
    </row>
    <row r="4" spans="1:15" x14ac:dyDescent="0.25">
      <c r="A4" s="81" t="s">
        <v>3</v>
      </c>
      <c r="B4" s="12" t="s">
        <v>7</v>
      </c>
      <c r="C4" s="82" t="s">
        <v>5</v>
      </c>
      <c r="D4" s="82" t="s">
        <v>6</v>
      </c>
      <c r="E4" s="83" t="s">
        <v>23</v>
      </c>
      <c r="F4" s="83" t="s">
        <v>25</v>
      </c>
      <c r="G4" s="84" t="s">
        <v>26</v>
      </c>
    </row>
    <row r="5" spans="1:15" x14ac:dyDescent="0.25">
      <c r="A5" s="27">
        <v>44592</v>
      </c>
      <c r="B5" s="27">
        <v>44592</v>
      </c>
      <c r="C5" s="8" t="s">
        <v>12</v>
      </c>
      <c r="D5" s="8">
        <v>1</v>
      </c>
      <c r="E5" s="85">
        <v>10</v>
      </c>
      <c r="F5" s="9">
        <v>100000</v>
      </c>
      <c r="G5" s="9">
        <v>100</v>
      </c>
      <c r="J5" s="63"/>
      <c r="K5" s="63"/>
    </row>
    <row r="7" spans="1:15" ht="15.75" thickBot="1" x14ac:dyDescent="0.3"/>
    <row r="8" spans="1:15" ht="15.75" thickBot="1" x14ac:dyDescent="0.3">
      <c r="A8" s="94" t="s">
        <v>86</v>
      </c>
      <c r="B8" s="95"/>
      <c r="C8" s="95"/>
      <c r="D8" s="95"/>
      <c r="E8" s="95"/>
      <c r="F8" s="95"/>
      <c r="G8" s="96"/>
    </row>
    <row r="9" spans="1:15" x14ac:dyDescent="0.25">
      <c r="A9" s="80"/>
      <c r="B9" s="80"/>
      <c r="C9" s="80"/>
      <c r="D9" s="80"/>
      <c r="E9" s="80"/>
      <c r="F9" s="80"/>
      <c r="G9" s="80"/>
    </row>
    <row r="10" spans="1:15" x14ac:dyDescent="0.25">
      <c r="A10" s="79" t="s">
        <v>84</v>
      </c>
      <c r="B10" s="80"/>
      <c r="C10" s="80"/>
      <c r="D10" s="80"/>
      <c r="E10" s="80"/>
      <c r="F10" s="80"/>
      <c r="G10" s="80"/>
    </row>
    <row r="11" spans="1:15" x14ac:dyDescent="0.25">
      <c r="A11" s="81" t="s">
        <v>3</v>
      </c>
      <c r="B11" s="12" t="s">
        <v>7</v>
      </c>
      <c r="C11" s="82" t="s">
        <v>5</v>
      </c>
      <c r="D11" s="82" t="s">
        <v>6</v>
      </c>
      <c r="E11" s="83" t="s">
        <v>23</v>
      </c>
      <c r="F11" s="83" t="s">
        <v>25</v>
      </c>
      <c r="G11" s="84" t="s">
        <v>26</v>
      </c>
      <c r="J11" t="s">
        <v>3</v>
      </c>
      <c r="K11" t="s">
        <v>4</v>
      </c>
      <c r="L11" t="s">
        <v>5</v>
      </c>
      <c r="M11" t="s">
        <v>10</v>
      </c>
      <c r="N11" t="s">
        <v>1</v>
      </c>
      <c r="O11" t="s">
        <v>6</v>
      </c>
    </row>
    <row r="12" spans="1:15" x14ac:dyDescent="0.25">
      <c r="A12" s="27">
        <v>44593</v>
      </c>
      <c r="B12" s="27">
        <v>44593</v>
      </c>
      <c r="C12" s="8" t="s">
        <v>12</v>
      </c>
      <c r="D12" s="8">
        <v>1</v>
      </c>
      <c r="E12" s="85">
        <v>10</v>
      </c>
      <c r="F12" s="9">
        <v>100000</v>
      </c>
      <c r="G12" s="9">
        <v>100</v>
      </c>
      <c r="J12" s="63">
        <v>44593</v>
      </c>
      <c r="K12" s="63">
        <v>44593</v>
      </c>
      <c r="L12" t="s">
        <v>12</v>
      </c>
      <c r="M12" t="s">
        <v>65</v>
      </c>
      <c r="N12">
        <v>27.777799999999999</v>
      </c>
      <c r="O12" t="s">
        <v>66</v>
      </c>
    </row>
    <row r="14" spans="1:15" ht="15.75" thickBot="1" x14ac:dyDescent="0.3"/>
    <row r="15" spans="1:15" ht="15.75" thickBot="1" x14ac:dyDescent="0.3">
      <c r="A15" s="94" t="s">
        <v>87</v>
      </c>
      <c r="B15" s="95"/>
      <c r="C15" s="95"/>
      <c r="D15" s="95"/>
      <c r="E15" s="95"/>
      <c r="F15" s="95"/>
      <c r="G15" s="96"/>
      <c r="H15" s="80"/>
      <c r="I15" s="80"/>
      <c r="J15" s="80"/>
      <c r="K15" s="80"/>
      <c r="L15" s="80"/>
      <c r="M15" s="80"/>
      <c r="N15" s="80"/>
      <c r="O15" s="80"/>
    </row>
    <row r="16" spans="1:15" x14ac:dyDescent="0.25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</row>
    <row r="17" spans="1:15" x14ac:dyDescent="0.25">
      <c r="A17" s="79" t="s">
        <v>84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</row>
    <row r="18" spans="1:15" x14ac:dyDescent="0.25">
      <c r="A18" s="81" t="s">
        <v>3</v>
      </c>
      <c r="B18" s="12" t="s">
        <v>7</v>
      </c>
      <c r="C18" s="82" t="s">
        <v>5</v>
      </c>
      <c r="D18" s="82" t="s">
        <v>6</v>
      </c>
      <c r="E18" s="83" t="s">
        <v>23</v>
      </c>
      <c r="F18" s="83" t="s">
        <v>25</v>
      </c>
      <c r="G18" s="84" t="s">
        <v>26</v>
      </c>
      <c r="H18" s="80"/>
      <c r="I18" s="80"/>
      <c r="J18" s="80" t="s">
        <v>3</v>
      </c>
      <c r="K18" s="80" t="s">
        <v>4</v>
      </c>
      <c r="L18" s="80" t="s">
        <v>5</v>
      </c>
      <c r="M18" s="80" t="s">
        <v>10</v>
      </c>
      <c r="N18" s="80" t="s">
        <v>1</v>
      </c>
      <c r="O18" s="80" t="s">
        <v>6</v>
      </c>
    </row>
    <row r="19" spans="1:15" x14ac:dyDescent="0.25">
      <c r="A19" s="27">
        <v>44594</v>
      </c>
      <c r="B19" s="27">
        <v>44594</v>
      </c>
      <c r="C19" s="8" t="s">
        <v>12</v>
      </c>
      <c r="D19" s="8">
        <v>1</v>
      </c>
      <c r="E19" s="85">
        <v>10</v>
      </c>
      <c r="F19" s="9">
        <v>100000</v>
      </c>
      <c r="G19" s="9">
        <v>127.7778</v>
      </c>
      <c r="H19" s="80"/>
      <c r="I19" s="80"/>
      <c r="J19" s="63">
        <v>44594</v>
      </c>
      <c r="K19" s="63">
        <v>44594</v>
      </c>
      <c r="L19" s="80" t="s">
        <v>12</v>
      </c>
      <c r="M19" s="80" t="s">
        <v>65</v>
      </c>
      <c r="N19" s="80">
        <v>27.777799999999999</v>
      </c>
      <c r="O19" s="80" t="s">
        <v>66</v>
      </c>
    </row>
    <row r="21" spans="1:15" ht="15.75" thickBot="1" x14ac:dyDescent="0.3"/>
    <row r="22" spans="1:15" ht="15.75" thickBot="1" x14ac:dyDescent="0.3">
      <c r="A22" s="94" t="s">
        <v>88</v>
      </c>
      <c r="B22" s="95"/>
      <c r="C22" s="95"/>
      <c r="D22" s="95"/>
      <c r="E22" s="95"/>
      <c r="F22" s="95"/>
      <c r="G22" s="96"/>
    </row>
    <row r="23" spans="1:15" x14ac:dyDescent="0.25">
      <c r="A23" s="80"/>
      <c r="B23" s="80"/>
      <c r="C23" s="80"/>
      <c r="D23" s="80"/>
      <c r="E23" s="80"/>
      <c r="F23" s="80"/>
      <c r="G23" s="80"/>
    </row>
    <row r="24" spans="1:15" x14ac:dyDescent="0.25">
      <c r="A24" s="79" t="s">
        <v>84</v>
      </c>
      <c r="B24" s="80"/>
      <c r="C24" s="80"/>
      <c r="D24" s="80"/>
      <c r="E24" s="80"/>
      <c r="F24" s="80"/>
      <c r="G24" s="80"/>
    </row>
    <row r="25" spans="1:15" x14ac:dyDescent="0.25">
      <c r="A25" s="81" t="s">
        <v>3</v>
      </c>
      <c r="B25" s="12" t="s">
        <v>7</v>
      </c>
      <c r="C25" s="82" t="s">
        <v>5</v>
      </c>
      <c r="D25" s="82" t="s">
        <v>6</v>
      </c>
      <c r="E25" s="83" t="s">
        <v>23</v>
      </c>
      <c r="F25" s="83" t="s">
        <v>25</v>
      </c>
      <c r="G25" s="84" t="s">
        <v>26</v>
      </c>
      <c r="J25" t="s">
        <v>3</v>
      </c>
      <c r="K25" t="s">
        <v>4</v>
      </c>
      <c r="L25" t="s">
        <v>5</v>
      </c>
      <c r="M25" t="s">
        <v>10</v>
      </c>
      <c r="N25" t="s">
        <v>1</v>
      </c>
      <c r="O25" t="s">
        <v>6</v>
      </c>
    </row>
    <row r="26" spans="1:15" x14ac:dyDescent="0.25">
      <c r="A26" s="27">
        <v>44595</v>
      </c>
      <c r="B26" s="27">
        <v>44595</v>
      </c>
      <c r="C26" s="8" t="s">
        <v>12</v>
      </c>
      <c r="D26" s="8">
        <v>1</v>
      </c>
      <c r="E26" s="85">
        <v>10</v>
      </c>
      <c r="F26" s="9">
        <v>100000</v>
      </c>
      <c r="G26" s="9">
        <v>155.5556</v>
      </c>
      <c r="J26" s="63">
        <v>44595</v>
      </c>
      <c r="K26" s="63">
        <v>44595</v>
      </c>
      <c r="L26" t="s">
        <v>12</v>
      </c>
      <c r="M26" t="s">
        <v>65</v>
      </c>
      <c r="N26">
        <v>27.777799999999999</v>
      </c>
      <c r="O26" t="s">
        <v>66</v>
      </c>
    </row>
    <row r="27" spans="1:15" x14ac:dyDescent="0.25">
      <c r="J27" s="63">
        <v>44595</v>
      </c>
      <c r="K27" s="63">
        <v>44595</v>
      </c>
      <c r="L27" t="s">
        <v>12</v>
      </c>
      <c r="M27" t="s">
        <v>71</v>
      </c>
      <c r="N27">
        <v>-80</v>
      </c>
      <c r="O27" t="s">
        <v>66</v>
      </c>
    </row>
    <row r="28" spans="1:15" x14ac:dyDescent="0.25">
      <c r="A28" s="79" t="s">
        <v>61</v>
      </c>
    </row>
    <row r="29" spans="1:15" x14ac:dyDescent="0.25">
      <c r="A29" s="15" t="s">
        <v>3</v>
      </c>
      <c r="B29" s="79" t="s">
        <v>7</v>
      </c>
      <c r="C29" s="14" t="s">
        <v>5</v>
      </c>
      <c r="D29" s="14" t="s">
        <v>6</v>
      </c>
      <c r="E29" s="16" t="s">
        <v>24</v>
      </c>
    </row>
    <row r="30" spans="1:15" x14ac:dyDescent="0.25">
      <c r="A30" s="27">
        <v>44595</v>
      </c>
      <c r="B30" s="27">
        <v>44595</v>
      </c>
      <c r="C30" s="85" t="s">
        <v>12</v>
      </c>
      <c r="D30" s="8">
        <v>1</v>
      </c>
      <c r="E30" s="9">
        <v>80</v>
      </c>
    </row>
    <row r="32" spans="1:15" ht="15.75" thickBot="1" x14ac:dyDescent="0.3"/>
    <row r="33" spans="1:15" ht="15.75" thickBot="1" x14ac:dyDescent="0.3">
      <c r="A33" s="94" t="s">
        <v>89</v>
      </c>
      <c r="B33" s="95"/>
      <c r="C33" s="95"/>
      <c r="D33" s="95"/>
      <c r="E33" s="95"/>
      <c r="F33" s="95"/>
      <c r="G33" s="96"/>
    </row>
    <row r="34" spans="1:15" x14ac:dyDescent="0.25">
      <c r="A34" s="80"/>
      <c r="B34" s="80"/>
      <c r="C34" s="80"/>
      <c r="D34" s="80"/>
      <c r="E34" s="80"/>
      <c r="F34" s="80"/>
      <c r="G34" s="80"/>
    </row>
    <row r="35" spans="1:15" x14ac:dyDescent="0.25">
      <c r="A35" s="79" t="s">
        <v>84</v>
      </c>
      <c r="B35" s="80"/>
      <c r="C35" s="80"/>
      <c r="D35" s="80"/>
      <c r="E35" s="80"/>
      <c r="F35" s="80"/>
      <c r="G35" s="80"/>
    </row>
    <row r="36" spans="1:15" x14ac:dyDescent="0.25">
      <c r="A36" s="81" t="s">
        <v>3</v>
      </c>
      <c r="B36" s="12" t="s">
        <v>7</v>
      </c>
      <c r="C36" s="82" t="s">
        <v>5</v>
      </c>
      <c r="D36" s="82" t="s">
        <v>6</v>
      </c>
      <c r="E36" s="83" t="s">
        <v>23</v>
      </c>
      <c r="F36" s="83" t="s">
        <v>25</v>
      </c>
      <c r="G36" s="84" t="s">
        <v>26</v>
      </c>
      <c r="J36" t="s">
        <v>3</v>
      </c>
      <c r="K36" t="s">
        <v>4</v>
      </c>
      <c r="L36" t="s">
        <v>5</v>
      </c>
      <c r="M36" t="s">
        <v>10</v>
      </c>
      <c r="N36" t="s">
        <v>1</v>
      </c>
      <c r="O36" t="s">
        <v>6</v>
      </c>
    </row>
    <row r="37" spans="1:15" x14ac:dyDescent="0.25">
      <c r="A37" s="27">
        <v>44596</v>
      </c>
      <c r="B37" s="27">
        <v>44596</v>
      </c>
      <c r="C37" s="8" t="s">
        <v>12</v>
      </c>
      <c r="D37" s="8">
        <v>1</v>
      </c>
      <c r="E37" s="85">
        <v>10</v>
      </c>
      <c r="F37" s="9">
        <v>100000</v>
      </c>
      <c r="G37" s="9">
        <v>103.33339999999998</v>
      </c>
      <c r="J37" s="63">
        <v>44596</v>
      </c>
      <c r="K37" s="63">
        <v>44596</v>
      </c>
      <c r="L37" t="s">
        <v>12</v>
      </c>
      <c r="M37" t="s">
        <v>65</v>
      </c>
      <c r="N37">
        <v>27.777799999999999</v>
      </c>
      <c r="O37" t="s">
        <v>66</v>
      </c>
    </row>
    <row r="39" spans="1:15" ht="15.75" thickBot="1" x14ac:dyDescent="0.3"/>
    <row r="40" spans="1:15" ht="15.75" thickBot="1" x14ac:dyDescent="0.3">
      <c r="A40" s="94" t="s">
        <v>89</v>
      </c>
      <c r="B40" s="95"/>
      <c r="C40" s="95"/>
      <c r="D40" s="95"/>
      <c r="E40" s="95"/>
      <c r="F40" s="95"/>
      <c r="G40" s="96"/>
    </row>
    <row r="41" spans="1:15" x14ac:dyDescent="0.25">
      <c r="A41" s="80"/>
      <c r="B41" s="80"/>
      <c r="C41" s="80"/>
      <c r="D41" s="80"/>
      <c r="E41" s="80"/>
      <c r="F41" s="80"/>
      <c r="G41" s="80"/>
    </row>
    <row r="42" spans="1:15" x14ac:dyDescent="0.25">
      <c r="A42" s="79" t="s">
        <v>84</v>
      </c>
      <c r="B42" s="80"/>
      <c r="C42" s="80"/>
      <c r="D42" s="80"/>
      <c r="E42" s="80"/>
      <c r="F42" s="80"/>
      <c r="G42" s="80"/>
    </row>
    <row r="43" spans="1:15" x14ac:dyDescent="0.25">
      <c r="A43" s="81" t="s">
        <v>3</v>
      </c>
      <c r="B43" s="12" t="s">
        <v>7</v>
      </c>
      <c r="C43" s="82" t="s">
        <v>5</v>
      </c>
      <c r="D43" s="82" t="s">
        <v>6</v>
      </c>
      <c r="E43" s="83" t="s">
        <v>23</v>
      </c>
      <c r="F43" s="83" t="s">
        <v>25</v>
      </c>
      <c r="G43" s="84" t="s">
        <v>26</v>
      </c>
      <c r="J43" t="s">
        <v>3</v>
      </c>
      <c r="K43" t="s">
        <v>4</v>
      </c>
      <c r="L43" t="s">
        <v>5</v>
      </c>
      <c r="M43" t="s">
        <v>10</v>
      </c>
      <c r="N43" t="s">
        <v>1</v>
      </c>
      <c r="O43" t="s">
        <v>6</v>
      </c>
    </row>
    <row r="44" spans="1:15" x14ac:dyDescent="0.25">
      <c r="A44" s="27">
        <v>44597</v>
      </c>
      <c r="B44" s="27">
        <v>44597</v>
      </c>
      <c r="C44" s="8" t="s">
        <v>12</v>
      </c>
      <c r="D44" s="8">
        <v>1</v>
      </c>
      <c r="E44" s="85">
        <v>10</v>
      </c>
      <c r="F44" s="9">
        <v>100000</v>
      </c>
      <c r="G44" s="9">
        <v>131.1112</v>
      </c>
      <c r="J44" s="63">
        <v>44597</v>
      </c>
      <c r="K44" s="63">
        <v>44597</v>
      </c>
      <c r="L44" t="s">
        <v>12</v>
      </c>
      <c r="M44" t="s">
        <v>65</v>
      </c>
      <c r="N44">
        <v>27.7378</v>
      </c>
      <c r="O44" t="s">
        <v>66</v>
      </c>
    </row>
    <row r="45" spans="1:15" x14ac:dyDescent="0.25">
      <c r="J45" s="63">
        <v>44597</v>
      </c>
      <c r="K45" s="63">
        <v>44597</v>
      </c>
      <c r="L45" t="s">
        <v>12</v>
      </c>
      <c r="M45" t="s">
        <v>71</v>
      </c>
      <c r="N45">
        <v>-131.1112</v>
      </c>
      <c r="O45" t="s">
        <v>66</v>
      </c>
    </row>
    <row r="46" spans="1:15" x14ac:dyDescent="0.25">
      <c r="A46" s="79" t="s">
        <v>61</v>
      </c>
      <c r="B46" s="80"/>
      <c r="C46" s="80"/>
      <c r="D46" s="80"/>
      <c r="E46" s="80"/>
      <c r="J46" s="63">
        <v>44597</v>
      </c>
      <c r="K46" s="63">
        <v>44597</v>
      </c>
      <c r="L46" t="s">
        <v>12</v>
      </c>
      <c r="M46" t="s">
        <v>72</v>
      </c>
      <c r="N46">
        <v>-143.8888</v>
      </c>
      <c r="O46" t="s">
        <v>66</v>
      </c>
    </row>
    <row r="47" spans="1:15" x14ac:dyDescent="0.25">
      <c r="A47" s="15" t="s">
        <v>3</v>
      </c>
      <c r="B47" s="79" t="s">
        <v>7</v>
      </c>
      <c r="C47" s="14" t="s">
        <v>5</v>
      </c>
      <c r="D47" s="14" t="s">
        <v>6</v>
      </c>
      <c r="E47" s="16" t="s">
        <v>24</v>
      </c>
    </row>
    <row r="48" spans="1:15" x14ac:dyDescent="0.25">
      <c r="A48" s="27">
        <v>44597</v>
      </c>
      <c r="B48" s="27">
        <v>44597</v>
      </c>
      <c r="C48" s="85" t="s">
        <v>12</v>
      </c>
      <c r="D48" s="8">
        <v>1</v>
      </c>
      <c r="E48" s="9">
        <v>275</v>
      </c>
    </row>
    <row r="50" spans="1:15" ht="15.75" thickBot="1" x14ac:dyDescent="0.3"/>
    <row r="51" spans="1:15" ht="15.75" thickBot="1" x14ac:dyDescent="0.3">
      <c r="A51" s="94" t="s">
        <v>90</v>
      </c>
      <c r="B51" s="95"/>
      <c r="C51" s="95"/>
      <c r="D51" s="95"/>
      <c r="E51" s="95"/>
      <c r="F51" s="95"/>
      <c r="G51" s="96"/>
      <c r="H51" s="80"/>
      <c r="I51" s="80"/>
      <c r="J51" s="80"/>
      <c r="K51" s="80"/>
      <c r="L51" s="80"/>
      <c r="M51" s="80"/>
      <c r="N51" s="80"/>
      <c r="O51" s="80"/>
    </row>
    <row r="52" spans="1:15" x14ac:dyDescent="0.25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</row>
    <row r="53" spans="1:15" x14ac:dyDescent="0.25">
      <c r="A53" s="79" t="s">
        <v>84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</row>
    <row r="54" spans="1:15" x14ac:dyDescent="0.25">
      <c r="A54" s="81" t="s">
        <v>3</v>
      </c>
      <c r="B54" s="12" t="s">
        <v>7</v>
      </c>
      <c r="C54" s="82" t="s">
        <v>5</v>
      </c>
      <c r="D54" s="82" t="s">
        <v>6</v>
      </c>
      <c r="E54" s="83" t="s">
        <v>23</v>
      </c>
      <c r="F54" s="83" t="s">
        <v>25</v>
      </c>
      <c r="G54" s="84" t="s">
        <v>26</v>
      </c>
      <c r="H54" s="80"/>
      <c r="I54" s="80"/>
      <c r="J54" s="80" t="s">
        <v>3</v>
      </c>
      <c r="K54" s="80" t="s">
        <v>4</v>
      </c>
      <c r="L54" s="80" t="s">
        <v>5</v>
      </c>
      <c r="M54" s="80" t="s">
        <v>10</v>
      </c>
      <c r="N54" s="80" t="s">
        <v>1</v>
      </c>
      <c r="O54" s="80" t="s">
        <v>6</v>
      </c>
    </row>
    <row r="55" spans="1:15" x14ac:dyDescent="0.25">
      <c r="A55" s="27">
        <v>44598</v>
      </c>
      <c r="B55" s="27">
        <v>44598</v>
      </c>
      <c r="C55" s="8" t="s">
        <v>12</v>
      </c>
      <c r="D55" s="8">
        <v>1</v>
      </c>
      <c r="E55" s="85">
        <v>10</v>
      </c>
      <c r="F55" s="9">
        <v>99856.111199999999</v>
      </c>
      <c r="G55" s="9">
        <v>27.737799999999993</v>
      </c>
      <c r="H55" s="80"/>
      <c r="I55" s="80"/>
      <c r="J55" s="63">
        <v>44598</v>
      </c>
      <c r="K55" s="63">
        <v>44598</v>
      </c>
      <c r="L55" s="80" t="s">
        <v>12</v>
      </c>
      <c r="M55" s="80" t="s">
        <v>65</v>
      </c>
      <c r="N55" s="80">
        <v>27.648299999999999</v>
      </c>
      <c r="O55" s="80" t="s">
        <v>66</v>
      </c>
    </row>
    <row r="56" spans="1:15" x14ac:dyDescent="0.25">
      <c r="A56" s="80"/>
      <c r="B56" s="80"/>
      <c r="C56" s="80"/>
      <c r="D56" s="80"/>
      <c r="E56" s="80"/>
      <c r="F56" s="80"/>
      <c r="G56" s="80"/>
      <c r="H56" s="80"/>
      <c r="I56" s="80"/>
      <c r="J56" s="63">
        <v>44598</v>
      </c>
      <c r="K56" s="63">
        <v>44598</v>
      </c>
      <c r="L56" s="80" t="s">
        <v>12</v>
      </c>
      <c r="M56" s="80" t="s">
        <v>72</v>
      </c>
      <c r="N56" s="80">
        <v>-322.26220000000001</v>
      </c>
      <c r="O56" s="80" t="s">
        <v>66</v>
      </c>
    </row>
    <row r="57" spans="1:15" x14ac:dyDescent="0.25">
      <c r="A57" s="79" t="s">
        <v>61</v>
      </c>
      <c r="B57" s="80"/>
      <c r="C57" s="80"/>
      <c r="D57" s="80"/>
      <c r="E57" s="80"/>
      <c r="F57" s="80"/>
      <c r="G57" s="80"/>
      <c r="H57" s="80"/>
      <c r="I57" s="80"/>
      <c r="J57" s="63">
        <v>44598</v>
      </c>
      <c r="K57" s="63">
        <v>44598</v>
      </c>
      <c r="L57" s="80" t="s">
        <v>12</v>
      </c>
      <c r="M57" s="80" t="s">
        <v>71</v>
      </c>
      <c r="N57" s="80">
        <v>-27.7378</v>
      </c>
      <c r="O57" s="80" t="s">
        <v>66</v>
      </c>
    </row>
    <row r="58" spans="1:15" x14ac:dyDescent="0.25">
      <c r="A58" s="15" t="s">
        <v>3</v>
      </c>
      <c r="B58" s="79" t="s">
        <v>7</v>
      </c>
      <c r="C58" s="14" t="s">
        <v>5</v>
      </c>
      <c r="D58" s="14" t="s">
        <v>6</v>
      </c>
      <c r="E58" s="16" t="s">
        <v>24</v>
      </c>
      <c r="F58" s="80"/>
      <c r="G58" s="80"/>
      <c r="H58" s="80"/>
      <c r="I58" s="80"/>
    </row>
    <row r="59" spans="1:15" x14ac:dyDescent="0.25">
      <c r="A59" s="27">
        <v>44598</v>
      </c>
      <c r="B59" s="27">
        <v>44598</v>
      </c>
      <c r="C59" s="85" t="s">
        <v>12</v>
      </c>
      <c r="D59" s="8">
        <v>1</v>
      </c>
      <c r="E59" s="9">
        <v>350</v>
      </c>
      <c r="F59" s="80"/>
      <c r="G59" s="80"/>
      <c r="H59" s="80"/>
      <c r="I59" s="80"/>
      <c r="J59" s="80" t="s">
        <v>68</v>
      </c>
      <c r="K59" s="80" t="s">
        <v>68</v>
      </c>
      <c r="L59" s="80" t="s">
        <v>68</v>
      </c>
      <c r="M59" s="80" t="s">
        <v>68</v>
      </c>
      <c r="N59" s="80" t="s">
        <v>68</v>
      </c>
      <c r="O59" s="80" t="s">
        <v>68</v>
      </c>
    </row>
    <row r="61" spans="1:15" ht="15.75" thickBot="1" x14ac:dyDescent="0.3"/>
    <row r="62" spans="1:15" ht="15.75" thickBot="1" x14ac:dyDescent="0.3">
      <c r="A62" s="94" t="s">
        <v>91</v>
      </c>
      <c r="B62" s="95"/>
      <c r="C62" s="95"/>
      <c r="D62" s="95"/>
      <c r="E62" s="95"/>
      <c r="F62" s="95"/>
      <c r="G62" s="96"/>
    </row>
    <row r="63" spans="1:15" x14ac:dyDescent="0.25">
      <c r="A63" s="80"/>
      <c r="B63" s="80"/>
      <c r="C63" s="80"/>
      <c r="D63" s="80"/>
      <c r="E63" s="80"/>
      <c r="F63" s="80"/>
      <c r="G63" s="80"/>
    </row>
    <row r="64" spans="1:15" x14ac:dyDescent="0.25">
      <c r="A64" s="79" t="s">
        <v>84</v>
      </c>
      <c r="B64" s="80"/>
      <c r="C64" s="80"/>
      <c r="D64" s="80"/>
      <c r="E64" s="80"/>
      <c r="F64" s="80"/>
      <c r="G64" s="80"/>
    </row>
    <row r="65" spans="1:15" x14ac:dyDescent="0.25">
      <c r="A65" s="81" t="s">
        <v>3</v>
      </c>
      <c r="B65" s="12" t="s">
        <v>7</v>
      </c>
      <c r="C65" s="82" t="s">
        <v>5</v>
      </c>
      <c r="D65" s="82" t="s">
        <v>6</v>
      </c>
      <c r="E65" s="83" t="s">
        <v>23</v>
      </c>
      <c r="F65" s="83" t="s">
        <v>25</v>
      </c>
      <c r="G65" s="84" t="s">
        <v>26</v>
      </c>
      <c r="J65" t="s">
        <v>3</v>
      </c>
      <c r="K65" t="s">
        <v>4</v>
      </c>
      <c r="L65" t="s">
        <v>5</v>
      </c>
      <c r="M65" t="s">
        <v>10</v>
      </c>
      <c r="N65" t="s">
        <v>1</v>
      </c>
      <c r="O65" t="s">
        <v>6</v>
      </c>
    </row>
    <row r="66" spans="1:15" x14ac:dyDescent="0.25">
      <c r="A66" s="27">
        <v>44599</v>
      </c>
      <c r="B66" s="27">
        <v>44599</v>
      </c>
      <c r="C66" s="8" t="s">
        <v>12</v>
      </c>
      <c r="D66" s="8">
        <v>1</v>
      </c>
      <c r="E66" s="85">
        <v>10</v>
      </c>
      <c r="F66" s="9">
        <v>99533.849000000002</v>
      </c>
      <c r="G66" s="9">
        <v>27.648299999999992</v>
      </c>
      <c r="J66" s="63">
        <v>44599</v>
      </c>
      <c r="K66" s="63">
        <v>44599</v>
      </c>
      <c r="L66" t="s">
        <v>12</v>
      </c>
      <c r="M66" t="s">
        <v>65</v>
      </c>
      <c r="N66">
        <v>27.648299999999999</v>
      </c>
      <c r="O66" t="s">
        <v>66</v>
      </c>
    </row>
    <row r="67" spans="1:15" x14ac:dyDescent="0.25">
      <c r="A67" s="80"/>
      <c r="B67" s="80"/>
      <c r="C67" s="80"/>
      <c r="D67" s="80"/>
      <c r="E67" s="80"/>
      <c r="F67" s="80"/>
      <c r="G67" s="80"/>
      <c r="J67" t="s">
        <v>68</v>
      </c>
      <c r="K67" t="s">
        <v>68</v>
      </c>
      <c r="L67" t="s">
        <v>68</v>
      </c>
      <c r="M67" t="s">
        <v>68</v>
      </c>
      <c r="N67" t="s">
        <v>68</v>
      </c>
      <c r="O67" t="s">
        <v>68</v>
      </c>
    </row>
    <row r="68" spans="1:15" ht="15.75" thickBot="1" x14ac:dyDescent="0.3">
      <c r="J68" t="s">
        <v>68</v>
      </c>
      <c r="K68" t="s">
        <v>68</v>
      </c>
      <c r="L68" t="s">
        <v>68</v>
      </c>
      <c r="M68" t="s">
        <v>68</v>
      </c>
      <c r="N68" t="s">
        <v>68</v>
      </c>
      <c r="O68" t="s">
        <v>68</v>
      </c>
    </row>
    <row r="69" spans="1:15" ht="15.75" thickBot="1" x14ac:dyDescent="0.3">
      <c r="A69" s="94" t="s">
        <v>92</v>
      </c>
      <c r="B69" s="95"/>
      <c r="C69" s="95"/>
      <c r="D69" s="95"/>
      <c r="E69" s="95"/>
      <c r="F69" s="95"/>
      <c r="G69" s="96"/>
      <c r="H69" s="80"/>
      <c r="I69" s="80"/>
      <c r="J69" s="80"/>
      <c r="K69" s="80"/>
      <c r="L69" s="80"/>
      <c r="M69" s="80"/>
      <c r="N69" s="80"/>
      <c r="O69" s="80"/>
    </row>
    <row r="70" spans="1:15" x14ac:dyDescent="0.25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</row>
    <row r="71" spans="1:15" x14ac:dyDescent="0.25">
      <c r="A71" s="79" t="s">
        <v>84</v>
      </c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</row>
    <row r="72" spans="1:15" x14ac:dyDescent="0.25">
      <c r="A72" s="81" t="s">
        <v>3</v>
      </c>
      <c r="B72" s="12" t="s">
        <v>7</v>
      </c>
      <c r="C72" s="82" t="s">
        <v>5</v>
      </c>
      <c r="D72" s="82" t="s">
        <v>6</v>
      </c>
      <c r="E72" s="83" t="s">
        <v>23</v>
      </c>
      <c r="F72" s="83" t="s">
        <v>25</v>
      </c>
      <c r="G72" s="84" t="s">
        <v>26</v>
      </c>
      <c r="H72" s="80"/>
      <c r="I72" s="80"/>
      <c r="J72" s="80" t="s">
        <v>3</v>
      </c>
      <c r="K72" s="80" t="s">
        <v>4</v>
      </c>
      <c r="L72" s="80" t="s">
        <v>5</v>
      </c>
      <c r="M72" s="80" t="s">
        <v>10</v>
      </c>
      <c r="N72" s="80" t="s">
        <v>1</v>
      </c>
      <c r="O72" s="80" t="s">
        <v>6</v>
      </c>
    </row>
    <row r="73" spans="1:15" x14ac:dyDescent="0.25">
      <c r="A73" s="63">
        <v>44600</v>
      </c>
      <c r="B73" s="63">
        <v>44600</v>
      </c>
      <c r="C73" s="8" t="s">
        <v>12</v>
      </c>
      <c r="D73" s="8">
        <v>1</v>
      </c>
      <c r="E73" s="85">
        <v>10</v>
      </c>
      <c r="F73" s="9">
        <v>99533.849000000002</v>
      </c>
      <c r="G73" s="9">
        <v>55.296599999999991</v>
      </c>
      <c r="H73" s="80"/>
      <c r="I73" s="80"/>
      <c r="J73" s="63">
        <v>44600</v>
      </c>
      <c r="K73" s="63">
        <v>44600</v>
      </c>
      <c r="L73" s="80" t="s">
        <v>12</v>
      </c>
      <c r="M73" s="80" t="s">
        <v>65</v>
      </c>
      <c r="N73" s="80">
        <v>27.648299999999999</v>
      </c>
      <c r="O73" s="80" t="s">
        <v>66</v>
      </c>
    </row>
    <row r="75" spans="1:15" ht="15.75" thickBot="1" x14ac:dyDescent="0.3"/>
    <row r="76" spans="1:15" ht="15.75" thickBot="1" x14ac:dyDescent="0.3">
      <c r="A76" s="94" t="s">
        <v>93</v>
      </c>
      <c r="B76" s="95"/>
      <c r="C76" s="95"/>
      <c r="D76" s="95"/>
      <c r="E76" s="95"/>
      <c r="F76" s="95"/>
      <c r="G76" s="96"/>
      <c r="H76" s="80"/>
      <c r="I76" s="80"/>
      <c r="J76" s="80"/>
      <c r="K76" s="80"/>
      <c r="L76" s="80"/>
      <c r="M76" s="80"/>
      <c r="N76" s="80"/>
      <c r="O76" s="80"/>
    </row>
    <row r="77" spans="1:15" x14ac:dyDescent="0.25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</row>
    <row r="78" spans="1:15" x14ac:dyDescent="0.25">
      <c r="A78" s="79" t="s">
        <v>84</v>
      </c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</row>
    <row r="79" spans="1:15" x14ac:dyDescent="0.25">
      <c r="A79" s="81" t="s">
        <v>3</v>
      </c>
      <c r="B79" s="12" t="s">
        <v>7</v>
      </c>
      <c r="C79" s="82" t="s">
        <v>5</v>
      </c>
      <c r="D79" s="82" t="s">
        <v>6</v>
      </c>
      <c r="E79" s="83" t="s">
        <v>23</v>
      </c>
      <c r="F79" s="83" t="s">
        <v>25</v>
      </c>
      <c r="G79" s="84" t="s">
        <v>26</v>
      </c>
      <c r="H79" s="80"/>
      <c r="I79" s="80"/>
      <c r="J79" s="80" t="s">
        <v>3</v>
      </c>
      <c r="K79" s="80" t="s">
        <v>4</v>
      </c>
      <c r="L79" s="80" t="s">
        <v>5</v>
      </c>
      <c r="M79" s="80" t="s">
        <v>10</v>
      </c>
      <c r="N79" s="80" t="s">
        <v>1</v>
      </c>
      <c r="O79" s="80" t="s">
        <v>6</v>
      </c>
    </row>
    <row r="80" spans="1:15" x14ac:dyDescent="0.25">
      <c r="A80" s="63">
        <v>44601</v>
      </c>
      <c r="B80" s="63">
        <v>44601</v>
      </c>
      <c r="C80" s="8" t="s">
        <v>12</v>
      </c>
      <c r="D80" s="8">
        <v>1</v>
      </c>
      <c r="E80" s="85">
        <v>10</v>
      </c>
      <c r="F80" s="9">
        <v>99533.849000000002</v>
      </c>
      <c r="G80" s="9">
        <v>82.94489999999999</v>
      </c>
      <c r="H80" s="80"/>
      <c r="I80" s="80"/>
      <c r="J80" s="63">
        <v>44601</v>
      </c>
      <c r="K80" s="63">
        <v>44601</v>
      </c>
      <c r="L80" s="80" t="s">
        <v>12</v>
      </c>
      <c r="M80" s="80" t="s">
        <v>65</v>
      </c>
      <c r="N80" s="80">
        <v>27.648299999999999</v>
      </c>
      <c r="O80" s="80" t="s">
        <v>66</v>
      </c>
    </row>
    <row r="81" spans="1:15" x14ac:dyDescent="0.25">
      <c r="J81" s="63">
        <v>44601</v>
      </c>
      <c r="K81" s="63">
        <v>44601</v>
      </c>
      <c r="L81" t="s">
        <v>12</v>
      </c>
      <c r="M81" t="s">
        <v>67</v>
      </c>
      <c r="N81">
        <v>3.3300000000000003E-2</v>
      </c>
      <c r="O81" t="s">
        <v>66</v>
      </c>
    </row>
    <row r="82" spans="1:15" x14ac:dyDescent="0.25">
      <c r="A82" s="79" t="s">
        <v>61</v>
      </c>
      <c r="J82" s="63">
        <v>44601</v>
      </c>
      <c r="K82" s="63">
        <v>44601</v>
      </c>
      <c r="L82" t="s">
        <v>12</v>
      </c>
      <c r="M82" t="s">
        <v>69</v>
      </c>
      <c r="N82">
        <v>30.008299999999998</v>
      </c>
      <c r="O82" t="s">
        <v>66</v>
      </c>
    </row>
    <row r="83" spans="1:15" x14ac:dyDescent="0.25">
      <c r="A83" s="15" t="s">
        <v>3</v>
      </c>
      <c r="B83" s="79" t="s">
        <v>7</v>
      </c>
      <c r="C83" s="14" t="s">
        <v>5</v>
      </c>
      <c r="D83" s="14" t="s">
        <v>6</v>
      </c>
      <c r="E83" s="16" t="s">
        <v>24</v>
      </c>
      <c r="J83" t="s">
        <v>68</v>
      </c>
      <c r="K83" t="s">
        <v>68</v>
      </c>
      <c r="L83" t="s">
        <v>68</v>
      </c>
      <c r="M83" t="s">
        <v>68</v>
      </c>
      <c r="N83" t="s">
        <v>68</v>
      </c>
      <c r="O83" t="s">
        <v>68</v>
      </c>
    </row>
    <row r="84" spans="1:15" x14ac:dyDescent="0.25">
      <c r="A84" s="27">
        <v>44601</v>
      </c>
      <c r="B84" s="27">
        <v>44595</v>
      </c>
      <c r="C84" s="8" t="s">
        <v>12</v>
      </c>
      <c r="D84" s="8">
        <v>1</v>
      </c>
      <c r="E84" s="9">
        <v>-30</v>
      </c>
    </row>
    <row r="86" spans="1:15" x14ac:dyDescent="0.25">
      <c r="A86" s="79" t="s">
        <v>62</v>
      </c>
    </row>
    <row r="87" spans="1:15" x14ac:dyDescent="0.25">
      <c r="A87" s="15" t="s">
        <v>3</v>
      </c>
      <c r="B87" s="79" t="s">
        <v>7</v>
      </c>
      <c r="C87" s="14" t="s">
        <v>5</v>
      </c>
      <c r="D87" s="14" t="s">
        <v>6</v>
      </c>
      <c r="E87" s="16" t="s">
        <v>24</v>
      </c>
      <c r="F87" s="4" t="s">
        <v>25</v>
      </c>
      <c r="G87" s="17" t="s">
        <v>26</v>
      </c>
    </row>
    <row r="88" spans="1:15" x14ac:dyDescent="0.25">
      <c r="A88" s="27">
        <v>44601</v>
      </c>
      <c r="B88" s="27">
        <v>44595</v>
      </c>
      <c r="C88" s="8" t="s">
        <v>12</v>
      </c>
      <c r="D88" s="8">
        <v>1</v>
      </c>
      <c r="E88" s="9">
        <v>50</v>
      </c>
      <c r="F88" s="9">
        <v>100000</v>
      </c>
      <c r="G88" s="9">
        <v>155.55555555555554</v>
      </c>
    </row>
    <row r="89" spans="1:15" x14ac:dyDescent="0.25">
      <c r="A89" s="27">
        <v>44601</v>
      </c>
      <c r="B89" s="27">
        <v>44597</v>
      </c>
      <c r="C89" s="8" t="s">
        <v>12</v>
      </c>
      <c r="D89" s="8">
        <v>1</v>
      </c>
      <c r="E89" s="9">
        <v>275</v>
      </c>
      <c r="F89" s="9">
        <v>100000</v>
      </c>
      <c r="G89" s="9">
        <v>131.11111111111109</v>
      </c>
    </row>
    <row r="90" spans="1:15" x14ac:dyDescent="0.25">
      <c r="A90" s="27">
        <v>44601</v>
      </c>
      <c r="B90" s="27">
        <v>44598</v>
      </c>
      <c r="C90" s="8" t="s">
        <v>12</v>
      </c>
      <c r="D90" s="8">
        <v>1</v>
      </c>
      <c r="E90" s="9">
        <v>350</v>
      </c>
      <c r="F90" s="9">
        <v>99856.111111111109</v>
      </c>
      <c r="G90" s="9">
        <v>27.64829136659808</v>
      </c>
    </row>
    <row r="91" spans="1:15" x14ac:dyDescent="0.25">
      <c r="A91" s="27">
        <v>44601</v>
      </c>
      <c r="B91" s="27">
        <v>44601</v>
      </c>
      <c r="C91" s="8" t="s">
        <v>12</v>
      </c>
      <c r="D91" s="8">
        <v>1</v>
      </c>
      <c r="E91" s="9"/>
      <c r="F91" s="9">
        <v>99533.848919753087</v>
      </c>
      <c r="G91" s="9">
        <v>82.944874099794248</v>
      </c>
    </row>
    <row r="93" spans="1:15" ht="15.75" thickBot="1" x14ac:dyDescent="0.3"/>
    <row r="94" spans="1:15" ht="15.75" thickBot="1" x14ac:dyDescent="0.3">
      <c r="A94" s="94" t="s">
        <v>94</v>
      </c>
      <c r="B94" s="95"/>
      <c r="C94" s="95"/>
      <c r="D94" s="95"/>
      <c r="E94" s="95"/>
      <c r="F94" s="95"/>
      <c r="G94" s="96"/>
    </row>
    <row r="95" spans="1:15" x14ac:dyDescent="0.25">
      <c r="A95" s="80"/>
      <c r="B95" s="80"/>
      <c r="C95" s="80"/>
      <c r="D95" s="80"/>
      <c r="E95" s="80"/>
      <c r="F95" s="80"/>
      <c r="G95" s="80"/>
    </row>
    <row r="96" spans="1:15" x14ac:dyDescent="0.25">
      <c r="A96" s="79" t="s">
        <v>84</v>
      </c>
      <c r="B96" s="80"/>
      <c r="C96" s="80"/>
      <c r="D96" s="80"/>
      <c r="E96" s="80"/>
      <c r="F96" s="80"/>
      <c r="G96" s="80"/>
    </row>
    <row r="97" spans="1:7" x14ac:dyDescent="0.25">
      <c r="A97" s="81" t="s">
        <v>3</v>
      </c>
      <c r="B97" s="12" t="s">
        <v>7</v>
      </c>
      <c r="C97" s="82" t="s">
        <v>5</v>
      </c>
      <c r="D97" s="82" t="s">
        <v>6</v>
      </c>
      <c r="E97" s="83" t="s">
        <v>23</v>
      </c>
      <c r="F97" s="83" t="s">
        <v>25</v>
      </c>
      <c r="G97" s="84" t="s">
        <v>26</v>
      </c>
    </row>
    <row r="98" spans="1:7" x14ac:dyDescent="0.25">
      <c r="A98" s="63">
        <v>44601</v>
      </c>
      <c r="B98" s="63">
        <v>44601</v>
      </c>
      <c r="C98" s="8" t="s">
        <v>12</v>
      </c>
      <c r="D98" s="8">
        <v>1</v>
      </c>
      <c r="E98" s="85">
        <v>10</v>
      </c>
      <c r="F98" s="9">
        <v>99563.857300000003</v>
      </c>
      <c r="G98" s="9">
        <v>110.62649999999999</v>
      </c>
    </row>
  </sheetData>
  <mergeCells count="11">
    <mergeCell ref="A40:G40"/>
    <mergeCell ref="A1:G1"/>
    <mergeCell ref="A8:G8"/>
    <mergeCell ref="A15:G15"/>
    <mergeCell ref="A22:G22"/>
    <mergeCell ref="A33:G33"/>
    <mergeCell ref="A51:G51"/>
    <mergeCell ref="A62:G62"/>
    <mergeCell ref="A69:G69"/>
    <mergeCell ref="A76:G76"/>
    <mergeCell ref="A94:G9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11DC-07A4-4BFA-974D-29F022E65F90}">
  <sheetPr>
    <tabColor rgb="FFFFC000"/>
  </sheetPr>
  <dimension ref="A1:N44"/>
  <sheetViews>
    <sheetView tabSelected="1" workbookViewId="0">
      <selection sqref="A1:K1"/>
    </sheetView>
  </sheetViews>
  <sheetFormatPr defaultRowHeight="15" x14ac:dyDescent="0.25"/>
  <cols>
    <col min="1" max="1" width="39.7109375" customWidth="1"/>
    <col min="2" max="2" width="36.140625" customWidth="1"/>
    <col min="3" max="3" width="12.85546875" bestFit="1" customWidth="1"/>
    <col min="4" max="4" width="24.85546875" customWidth="1"/>
    <col min="5" max="5" width="15.7109375" customWidth="1"/>
    <col min="6" max="6" width="23.42578125" customWidth="1"/>
    <col min="7" max="7" width="14.85546875" customWidth="1"/>
    <col min="8" max="8" width="17.28515625" customWidth="1"/>
    <col min="9" max="9" width="21.42578125" customWidth="1"/>
    <col min="10" max="10" width="27.42578125" customWidth="1"/>
    <col min="11" max="11" width="13" customWidth="1"/>
    <col min="13" max="13" width="20.140625" customWidth="1"/>
  </cols>
  <sheetData>
    <row r="1" spans="1:14" ht="15.75" thickBot="1" x14ac:dyDescent="0.3">
      <c r="A1" s="97" t="s">
        <v>29</v>
      </c>
      <c r="B1" s="98"/>
      <c r="C1" s="98"/>
      <c r="D1" s="98"/>
      <c r="E1" s="98"/>
      <c r="F1" s="98"/>
      <c r="G1" s="98"/>
      <c r="H1" s="98"/>
      <c r="I1" s="98"/>
      <c r="J1" s="98"/>
      <c r="K1" s="99"/>
    </row>
    <row r="2" spans="1:14" x14ac:dyDescent="0.25">
      <c r="A2" s="28" t="s">
        <v>14</v>
      </c>
      <c r="B2" s="29">
        <f>INT_ACC!E2/100</f>
        <v>0</v>
      </c>
    </row>
    <row r="3" spans="1:14" s="11" customFormat="1" x14ac:dyDescent="0.25">
      <c r="A3" s="12" t="s">
        <v>5</v>
      </c>
      <c r="B3" s="30">
        <f>INT_ACC!C2</f>
        <v>0</v>
      </c>
    </row>
    <row r="4" spans="1:14" s="11" customFormat="1" x14ac:dyDescent="0.25">
      <c r="A4" s="12" t="s">
        <v>3</v>
      </c>
      <c r="B4" s="31" t="str">
        <f>IF(INT_ACC!A2="","",INT_ACC!A2)</f>
        <v/>
      </c>
      <c r="D4" s="63"/>
    </row>
    <row r="5" spans="1:14" s="70" customFormat="1" x14ac:dyDescent="0.25">
      <c r="A5" s="12" t="s">
        <v>59</v>
      </c>
      <c r="B5" s="31" t="str">
        <f>IF(OR(MIN(PMT!$B$2:$B$13)=B4,MIN(PMT!$B$2:$B$13)=0),"",MIN(PMT!$B$2:$B$13))</f>
        <v/>
      </c>
      <c r="D5" s="63"/>
    </row>
    <row r="6" spans="1:14" s="11" customFormat="1" x14ac:dyDescent="0.25">
      <c r="A6" s="12" t="s">
        <v>53</v>
      </c>
      <c r="B6" s="65"/>
      <c r="C6" s="64"/>
      <c r="D6" s="63"/>
    </row>
    <row r="7" spans="1:14" x14ac:dyDescent="0.25">
      <c r="D7" s="63"/>
    </row>
    <row r="8" spans="1:14" ht="30" x14ac:dyDescent="0.25">
      <c r="A8" s="13" t="s">
        <v>27</v>
      </c>
      <c r="B8" s="13" t="s">
        <v>28</v>
      </c>
      <c r="C8" s="13" t="s">
        <v>17</v>
      </c>
      <c r="D8" s="13" t="s">
        <v>18</v>
      </c>
      <c r="E8" s="13" t="s">
        <v>16</v>
      </c>
      <c r="F8" s="13" t="s">
        <v>15</v>
      </c>
      <c r="G8" s="13" t="s">
        <v>19</v>
      </c>
      <c r="H8" s="13" t="s">
        <v>20</v>
      </c>
      <c r="I8" s="13" t="s">
        <v>22</v>
      </c>
      <c r="J8" s="13" t="s">
        <v>2</v>
      </c>
      <c r="K8" s="13" t="s">
        <v>21</v>
      </c>
      <c r="L8" s="13" t="s">
        <v>96</v>
      </c>
    </row>
    <row r="9" spans="1:14" x14ac:dyDescent="0.25">
      <c r="A9" s="8">
        <v>1</v>
      </c>
      <c r="B9" s="33" t="str">
        <f>IFERROR(IF(AND(A9=$B$6,B8&lt;&gt;$B$4),$B$4,IF(MATCH(PMT!B2,PMT!B$2:'PMT'!B$100,0)=ROW(PMT!B2)-ROW(PMT!B$2)+1,PMT!B2,"")),"")</f>
        <v/>
      </c>
      <c r="C9" s="34" t="str">
        <f>IFERROR(IF(B9="","",IF(B5="",VLOOKUP(B9,INT_ACC!#REF!,5,FALSE),VLOOKUP(B9,PMT_RP!$B$2:$G$3,5,FALSE))),"")</f>
        <v/>
      </c>
      <c r="D9" s="34" t="str">
        <f>IFERROR(IF(B9="","",IF(B5="",VLOOKUP(B9,INT_ACC!#REF!,6,FALSE),VLOOKUP(B9,PMT_RP!$B$2:$G$3,6,FALSE))),"")</f>
        <v/>
      </c>
      <c r="E9" s="34" t="str">
        <f>IF(B9="","",IF(B10="",0,(B10-B9)-1))</f>
        <v/>
      </c>
      <c r="F9" s="34" t="str">
        <f>IF(B9="","",IF($B$5="",SUMIF(PMT!$B$2:$E$13,CALCULATION!B9,PMT!$E$2:$E$13),SUMIF(PMT_RP!$B$2:$E$10,CALCULATION!B9,PMT_RP!$E$2:$E$10)))</f>
        <v/>
      </c>
      <c r="G9" s="34" t="str">
        <f>IF(B9="","",IF(F9&lt;D9,F9,D9))</f>
        <v/>
      </c>
      <c r="H9" s="35" t="str">
        <f>IF(B9="","",F9-G9)</f>
        <v/>
      </c>
      <c r="I9" s="36" t="str">
        <f>IFERROR(IF(B9="","",C9-H9),0)</f>
        <v/>
      </c>
      <c r="J9" s="37" t="str">
        <f>IFERROR(IF(B9="","",(I9*$B$2)/360),0)</f>
        <v/>
      </c>
      <c r="K9" s="35" t="str">
        <f>IFERROR(IF(B9="","",D9-G9+J9),0)</f>
        <v/>
      </c>
      <c r="L9" s="88">
        <f>IF(G9&lt;&gt;"",ROW(),0)</f>
        <v>0</v>
      </c>
      <c r="M9" s="66"/>
      <c r="N9" s="63"/>
    </row>
    <row r="10" spans="1:14" x14ac:dyDescent="0.25">
      <c r="A10" s="8">
        <v>2</v>
      </c>
      <c r="B10" s="33" t="str">
        <f>IFERROR(IF(AND(A10=$B$6,B9&lt;&gt;$B$4),$B$4,IF(MATCH(PMT_RP!B3,PMT_RP!B$2:'PMT_RP'!B$97,0)=ROW(PMT_RP!B3)-ROW(PMT_RP!B$2)+1,PMT_RP!B3,"")),"")</f>
        <v/>
      </c>
      <c r="C10" s="34" t="str">
        <f>IF(B10="","",I9)</f>
        <v/>
      </c>
      <c r="D10" s="37" t="str">
        <f>IF(B10="","",K9+(J9*E9))</f>
        <v/>
      </c>
      <c r="E10" s="34" t="str">
        <f t="shared" ref="E10:E20" si="0">IF(B10="","",IF(B11="",0,(B11-B10)-1))</f>
        <v/>
      </c>
      <c r="F10" s="34" t="str">
        <f>IF(B10="","",IF($B$5="",SUMIF(PMT!$B$2:$E$13,CALCULATION!B10,PMT!$E$2:$E$13),SUMIF(PMT_RP!$B$2:$E$10,CALCULATION!B10,PMT_RP!$E$2:$E$10)))</f>
        <v/>
      </c>
      <c r="G10" s="34" t="str">
        <f t="shared" ref="G10:G20" si="1">IF(B10="","",IF(F10&lt;D10,F10,D10))</f>
        <v/>
      </c>
      <c r="H10" s="35" t="str">
        <f t="shared" ref="H10:H20" si="2">IF(B10="","",F10-G10)</f>
        <v/>
      </c>
      <c r="I10" s="36" t="str">
        <f t="shared" ref="I10:I20" si="3">IFERROR(IF(B10="","",C10-H10),0)</f>
        <v/>
      </c>
      <c r="J10" s="37" t="str">
        <f t="shared" ref="J10:J20" si="4">IFERROR(IF(B10="","",(I10*$B$2)/360),0)</f>
        <v/>
      </c>
      <c r="K10" s="35" t="str">
        <f t="shared" ref="K10:K20" si="5">IFERROR(IF(B10="","",D10-G10+J10),0)</f>
        <v/>
      </c>
      <c r="L10" s="88">
        <f t="shared" ref="L10:L20" si="6">IF(G10&lt;&gt;"",ROW(),0)</f>
        <v>0</v>
      </c>
      <c r="M10" s="66"/>
      <c r="N10" s="63"/>
    </row>
    <row r="11" spans="1:14" x14ac:dyDescent="0.25">
      <c r="A11" s="8">
        <v>3</v>
      </c>
      <c r="B11" s="33" t="str">
        <f>IFERROR(IF(AND(A11=$B$6,B10&lt;&gt;$B$4),$B$4,IF(MATCH(PMT_RP!B4,PMT_RP!B$2:'PMT_RP'!B$97,0)=ROW(PMT_RP!B4)-ROW(PMT_RP!B$2)+1,PMT_RP!B4,"")),"")</f>
        <v/>
      </c>
      <c r="C11" s="34" t="str">
        <f t="shared" ref="C11:C20" si="7">IF(B11="","",I10)</f>
        <v/>
      </c>
      <c r="D11" s="37" t="str">
        <f t="shared" ref="D11:D20" si="8">IF(B11="","",K10+(J10*E10))</f>
        <v/>
      </c>
      <c r="E11" s="34" t="str">
        <f t="shared" si="0"/>
        <v/>
      </c>
      <c r="F11" s="34" t="str">
        <f>IF(B11="","",IF($B$5="",SUMIF(PMT!$B$2:$E$13,CALCULATION!B11,PMT!$E$2:$E$13),SUMIF(PMT_RP!$B$2:$E$10,CALCULATION!B11,PMT_RP!$E$2:$E$10)))</f>
        <v/>
      </c>
      <c r="G11" s="34" t="str">
        <f t="shared" si="1"/>
        <v/>
      </c>
      <c r="H11" s="35" t="str">
        <f t="shared" si="2"/>
        <v/>
      </c>
      <c r="I11" s="36" t="str">
        <f t="shared" si="3"/>
        <v/>
      </c>
      <c r="J11" s="37" t="str">
        <f t="shared" si="4"/>
        <v/>
      </c>
      <c r="K11" s="35" t="str">
        <f t="shared" si="5"/>
        <v/>
      </c>
      <c r="L11" s="88">
        <f t="shared" si="6"/>
        <v>0</v>
      </c>
      <c r="M11" s="66"/>
      <c r="N11" s="63"/>
    </row>
    <row r="12" spans="1:14" x14ac:dyDescent="0.25">
      <c r="A12" s="8">
        <v>4</v>
      </c>
      <c r="B12" s="33" t="str">
        <f>IFERROR(IF(AND(A12=$B$6,B11&lt;&gt;$B$4),$B$4,IF(MATCH(PMT_RP!B5,PMT_RP!B$2:'PMT_RP'!B$97,0)=ROW(PMT_RP!B5)-ROW(PMT_RP!B$2)+1,PMT_RP!B5,"")),"")</f>
        <v/>
      </c>
      <c r="C12" s="34" t="str">
        <f t="shared" si="7"/>
        <v/>
      </c>
      <c r="D12" s="37" t="str">
        <f t="shared" si="8"/>
        <v/>
      </c>
      <c r="E12" s="34" t="str">
        <f t="shared" si="0"/>
        <v/>
      </c>
      <c r="F12" s="34" t="str">
        <f>IF(B12="","",IF($B$5="",SUMIF(PMT!$B$2:$E$13,CALCULATION!B12,PMT!$E$2:$E$13),SUMIF(PMT_RP!$B$2:$E$10,CALCULATION!B12,PMT_RP!$E$2:$E$10)))</f>
        <v/>
      </c>
      <c r="G12" s="34" t="str">
        <f t="shared" si="1"/>
        <v/>
      </c>
      <c r="H12" s="35" t="str">
        <f t="shared" si="2"/>
        <v/>
      </c>
      <c r="I12" s="36" t="str">
        <f t="shared" si="3"/>
        <v/>
      </c>
      <c r="J12" s="37" t="str">
        <f t="shared" si="4"/>
        <v/>
      </c>
      <c r="K12" s="35" t="str">
        <f t="shared" si="5"/>
        <v/>
      </c>
      <c r="L12" s="88">
        <f t="shared" si="6"/>
        <v>0</v>
      </c>
      <c r="M12" s="66"/>
      <c r="N12" s="63"/>
    </row>
    <row r="13" spans="1:14" x14ac:dyDescent="0.25">
      <c r="A13" s="8">
        <v>5</v>
      </c>
      <c r="B13" s="33" t="str">
        <f>IFERROR(IF(AND(A13=$B$6,B12&lt;&gt;$B$4),$B$4,IF(MATCH(PMT_RP!B6,PMT_RP!B$2:'PMT_RP'!B$97,0)=ROW(PMT_RP!B6)-ROW(PMT_RP!B$2)+1,PMT_RP!B6,"")),"")</f>
        <v/>
      </c>
      <c r="C13" s="38" t="str">
        <f t="shared" si="7"/>
        <v/>
      </c>
      <c r="D13" s="39" t="str">
        <f t="shared" si="8"/>
        <v/>
      </c>
      <c r="E13" s="34" t="str">
        <f t="shared" si="0"/>
        <v/>
      </c>
      <c r="F13" s="34" t="str">
        <f>IF(B13="","",IF($B$5="",SUMIF(PMT!$B$2:$E$13,CALCULATION!B13,PMT!$E$2:$E$13),SUMIF(PMT_RP!$B$2:$E$10,CALCULATION!B13,PMT_RP!$E$2:$E$10)))</f>
        <v/>
      </c>
      <c r="G13" s="38" t="str">
        <f t="shared" si="1"/>
        <v/>
      </c>
      <c r="H13" s="40" t="str">
        <f t="shared" si="2"/>
        <v/>
      </c>
      <c r="I13" s="36" t="str">
        <f t="shared" si="3"/>
        <v/>
      </c>
      <c r="J13" s="37" t="str">
        <f t="shared" si="4"/>
        <v/>
      </c>
      <c r="K13" s="35" t="str">
        <f t="shared" si="5"/>
        <v/>
      </c>
      <c r="L13" s="88">
        <f t="shared" si="6"/>
        <v>0</v>
      </c>
      <c r="M13" s="64"/>
      <c r="N13" s="63"/>
    </row>
    <row r="14" spans="1:14" x14ac:dyDescent="0.25">
      <c r="A14" s="8">
        <v>6</v>
      </c>
      <c r="B14" s="33" t="str">
        <f>IFERROR(IF(AND(A14=$B$6,B13&lt;&gt;$B$4),$B$4,IF(MATCH(PMT_RP!B7,PMT_RP!B$2:'PMT_RP'!B$97,0)=ROW(PMT_RP!B7)-ROW(PMT_RP!B$2)+1,PMT_RP!B7,"")),"")</f>
        <v/>
      </c>
      <c r="C14" s="38" t="str">
        <f t="shared" si="7"/>
        <v/>
      </c>
      <c r="D14" s="39" t="str">
        <f t="shared" si="8"/>
        <v/>
      </c>
      <c r="E14" s="34" t="str">
        <f t="shared" si="0"/>
        <v/>
      </c>
      <c r="F14" s="34" t="str">
        <f>IF(B14="","",IF($B$5="",SUMIF(PMT!$B$2:$E$13,CALCULATION!B14,PMT!$E$2:$E$13),SUMIF(PMT_RP!$B$2:$E$10,CALCULATION!B14,PMT_RP!$E$2:$E$10)))</f>
        <v/>
      </c>
      <c r="G14" s="38" t="str">
        <f t="shared" si="1"/>
        <v/>
      </c>
      <c r="H14" s="40" t="str">
        <f t="shared" si="2"/>
        <v/>
      </c>
      <c r="I14" s="36" t="str">
        <f t="shared" si="3"/>
        <v/>
      </c>
      <c r="J14" s="37" t="str">
        <f t="shared" si="4"/>
        <v/>
      </c>
      <c r="K14" s="35" t="str">
        <f t="shared" si="5"/>
        <v/>
      </c>
      <c r="L14" s="88">
        <f t="shared" si="6"/>
        <v>0</v>
      </c>
      <c r="M14" s="63"/>
      <c r="N14" s="63"/>
    </row>
    <row r="15" spans="1:14" x14ac:dyDescent="0.25">
      <c r="A15" s="8">
        <v>7</v>
      </c>
      <c r="B15" s="33" t="str">
        <f>IFERROR(IF(AND(A15=$B$6,B14&lt;&gt;$B$4),$B$4,IF(MATCH(PMT_RP!B8,PMT_RP!B$2:'PMT_RP'!B$97,0)=ROW(PMT_RP!B8)-ROW(PMT_RP!B$2)+1,PMT_RP!B8,"")),"")</f>
        <v/>
      </c>
      <c r="C15" s="38" t="str">
        <f t="shared" si="7"/>
        <v/>
      </c>
      <c r="D15" s="39" t="str">
        <f t="shared" si="8"/>
        <v/>
      </c>
      <c r="E15" s="34" t="str">
        <f t="shared" si="0"/>
        <v/>
      </c>
      <c r="F15" s="34" t="str">
        <f>IF(B15="","",IF($B$5="",SUMIF(PMT!$B$2:$E$13,CALCULATION!B15,PMT!$E$2:$E$13),SUMIF(PMT_RP!$B$2:$E$10,CALCULATION!B15,PMT_RP!$E$2:$E$10)))</f>
        <v/>
      </c>
      <c r="G15" s="38" t="str">
        <f t="shared" si="1"/>
        <v/>
      </c>
      <c r="H15" s="40" t="str">
        <f t="shared" si="2"/>
        <v/>
      </c>
      <c r="I15" s="36" t="str">
        <f t="shared" si="3"/>
        <v/>
      </c>
      <c r="J15" s="37" t="str">
        <f t="shared" si="4"/>
        <v/>
      </c>
      <c r="K15" s="35" t="str">
        <f t="shared" si="5"/>
        <v/>
      </c>
      <c r="L15" s="88">
        <f t="shared" si="6"/>
        <v>0</v>
      </c>
      <c r="M15" s="63"/>
      <c r="N15" s="63"/>
    </row>
    <row r="16" spans="1:14" x14ac:dyDescent="0.25">
      <c r="A16" s="8">
        <v>8</v>
      </c>
      <c r="B16" s="33" t="str">
        <f>IFERROR(IF(AND(A16=$B$6,B15&lt;&gt;$B$4),$B$4,IF(MATCH(PMT_RP!B9,PMT_RP!B$2:'PMT_RP'!B$97,0)=ROW(PMT_RP!B9)-ROW(PMT_RP!B$2)+1,PMT_RP!B9,"")),"")</f>
        <v/>
      </c>
      <c r="C16" s="38" t="str">
        <f t="shared" si="7"/>
        <v/>
      </c>
      <c r="D16" s="39" t="str">
        <f t="shared" si="8"/>
        <v/>
      </c>
      <c r="E16" s="34" t="str">
        <f t="shared" si="0"/>
        <v/>
      </c>
      <c r="F16" s="34" t="str">
        <f>IF(B16="","",IF($B$5="",SUMIF(PMT!$B$2:$E$13,CALCULATION!B16,PMT!$E$2:$E$13),SUMIF(PMT_RP!$B$2:$E$10,CALCULATION!B16,PMT_RP!$E$2:$E$10)))</f>
        <v/>
      </c>
      <c r="G16" s="38" t="str">
        <f t="shared" si="1"/>
        <v/>
      </c>
      <c r="H16" s="40" t="str">
        <f t="shared" si="2"/>
        <v/>
      </c>
      <c r="I16" s="36" t="str">
        <f t="shared" si="3"/>
        <v/>
      </c>
      <c r="J16" s="37" t="str">
        <f t="shared" si="4"/>
        <v/>
      </c>
      <c r="K16" s="35" t="str">
        <f t="shared" si="5"/>
        <v/>
      </c>
      <c r="L16" s="88">
        <f t="shared" si="6"/>
        <v>0</v>
      </c>
      <c r="M16" s="63" t="str">
        <f>IFERROR(IF(AND(A16=$B$6,B15&lt;&gt;$B$4),$B$4,IF(MATCH(PMT!B9,PMT!B$2:'PMT'!B$100,0)=ROW(PMT!B9)-ROW(PMT!B$2)+1,PMT!B9,"")),"")</f>
        <v/>
      </c>
      <c r="N16" s="63" t="str">
        <f t="shared" ref="N16:N20" si="9">IFERROR(SMALL($M$9:$M$12,A16),"")</f>
        <v/>
      </c>
    </row>
    <row r="17" spans="1:14" x14ac:dyDescent="0.25">
      <c r="A17" s="8">
        <v>9</v>
      </c>
      <c r="B17" s="33" t="str">
        <f>IFERROR(IF(AND(A17=$B$6,B16&lt;&gt;$B$4),$B$4,IF(MATCH(PMT_RP!B10,PMT_RP!B$2:'PMT_RP'!B$97,0)=ROW(PMT_RP!B10)-ROW(PMT_RP!B$2)+1,PMT_RP!B10,"")),"")</f>
        <v/>
      </c>
      <c r="C17" s="38" t="str">
        <f t="shared" si="7"/>
        <v/>
      </c>
      <c r="D17" s="39" t="str">
        <f t="shared" si="8"/>
        <v/>
      </c>
      <c r="E17" s="34" t="str">
        <f t="shared" si="0"/>
        <v/>
      </c>
      <c r="F17" s="34" t="str">
        <f>IF(B17="","",IF($B$5="",SUMIF(PMT!$B$2:$E$13,CALCULATION!B17,PMT!$E$2:$E$13),SUMIF(PMT_RP!$B$2:$E$10,CALCULATION!B17,PMT_RP!$E$2:$E$10)))</f>
        <v/>
      </c>
      <c r="G17" s="38" t="str">
        <f t="shared" si="1"/>
        <v/>
      </c>
      <c r="H17" s="40" t="str">
        <f t="shared" si="2"/>
        <v/>
      </c>
      <c r="I17" s="36" t="str">
        <f t="shared" si="3"/>
        <v/>
      </c>
      <c r="J17" s="37" t="str">
        <f t="shared" si="4"/>
        <v/>
      </c>
      <c r="K17" s="35" t="str">
        <f t="shared" si="5"/>
        <v/>
      </c>
      <c r="L17" s="88">
        <f t="shared" si="6"/>
        <v>0</v>
      </c>
      <c r="M17" s="63" t="str">
        <f>IFERROR(IF(AND(A17=$B$6,B16&lt;&gt;$B$4),$B$4,IF(MATCH(PMT!B10,PMT!B$2:'PMT'!B$100,0)=ROW(PMT!B10)-ROW(PMT!B$2)+1,PMT!B10,"")),"")</f>
        <v/>
      </c>
      <c r="N17" s="63" t="str">
        <f t="shared" si="9"/>
        <v/>
      </c>
    </row>
    <row r="18" spans="1:14" x14ac:dyDescent="0.25">
      <c r="A18" s="8">
        <v>10</v>
      </c>
      <c r="B18" s="33" t="str">
        <f>IFERROR(IF(AND(A18=$B$6,B17&lt;&gt;$B$4),$B$4,IF(MATCH(PMT_RP!B11,PMT_RP!B$2:'PMT_RP'!B$97,0)=ROW(PMT_RP!B11)-ROW(PMT_RP!B$2)+1,PMT_RP!B11,"")),"")</f>
        <v/>
      </c>
      <c r="C18" s="38" t="str">
        <f t="shared" si="7"/>
        <v/>
      </c>
      <c r="D18" s="39" t="str">
        <f t="shared" si="8"/>
        <v/>
      </c>
      <c r="E18" s="34" t="str">
        <f t="shared" si="0"/>
        <v/>
      </c>
      <c r="F18" s="34" t="str">
        <f>IF(B18="","",IF($B$5="",SUMIF(PMT!$B$2:$E$13,CALCULATION!B18,PMT!$E$2:$E$13),SUMIF(PMT_RP!$B$2:$E$10,CALCULATION!B18,PMT_RP!$E$2:$E$10)))</f>
        <v/>
      </c>
      <c r="G18" s="38" t="str">
        <f t="shared" si="1"/>
        <v/>
      </c>
      <c r="H18" s="40" t="str">
        <f t="shared" si="2"/>
        <v/>
      </c>
      <c r="I18" s="36" t="str">
        <f t="shared" si="3"/>
        <v/>
      </c>
      <c r="J18" s="37" t="str">
        <f t="shared" si="4"/>
        <v/>
      </c>
      <c r="K18" s="35" t="str">
        <f t="shared" si="5"/>
        <v/>
      </c>
      <c r="L18" s="88">
        <f t="shared" si="6"/>
        <v>0</v>
      </c>
      <c r="M18" s="63" t="str">
        <f>IFERROR(IF(AND(A18=$B$6,B17&lt;&gt;$B$4),$B$4,IF(MATCH(PMT!B11,PMT!B$2:'PMT'!B$100,0)=ROW(PMT!B11)-ROW(PMT!B$2)+1,PMT!B11,"")),"")</f>
        <v/>
      </c>
      <c r="N18" s="63" t="str">
        <f t="shared" si="9"/>
        <v/>
      </c>
    </row>
    <row r="19" spans="1:14" x14ac:dyDescent="0.25">
      <c r="A19" s="8">
        <v>11</v>
      </c>
      <c r="B19" s="33" t="str">
        <f>IFERROR(IF(AND(A19=$B$6,B18&lt;&gt;$B$4),$B$4,IF(MATCH(PMT_RP!B12,PMT_RP!B$2:'PMT_RP'!B$97,0)=ROW(PMT_RP!B12)-ROW(PMT_RP!B$2)+1,PMT_RP!B12,"")),"")</f>
        <v/>
      </c>
      <c r="C19" s="38" t="str">
        <f t="shared" si="7"/>
        <v/>
      </c>
      <c r="D19" s="39" t="str">
        <f t="shared" si="8"/>
        <v/>
      </c>
      <c r="E19" s="34" t="str">
        <f t="shared" si="0"/>
        <v/>
      </c>
      <c r="F19" s="34" t="str">
        <f>IF(B19="","",IF($B$5="",SUMIF(PMT!$B$2:$E$13,CALCULATION!B19,PMT!$E$2:$E$13),SUMIF(PMT_RP!$B$2:$E$10,CALCULATION!B19,PMT_RP!$E$2:$E$10)))</f>
        <v/>
      </c>
      <c r="G19" s="38" t="str">
        <f t="shared" si="1"/>
        <v/>
      </c>
      <c r="H19" s="40" t="str">
        <f t="shared" si="2"/>
        <v/>
      </c>
      <c r="I19" s="36" t="str">
        <f t="shared" si="3"/>
        <v/>
      </c>
      <c r="J19" s="37" t="str">
        <f t="shared" si="4"/>
        <v/>
      </c>
      <c r="K19" s="35" t="str">
        <f t="shared" si="5"/>
        <v/>
      </c>
      <c r="L19" s="88">
        <f t="shared" si="6"/>
        <v>0</v>
      </c>
      <c r="M19" s="63" t="str">
        <f>IFERROR(IF(AND(A19=$B$6,B18&lt;&gt;$B$4),$B$4,IF(MATCH(PMT!B12,PMT!B$2:'PMT'!B$100,0)=ROW(PMT!B12)-ROW(PMT!B$2)+1,PMT!B12,"")),"")</f>
        <v/>
      </c>
      <c r="N19" s="63" t="str">
        <f t="shared" si="9"/>
        <v/>
      </c>
    </row>
    <row r="20" spans="1:14" ht="15.75" thickBot="1" x14ac:dyDescent="0.3">
      <c r="A20" s="8">
        <v>12</v>
      </c>
      <c r="B20" s="33" t="str">
        <f>IFERROR(IF(AND(A20=$B$6,B19&lt;&gt;$B$4),$B$4,IF(MATCH(PMT_RP!B13,PMT_RP!B$2:'PMT_RP'!B$97,0)=ROW(PMT_RP!B13)-ROW(PMT_RP!B$2)+1,PMT_RP!B13,"")),"")</f>
        <v/>
      </c>
      <c r="C20" s="38" t="str">
        <f t="shared" si="7"/>
        <v/>
      </c>
      <c r="D20" s="39" t="str">
        <f t="shared" si="8"/>
        <v/>
      </c>
      <c r="E20" s="34" t="str">
        <f t="shared" si="0"/>
        <v/>
      </c>
      <c r="F20" s="34" t="str">
        <f>IF(B20="","",IF($B$5="",SUMIF(PMT!$B$2:$E$13,CALCULATION!B20,PMT!$E$2:$E$13),SUMIF(PMT_RP!$B$2:$E$10,CALCULATION!B20,PMT_RP!$E$2:$E$10)))</f>
        <v/>
      </c>
      <c r="G20" s="38" t="str">
        <f t="shared" si="1"/>
        <v/>
      </c>
      <c r="H20" s="40" t="str">
        <f t="shared" si="2"/>
        <v/>
      </c>
      <c r="I20" s="36" t="str">
        <f t="shared" si="3"/>
        <v/>
      </c>
      <c r="J20" s="37" t="str">
        <f t="shared" si="4"/>
        <v/>
      </c>
      <c r="K20" s="35" t="str">
        <f t="shared" si="5"/>
        <v/>
      </c>
      <c r="L20" s="88">
        <f t="shared" si="6"/>
        <v>0</v>
      </c>
      <c r="M20" s="63" t="str">
        <f>IFERROR(IF(AND(A20=$B$6,B19&lt;&gt;$B$4),$B$4,IF(MATCH(PMT!B13,PMT!B$2:'PMT'!B$100,0)=ROW(PMT!B13)-ROW(PMT!B$2)+1,PMT!B13,"")),"")</f>
        <v/>
      </c>
      <c r="N20" s="63" t="str">
        <f t="shared" si="9"/>
        <v/>
      </c>
    </row>
    <row r="21" spans="1:14" s="11" customFormat="1" ht="15.75" thickBot="1" x14ac:dyDescent="0.3">
      <c r="A21" s="5"/>
      <c r="B21" s="19"/>
      <c r="C21" s="20"/>
      <c r="D21" s="21"/>
      <c r="E21" s="20"/>
      <c r="F21" s="20"/>
      <c r="G21" s="41">
        <f>IF(
  MAX(L9:L20) = 0,
  0,
  INDEX(G9:G20, MATCH(MAX(L9:L20), L9:L20, 0))
)</f>
        <v>0</v>
      </c>
      <c r="H21" s="41">
        <f>IF(
  MAX(L9:L20) = 0,
  0,
  INDEX(H9:H20, MATCH(MAX(L9:L20), L9:L20, 0))
)</f>
        <v>0</v>
      </c>
      <c r="I21" s="41">
        <f>IF(
  MAX(L9:L20) = 0,
  0,
  INDEX(I9:I20, MATCH(MAX(L9:L20), L9:L20, 0))
)</f>
        <v>0</v>
      </c>
      <c r="J21" s="42"/>
      <c r="K21" s="41">
        <f>IF(
  MAX(L9:L20) = 0,
  0,
  INDEX(K9:K20, MATCH(MAX(L9:L20), L9:L20, 0))
)</f>
        <v>0</v>
      </c>
    </row>
    <row r="22" spans="1:14" s="11" customFormat="1" x14ac:dyDescent="0.25">
      <c r="A22" s="5"/>
      <c r="B22" s="19"/>
      <c r="C22" s="20"/>
      <c r="D22" s="21"/>
      <c r="E22" s="20"/>
      <c r="F22" s="20"/>
      <c r="G22" s="20"/>
      <c r="H22" s="22"/>
      <c r="I22" s="23"/>
      <c r="J22" s="21"/>
      <c r="K22" s="22"/>
    </row>
    <row r="23" spans="1:14" ht="15.75" thickBot="1" x14ac:dyDescent="0.3"/>
    <row r="24" spans="1:14" ht="15.75" thickBot="1" x14ac:dyDescent="0.3">
      <c r="A24" s="100" t="s">
        <v>30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2"/>
    </row>
    <row r="25" spans="1:14" ht="15.75" thickBot="1" x14ac:dyDescent="0.3">
      <c r="A25" s="13" t="s">
        <v>27</v>
      </c>
      <c r="B25" s="13" t="s">
        <v>28</v>
      </c>
      <c r="C25" s="13" t="s">
        <v>17</v>
      </c>
      <c r="D25" s="13" t="s">
        <v>18</v>
      </c>
      <c r="E25" s="13" t="s">
        <v>16</v>
      </c>
      <c r="F25" s="13" t="s">
        <v>15</v>
      </c>
      <c r="G25" s="13" t="s">
        <v>19</v>
      </c>
      <c r="H25" s="13" t="s">
        <v>20</v>
      </c>
      <c r="I25" s="13" t="s">
        <v>22</v>
      </c>
      <c r="J25" s="24" t="s">
        <v>2</v>
      </c>
      <c r="K25" s="24" t="s">
        <v>21</v>
      </c>
    </row>
    <row r="26" spans="1:14" ht="15.75" thickBot="1" x14ac:dyDescent="0.3">
      <c r="A26" s="43">
        <v>1</v>
      </c>
      <c r="B26" s="33">
        <f>IF(INT_ACC!B2&lt;&gt;"","",INT_ACC!B2)</f>
        <v>0</v>
      </c>
      <c r="C26" s="43">
        <f>INT_ACC!F2</f>
        <v>0</v>
      </c>
      <c r="D26" s="43">
        <f>INT_ACC!G2</f>
        <v>0</v>
      </c>
      <c r="E26" s="34">
        <f>IF(B26="","",IF(B27="",0,(B27-B26)-1))</f>
        <v>0</v>
      </c>
      <c r="F26" s="34">
        <v>0</v>
      </c>
      <c r="G26" s="34">
        <f>G21</f>
        <v>0</v>
      </c>
      <c r="H26" s="34">
        <f>H21</f>
        <v>0</v>
      </c>
      <c r="I26" s="44">
        <f>C26-H26</f>
        <v>0</v>
      </c>
      <c r="J26" s="45">
        <f>IF(B26="",0,(I26*$B$2)/360)</f>
        <v>0</v>
      </c>
      <c r="K26" s="46">
        <f>D26+J26-G26</f>
        <v>0</v>
      </c>
    </row>
    <row r="27" spans="1:14" ht="15.75" thickBot="1" x14ac:dyDescent="0.3">
      <c r="K27" s="18"/>
    </row>
    <row r="28" spans="1:14" ht="15.75" thickBot="1" x14ac:dyDescent="0.3">
      <c r="A28" s="100" t="s">
        <v>32</v>
      </c>
      <c r="B28" s="102"/>
    </row>
    <row r="29" spans="1:14" x14ac:dyDescent="0.25">
      <c r="A29" s="25" t="s">
        <v>11</v>
      </c>
      <c r="B29" s="47">
        <f>J26</f>
        <v>0</v>
      </c>
    </row>
    <row r="30" spans="1:14" x14ac:dyDescent="0.25">
      <c r="A30" s="8" t="s">
        <v>13</v>
      </c>
      <c r="B30" s="68">
        <f>IF(C9="",0,K21-K26)</f>
        <v>0</v>
      </c>
    </row>
    <row r="31" spans="1:14" x14ac:dyDescent="0.25">
      <c r="A31" s="8" t="s">
        <v>8</v>
      </c>
      <c r="B31" s="38">
        <f>G21</f>
        <v>0</v>
      </c>
      <c r="D31" s="18"/>
    </row>
    <row r="33" spans="1:6" ht="15.75" thickBot="1" x14ac:dyDescent="0.3"/>
    <row r="34" spans="1:6" ht="15.75" thickBot="1" x14ac:dyDescent="0.3">
      <c r="A34" s="100" t="s">
        <v>33</v>
      </c>
      <c r="B34" s="102"/>
    </row>
    <row r="35" spans="1:6" x14ac:dyDescent="0.25">
      <c r="A35" s="25" t="s">
        <v>9</v>
      </c>
      <c r="B35" s="48">
        <f>H21</f>
        <v>0</v>
      </c>
    </row>
    <row r="36" spans="1:6" x14ac:dyDescent="0.25">
      <c r="A36" s="8" t="s">
        <v>31</v>
      </c>
      <c r="B36" s="67">
        <f>IF(C9="",0,I21-I26)</f>
        <v>0</v>
      </c>
    </row>
    <row r="37" spans="1:6" ht="15.75" thickBot="1" x14ac:dyDescent="0.3"/>
    <row r="38" spans="1:6" ht="15.75" thickBot="1" x14ac:dyDescent="0.3">
      <c r="A38" s="97" t="s">
        <v>0</v>
      </c>
      <c r="B38" s="98"/>
      <c r="C38" s="98"/>
      <c r="D38" s="98"/>
      <c r="E38" s="98"/>
      <c r="F38" s="99"/>
    </row>
    <row r="39" spans="1:6" x14ac:dyDescent="0.25">
      <c r="A39" s="26" t="s">
        <v>3</v>
      </c>
      <c r="B39" s="26" t="s">
        <v>4</v>
      </c>
      <c r="C39" s="26" t="s">
        <v>5</v>
      </c>
      <c r="D39" s="26" t="s">
        <v>10</v>
      </c>
      <c r="E39" s="26" t="s">
        <v>1</v>
      </c>
      <c r="F39" s="26" t="s">
        <v>6</v>
      </c>
    </row>
    <row r="40" spans="1:6" x14ac:dyDescent="0.25">
      <c r="A40" s="1" t="str">
        <f>B4</f>
        <v/>
      </c>
      <c r="B40" s="1" t="str">
        <f>A40</f>
        <v/>
      </c>
      <c r="C40" s="8" t="str">
        <f>IF(A40="","",$B$3)</f>
        <v/>
      </c>
      <c r="D40" s="8" t="str">
        <f>IF(A40="","","Servicing_Interest_Accrual")</f>
        <v/>
      </c>
      <c r="E40" s="32" t="str">
        <f>IF(A40="","",ROUND(B29,4))</f>
        <v/>
      </c>
      <c r="F40" s="8" t="str">
        <f>IF(A40="","","1")</f>
        <v/>
      </c>
    </row>
    <row r="41" spans="1:6" x14ac:dyDescent="0.25">
      <c r="A41" s="1" t="str">
        <f>IF(ROUND(B30,4)=0,"",$B$4)</f>
        <v/>
      </c>
      <c r="B41" s="1" t="str">
        <f>IF(A41="","",A41)</f>
        <v/>
      </c>
      <c r="C41" s="8" t="str">
        <f t="shared" ref="C41:C43" si="10">IF(A41="","",$B$3)</f>
        <v/>
      </c>
      <c r="D41" s="8" t="str">
        <f>IF(A41="","","Interest_Adjustment")</f>
        <v/>
      </c>
      <c r="E41" s="49" t="str">
        <f>IF(A41="","",ROUND(B30,4))</f>
        <v/>
      </c>
      <c r="F41" s="8" t="str">
        <f>IF(A41="","","1")</f>
        <v/>
      </c>
    </row>
    <row r="42" spans="1:6" x14ac:dyDescent="0.25">
      <c r="A42" s="1" t="str">
        <f>IF(ROUND(B31,4)=0,"",$B$4)</f>
        <v/>
      </c>
      <c r="B42" s="1" t="str">
        <f>IF(A42="","",A42)</f>
        <v/>
      </c>
      <c r="C42" s="8" t="str">
        <f t="shared" si="10"/>
        <v/>
      </c>
      <c r="D42" s="8" t="str">
        <f>IF(A42="","","Payment_Interest")</f>
        <v/>
      </c>
      <c r="E42" s="49" t="str">
        <f>IF(A42="","",ROUND(B31,4)*-1)</f>
        <v/>
      </c>
      <c r="F42" s="8" t="str">
        <f t="shared" ref="F42:F43" si="11">IF(A42="","","1")</f>
        <v/>
      </c>
    </row>
    <row r="43" spans="1:6" x14ac:dyDescent="0.25">
      <c r="A43" s="1" t="str">
        <f>IF(ROUND(B35,4)=0,"",$B$4)</f>
        <v/>
      </c>
      <c r="B43" s="1" t="str">
        <f>IF(A43="","",A43)</f>
        <v/>
      </c>
      <c r="C43" s="8" t="str">
        <f t="shared" si="10"/>
        <v/>
      </c>
      <c r="D43" s="8" t="str">
        <f>IF(A43="","","Payment_UPB")</f>
        <v/>
      </c>
      <c r="E43" s="49" t="str">
        <f>IF(A43="","",ROUND(B35,4)*-1)</f>
        <v/>
      </c>
      <c r="F43" s="8" t="str">
        <f t="shared" si="11"/>
        <v/>
      </c>
    </row>
    <row r="44" spans="1:6" x14ac:dyDescent="0.25">
      <c r="A44" s="1" t="str">
        <f>IF(ROUND(B36,4)=0,"",$B$4)</f>
        <v/>
      </c>
      <c r="B44" s="1" t="str">
        <f>IF(A44="","",A44)</f>
        <v/>
      </c>
      <c r="C44" s="8" t="str">
        <f>IF(A44="","",$B$3)</f>
        <v/>
      </c>
      <c r="D44" s="8" t="str">
        <f>IF(A44="","","Principal_Adjustment")</f>
        <v/>
      </c>
      <c r="E44" s="49" t="str">
        <f>IF(A44="","",ROUND(B36,4))</f>
        <v/>
      </c>
      <c r="F44" s="8" t="str">
        <f>IF(A44="","","1")</f>
        <v/>
      </c>
    </row>
  </sheetData>
  <mergeCells count="5">
    <mergeCell ref="A1:K1"/>
    <mergeCell ref="A24:K24"/>
    <mergeCell ref="A28:B28"/>
    <mergeCell ref="A34:B34"/>
    <mergeCell ref="A38:F3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AC17-80DE-49E6-8428-9B0400BCE067}">
  <sheetPr>
    <tabColor rgb="FFFFFF00"/>
  </sheetPr>
  <dimension ref="A1:O38"/>
  <sheetViews>
    <sheetView workbookViewId="0">
      <selection activeCell="H27" sqref="H27"/>
    </sheetView>
  </sheetViews>
  <sheetFormatPr defaultRowHeight="15" x14ac:dyDescent="0.25"/>
  <cols>
    <col min="6" max="6" width="19.42578125" customWidth="1"/>
    <col min="10" max="10" width="11.7109375" style="63" bestFit="1" customWidth="1"/>
    <col min="11" max="11" width="15.42578125" style="63" bestFit="1" customWidth="1"/>
    <col min="12" max="12" width="12.5703125" bestFit="1" customWidth="1"/>
    <col min="13" max="13" width="24.85546875" bestFit="1" customWidth="1"/>
    <col min="14" max="14" width="8.140625" bestFit="1" customWidth="1"/>
    <col min="15" max="15" width="10.85546875" bestFit="1" customWidth="1"/>
  </cols>
  <sheetData>
    <row r="1" spans="1:15" s="70" customFormat="1" x14ac:dyDescent="0.25">
      <c r="A1" s="103" t="s">
        <v>63</v>
      </c>
      <c r="B1" s="103"/>
      <c r="C1" s="103"/>
      <c r="D1" s="103"/>
      <c r="E1" s="103"/>
      <c r="F1" s="103"/>
      <c r="G1" s="103"/>
      <c r="J1" s="26" t="s">
        <v>3</v>
      </c>
      <c r="K1" s="26" t="s">
        <v>4</v>
      </c>
      <c r="L1" s="26" t="s">
        <v>5</v>
      </c>
      <c r="M1" s="26" t="s">
        <v>10</v>
      </c>
      <c r="N1" s="26" t="s">
        <v>1</v>
      </c>
      <c r="O1" s="26" t="s">
        <v>6</v>
      </c>
    </row>
    <row r="2" spans="1:15" s="70" customFormat="1" x14ac:dyDescent="0.25">
      <c r="A2" s="69" t="s">
        <v>62</v>
      </c>
      <c r="J2" s="63"/>
      <c r="K2" s="63"/>
    </row>
    <row r="3" spans="1:15" x14ac:dyDescent="0.25">
      <c r="A3" s="27">
        <v>45697</v>
      </c>
      <c r="B3" s="27">
        <v>45691</v>
      </c>
      <c r="C3" s="8" t="s">
        <v>12</v>
      </c>
      <c r="D3" s="8">
        <v>1</v>
      </c>
      <c r="E3" s="9">
        <v>50</v>
      </c>
      <c r="F3" s="9">
        <v>100000</v>
      </c>
      <c r="G3" s="9">
        <v>155.55555555555554</v>
      </c>
      <c r="J3" s="63">
        <v>45697</v>
      </c>
      <c r="K3" s="63">
        <v>45697</v>
      </c>
      <c r="L3" t="s">
        <v>12</v>
      </c>
      <c r="M3" t="s">
        <v>65</v>
      </c>
      <c r="N3">
        <v>27.648299999999999</v>
      </c>
      <c r="O3" t="s">
        <v>66</v>
      </c>
    </row>
    <row r="4" spans="1:15" x14ac:dyDescent="0.25">
      <c r="A4" s="27">
        <v>45697</v>
      </c>
      <c r="B4" s="27">
        <v>45693</v>
      </c>
      <c r="C4" s="8" t="s">
        <v>12</v>
      </c>
      <c r="D4" s="8">
        <v>1</v>
      </c>
      <c r="E4" s="9">
        <v>275</v>
      </c>
      <c r="F4" s="9">
        <v>100000</v>
      </c>
      <c r="G4" s="9">
        <v>131.11111111111109</v>
      </c>
      <c r="J4" s="63">
        <v>45697</v>
      </c>
      <c r="K4" s="63">
        <v>45697</v>
      </c>
      <c r="L4" t="s">
        <v>12</v>
      </c>
      <c r="M4" t="s">
        <v>67</v>
      </c>
      <c r="N4">
        <v>3.3300000000000003E-2</v>
      </c>
      <c r="O4" t="s">
        <v>66</v>
      </c>
    </row>
    <row r="5" spans="1:15" x14ac:dyDescent="0.25">
      <c r="A5" s="27">
        <v>45697</v>
      </c>
      <c r="B5" s="27">
        <v>45694</v>
      </c>
      <c r="C5" s="8" t="s">
        <v>12</v>
      </c>
      <c r="D5" s="8">
        <v>1</v>
      </c>
      <c r="E5" s="9">
        <v>350</v>
      </c>
      <c r="F5" s="9">
        <v>99856.111111111109</v>
      </c>
      <c r="G5" s="9">
        <v>27.64829136659808</v>
      </c>
      <c r="J5" s="63">
        <v>45697</v>
      </c>
      <c r="K5" s="63">
        <v>45697</v>
      </c>
      <c r="L5" t="s">
        <v>12</v>
      </c>
      <c r="M5" t="s">
        <v>69</v>
      </c>
      <c r="N5">
        <v>30.008299999999998</v>
      </c>
      <c r="O5" t="s">
        <v>66</v>
      </c>
    </row>
    <row r="6" spans="1:15" x14ac:dyDescent="0.25">
      <c r="A6" s="27">
        <v>45697</v>
      </c>
      <c r="B6" s="27">
        <v>45697</v>
      </c>
      <c r="C6" s="8" t="s">
        <v>12</v>
      </c>
      <c r="D6" s="8">
        <v>1</v>
      </c>
      <c r="E6" s="9">
        <v>0</v>
      </c>
      <c r="F6" s="9">
        <v>99533.848919753087</v>
      </c>
      <c r="G6" s="9">
        <v>82.944874099794248</v>
      </c>
      <c r="J6" s="63" t="s">
        <v>68</v>
      </c>
      <c r="K6" s="63" t="s">
        <v>68</v>
      </c>
      <c r="L6" t="s">
        <v>68</v>
      </c>
      <c r="M6" t="s">
        <v>68</v>
      </c>
      <c r="N6" t="s">
        <v>68</v>
      </c>
      <c r="O6" t="s">
        <v>68</v>
      </c>
    </row>
    <row r="9" spans="1:15" x14ac:dyDescent="0.25">
      <c r="A9" s="69" t="s">
        <v>60</v>
      </c>
    </row>
    <row r="10" spans="1:15" x14ac:dyDescent="0.25">
      <c r="A10" s="27">
        <v>45697</v>
      </c>
      <c r="B10" s="27">
        <v>45697</v>
      </c>
      <c r="C10" s="8" t="s">
        <v>12</v>
      </c>
      <c r="D10" s="8">
        <v>1</v>
      </c>
      <c r="E10" s="9">
        <v>10</v>
      </c>
      <c r="F10" s="9">
        <v>99533.848919753087</v>
      </c>
      <c r="G10" s="9">
        <v>82.944874099794248</v>
      </c>
    </row>
    <row r="13" spans="1:15" x14ac:dyDescent="0.25">
      <c r="A13" s="69" t="s">
        <v>61</v>
      </c>
    </row>
    <row r="14" spans="1:15" x14ac:dyDescent="0.25">
      <c r="A14" s="27">
        <v>45697</v>
      </c>
      <c r="B14" s="27">
        <v>45691</v>
      </c>
      <c r="C14" s="8" t="s">
        <v>12</v>
      </c>
      <c r="D14" s="8">
        <v>1</v>
      </c>
      <c r="E14" s="9">
        <v>-30</v>
      </c>
    </row>
    <row r="16" spans="1:15" x14ac:dyDescent="0.25">
      <c r="A16" s="103" t="s">
        <v>64</v>
      </c>
      <c r="B16" s="103"/>
      <c r="C16" s="103"/>
      <c r="D16" s="103"/>
      <c r="E16" s="103"/>
      <c r="F16" s="103"/>
      <c r="G16" s="103"/>
    </row>
    <row r="17" spans="1:15" x14ac:dyDescent="0.25">
      <c r="A17" s="69" t="s">
        <v>62</v>
      </c>
    </row>
    <row r="18" spans="1:15" x14ac:dyDescent="0.25">
      <c r="A18" s="27">
        <v>45697</v>
      </c>
      <c r="B18" s="27">
        <v>45691</v>
      </c>
      <c r="C18" s="8" t="s">
        <v>12</v>
      </c>
      <c r="D18" s="8">
        <v>1</v>
      </c>
      <c r="E18" s="9">
        <v>50</v>
      </c>
      <c r="F18" s="9">
        <v>100000</v>
      </c>
      <c r="G18" s="9">
        <v>155.55555555555554</v>
      </c>
      <c r="J18" s="63">
        <v>45697</v>
      </c>
      <c r="K18" s="63">
        <v>45697</v>
      </c>
      <c r="L18" t="s">
        <v>12</v>
      </c>
      <c r="M18" t="s">
        <v>65</v>
      </c>
      <c r="N18">
        <v>27.777799999999999</v>
      </c>
      <c r="O18" t="s">
        <v>66</v>
      </c>
    </row>
    <row r="19" spans="1:15" x14ac:dyDescent="0.25">
      <c r="A19" s="27">
        <v>45697</v>
      </c>
      <c r="B19" s="27">
        <v>45697</v>
      </c>
      <c r="C19" s="8" t="s">
        <v>12</v>
      </c>
      <c r="D19" s="8">
        <v>1</v>
      </c>
      <c r="E19" s="9">
        <v>0</v>
      </c>
      <c r="F19" s="9">
        <v>100000</v>
      </c>
      <c r="G19" s="9">
        <v>322.22222222222217</v>
      </c>
      <c r="J19" s="63">
        <v>45697</v>
      </c>
      <c r="K19" s="63">
        <v>45697</v>
      </c>
      <c r="L19" t="s">
        <v>12</v>
      </c>
      <c r="M19" t="s">
        <v>67</v>
      </c>
      <c r="N19">
        <v>-50</v>
      </c>
      <c r="O19" t="s">
        <v>66</v>
      </c>
    </row>
    <row r="22" spans="1:15" x14ac:dyDescent="0.25">
      <c r="A22" s="69" t="s">
        <v>60</v>
      </c>
    </row>
    <row r="23" spans="1:15" x14ac:dyDescent="0.25">
      <c r="A23" s="1">
        <v>45697</v>
      </c>
      <c r="B23" s="1">
        <v>45697</v>
      </c>
      <c r="C23" s="8" t="s">
        <v>12</v>
      </c>
      <c r="D23" s="8">
        <v>1</v>
      </c>
      <c r="E23" s="8">
        <v>10</v>
      </c>
      <c r="F23" s="9">
        <v>100000</v>
      </c>
      <c r="G23" s="9">
        <v>322.22222222222217</v>
      </c>
    </row>
    <row r="26" spans="1:15" x14ac:dyDescent="0.25">
      <c r="A26" s="69" t="s">
        <v>61</v>
      </c>
    </row>
    <row r="27" spans="1:15" x14ac:dyDescent="0.25">
      <c r="A27" s="27">
        <v>45697</v>
      </c>
      <c r="B27" s="27">
        <v>45691</v>
      </c>
      <c r="C27" s="8" t="s">
        <v>12</v>
      </c>
      <c r="D27" s="8">
        <v>1</v>
      </c>
      <c r="E27" s="9">
        <v>50</v>
      </c>
    </row>
    <row r="30" spans="1:15" x14ac:dyDescent="0.25">
      <c r="A30" s="103" t="s">
        <v>70</v>
      </c>
      <c r="B30" s="103"/>
      <c r="C30" s="103"/>
      <c r="D30" s="103"/>
      <c r="E30" s="103"/>
      <c r="F30" s="103"/>
      <c r="G30" s="103"/>
    </row>
    <row r="33" spans="1:15" x14ac:dyDescent="0.25">
      <c r="A33" s="69" t="s">
        <v>60</v>
      </c>
      <c r="B33" s="70"/>
      <c r="C33" s="70"/>
      <c r="D33" s="70"/>
      <c r="E33" s="70"/>
      <c r="F33" s="70"/>
      <c r="G33" s="70"/>
    </row>
    <row r="34" spans="1:15" x14ac:dyDescent="0.25">
      <c r="A34" s="1">
        <v>45697</v>
      </c>
      <c r="B34" s="1">
        <v>45697</v>
      </c>
      <c r="C34" s="8" t="s">
        <v>12</v>
      </c>
      <c r="D34" s="8">
        <v>1</v>
      </c>
      <c r="E34" s="8">
        <v>10</v>
      </c>
      <c r="F34" s="9">
        <v>100000</v>
      </c>
      <c r="G34" s="9">
        <v>322.22222222222217</v>
      </c>
      <c r="J34" s="63">
        <v>45697</v>
      </c>
      <c r="K34" s="63">
        <v>45697</v>
      </c>
      <c r="L34" t="s">
        <v>12</v>
      </c>
      <c r="M34" t="s">
        <v>65</v>
      </c>
      <c r="N34">
        <v>27.7562</v>
      </c>
      <c r="O34" t="s">
        <v>66</v>
      </c>
    </row>
    <row r="35" spans="1:15" x14ac:dyDescent="0.25">
      <c r="J35" s="63" t="s">
        <v>68</v>
      </c>
      <c r="K35" s="63" t="s">
        <v>68</v>
      </c>
      <c r="L35" t="s">
        <v>68</v>
      </c>
      <c r="M35" t="s">
        <v>68</v>
      </c>
      <c r="N35" t="s">
        <v>68</v>
      </c>
      <c r="O35" t="s">
        <v>68</v>
      </c>
    </row>
    <row r="36" spans="1:15" x14ac:dyDescent="0.25">
      <c r="J36" s="63">
        <v>45697</v>
      </c>
      <c r="K36" s="63">
        <v>45697</v>
      </c>
      <c r="L36" t="s">
        <v>12</v>
      </c>
      <c r="M36" t="s">
        <v>71</v>
      </c>
      <c r="N36">
        <v>-322.22219999999999</v>
      </c>
      <c r="O36" t="s">
        <v>66</v>
      </c>
    </row>
    <row r="37" spans="1:15" x14ac:dyDescent="0.25">
      <c r="A37" s="69" t="s">
        <v>61</v>
      </c>
      <c r="B37" s="70"/>
      <c r="C37" s="70"/>
      <c r="D37" s="70"/>
      <c r="E37" s="70"/>
      <c r="J37" s="63">
        <v>45697</v>
      </c>
      <c r="K37" s="63">
        <v>45697</v>
      </c>
      <c r="L37" t="s">
        <v>12</v>
      </c>
      <c r="M37" t="s">
        <v>72</v>
      </c>
      <c r="N37">
        <v>-77.777799999999999</v>
      </c>
      <c r="O37" t="s">
        <v>66</v>
      </c>
    </row>
    <row r="38" spans="1:15" x14ac:dyDescent="0.25">
      <c r="A38" s="27">
        <v>45697</v>
      </c>
      <c r="B38" s="27">
        <v>45697</v>
      </c>
      <c r="C38" s="8" t="s">
        <v>12</v>
      </c>
      <c r="D38" s="8">
        <v>1</v>
      </c>
      <c r="E38" s="9">
        <v>400</v>
      </c>
    </row>
  </sheetData>
  <mergeCells count="3">
    <mergeCell ref="A1:G1"/>
    <mergeCell ref="A16:G16"/>
    <mergeCell ref="A30:G3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A303-8389-4D77-8A63-E2504035E096}">
  <sheetPr>
    <tabColor rgb="FFFFFF00"/>
  </sheetPr>
  <dimension ref="A1:C26"/>
  <sheetViews>
    <sheetView workbookViewId="0">
      <selection activeCell="B9" sqref="B9"/>
    </sheetView>
  </sheetViews>
  <sheetFormatPr defaultRowHeight="15" x14ac:dyDescent="0.25"/>
  <cols>
    <col min="1" max="1" width="32.5703125" customWidth="1"/>
    <col min="2" max="2" width="30" customWidth="1"/>
    <col min="3" max="3" width="20.140625" customWidth="1"/>
  </cols>
  <sheetData>
    <row r="1" spans="1:3" x14ac:dyDescent="0.25">
      <c r="A1" s="77" t="s">
        <v>60</v>
      </c>
    </row>
    <row r="3" spans="1:3" x14ac:dyDescent="0.25">
      <c r="A3" t="s">
        <v>73</v>
      </c>
    </row>
    <row r="4" spans="1:3" x14ac:dyDescent="0.25">
      <c r="A4" t="s">
        <v>74</v>
      </c>
    </row>
    <row r="6" spans="1:3" x14ac:dyDescent="0.25">
      <c r="A6" t="s">
        <v>75</v>
      </c>
    </row>
    <row r="7" spans="1:3" x14ac:dyDescent="0.25">
      <c r="A7" t="s">
        <v>34</v>
      </c>
      <c r="B7" t="s">
        <v>76</v>
      </c>
      <c r="C7" t="s">
        <v>77</v>
      </c>
    </row>
    <row r="8" spans="1:3" x14ac:dyDescent="0.25">
      <c r="A8" t="s">
        <v>78</v>
      </c>
      <c r="B8" t="s">
        <v>79</v>
      </c>
      <c r="C8" t="s">
        <v>80</v>
      </c>
    </row>
    <row r="11" spans="1:3" x14ac:dyDescent="0.25">
      <c r="A11" s="77" t="s">
        <v>61</v>
      </c>
    </row>
    <row r="13" spans="1:3" x14ac:dyDescent="0.25">
      <c r="A13" s="78" t="s">
        <v>73</v>
      </c>
      <c r="B13" t="s">
        <v>81</v>
      </c>
    </row>
    <row r="14" spans="1:3" x14ac:dyDescent="0.25">
      <c r="A14" s="78" t="s">
        <v>82</v>
      </c>
      <c r="B14" t="s">
        <v>48</v>
      </c>
    </row>
    <row r="17" spans="1:3" x14ac:dyDescent="0.25">
      <c r="A17" s="78" t="s">
        <v>75</v>
      </c>
    </row>
    <row r="18" spans="1:3" x14ac:dyDescent="0.25">
      <c r="A18" t="s">
        <v>0</v>
      </c>
      <c r="B18" t="s">
        <v>1</v>
      </c>
      <c r="C18" t="s">
        <v>48</v>
      </c>
    </row>
    <row r="20" spans="1:3" x14ac:dyDescent="0.25">
      <c r="A20" s="77" t="s">
        <v>62</v>
      </c>
    </row>
    <row r="21" spans="1:3" x14ac:dyDescent="0.25">
      <c r="A21" s="78" t="s">
        <v>73</v>
      </c>
      <c r="B21" s="78" t="s">
        <v>81</v>
      </c>
    </row>
    <row r="22" spans="1:3" x14ac:dyDescent="0.25">
      <c r="A22" s="78" t="s">
        <v>83</v>
      </c>
      <c r="B22" s="78" t="s">
        <v>48</v>
      </c>
    </row>
    <row r="24" spans="1:3" x14ac:dyDescent="0.25">
      <c r="A24" s="78" t="s">
        <v>75</v>
      </c>
      <c r="B24" s="78"/>
      <c r="C24" s="78"/>
    </row>
    <row r="25" spans="1:3" x14ac:dyDescent="0.25">
      <c r="A25" s="78" t="s">
        <v>34</v>
      </c>
      <c r="B25" s="78" t="s">
        <v>76</v>
      </c>
      <c r="C25" s="78" t="s">
        <v>77</v>
      </c>
    </row>
    <row r="26" spans="1:3" x14ac:dyDescent="0.25">
      <c r="A26" s="78" t="s">
        <v>0</v>
      </c>
      <c r="B26" s="78" t="s">
        <v>1</v>
      </c>
      <c r="C26" s="78" t="s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6"/>
  <sheetViews>
    <sheetView zoomScaleNormal="100" workbookViewId="0">
      <selection sqref="A1:F6"/>
    </sheetView>
  </sheetViews>
  <sheetFormatPr defaultColWidth="8.7109375" defaultRowHeight="15" customHeight="1" x14ac:dyDescent="0.25"/>
  <cols>
    <col min="1" max="1" width="33" style="2" customWidth="1"/>
    <col min="2" max="2" width="15.42578125" style="2" customWidth="1"/>
    <col min="3" max="3" width="12.5703125" style="2" customWidth="1"/>
    <col min="4" max="4" width="32.7109375" style="2" customWidth="1"/>
    <col min="5" max="5" width="22" style="2" customWidth="1"/>
    <col min="6" max="6" width="10.85546875" style="2" customWidth="1"/>
    <col min="7" max="16384" width="8.7109375" style="2"/>
  </cols>
  <sheetData>
    <row r="1" spans="1:6" x14ac:dyDescent="0.25">
      <c r="A1" s="26" t="s">
        <v>3</v>
      </c>
      <c r="B1" s="26" t="s">
        <v>4</v>
      </c>
      <c r="C1" s="26" t="s">
        <v>5</v>
      </c>
      <c r="D1" s="26" t="s">
        <v>10</v>
      </c>
      <c r="E1" s="26" t="s">
        <v>1</v>
      </c>
      <c r="F1" s="26" t="s">
        <v>6</v>
      </c>
    </row>
    <row r="2" spans="1:6" x14ac:dyDescent="0.25">
      <c r="A2" s="3" t="str">
        <f>CALCULATION!A40</f>
        <v/>
      </c>
      <c r="B2" s="3" t="str">
        <f>CALCULATION!B40</f>
        <v/>
      </c>
      <c r="C2" s="3" t="str">
        <f>CALCULATION!C40</f>
        <v/>
      </c>
      <c r="D2" s="3" t="str">
        <f>CALCULATION!D40</f>
        <v/>
      </c>
      <c r="E2" s="6" t="str">
        <f>CALCULATION!E40</f>
        <v/>
      </c>
      <c r="F2" s="7" t="str">
        <f>CALCULATION!F40</f>
        <v/>
      </c>
    </row>
    <row r="3" spans="1:6" x14ac:dyDescent="0.25">
      <c r="A3" s="3" t="str">
        <f>CALCULATION!A41</f>
        <v/>
      </c>
      <c r="B3" s="3" t="str">
        <f>CALCULATION!B41</f>
        <v/>
      </c>
      <c r="C3" s="3" t="str">
        <f>CALCULATION!C41</f>
        <v/>
      </c>
      <c r="D3" s="3" t="str">
        <f>CALCULATION!D41</f>
        <v/>
      </c>
      <c r="E3" s="6" t="str">
        <f>CALCULATION!E41</f>
        <v/>
      </c>
      <c r="F3" s="7" t="str">
        <f>CALCULATION!F41</f>
        <v/>
      </c>
    </row>
    <row r="4" spans="1:6" x14ac:dyDescent="0.25">
      <c r="A4" s="3" t="str">
        <f>CALCULATION!A42</f>
        <v/>
      </c>
      <c r="B4" s="3" t="str">
        <f>CALCULATION!B42</f>
        <v/>
      </c>
      <c r="C4" s="3" t="str">
        <f>CALCULATION!C42</f>
        <v/>
      </c>
      <c r="D4" s="3" t="str">
        <f>CALCULATION!D42</f>
        <v/>
      </c>
      <c r="E4" s="6" t="str">
        <f>CALCULATION!E42</f>
        <v/>
      </c>
      <c r="F4" s="7" t="str">
        <f>CALCULATION!F42</f>
        <v/>
      </c>
    </row>
    <row r="5" spans="1:6" x14ac:dyDescent="0.25">
      <c r="A5" s="3" t="str">
        <f>CALCULATION!A43</f>
        <v/>
      </c>
      <c r="B5" s="3" t="str">
        <f>CALCULATION!B43</f>
        <v/>
      </c>
      <c r="C5" s="3" t="str">
        <f>CALCULATION!C43</f>
        <v/>
      </c>
      <c r="D5" s="3" t="str">
        <f>CALCULATION!D43</f>
        <v/>
      </c>
      <c r="E5" s="6" t="str">
        <f>CALCULATION!E43</f>
        <v/>
      </c>
      <c r="F5" s="7" t="str">
        <f>CALCULATION!F43</f>
        <v/>
      </c>
    </row>
    <row r="6" spans="1:6" x14ac:dyDescent="0.25">
      <c r="A6" s="3" t="str">
        <f>CALCULATION!A44</f>
        <v/>
      </c>
      <c r="B6" s="3" t="str">
        <f>CALCULATION!B44</f>
        <v/>
      </c>
      <c r="C6" s="3" t="str">
        <f>CALCULATION!C44</f>
        <v/>
      </c>
      <c r="D6" s="3" t="str">
        <f>CALCULATION!D44</f>
        <v/>
      </c>
      <c r="E6" s="6" t="str">
        <f>CALCULATION!E44</f>
        <v/>
      </c>
      <c r="F6" s="7" t="str">
        <f>CALCULATION!F44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61AC-27ED-4344-857E-CCC894789C5D}">
  <dimension ref="A1:AB21"/>
  <sheetViews>
    <sheetView zoomScale="115" zoomScaleNormal="115" workbookViewId="0">
      <selection activeCell="Z16" sqref="Z16"/>
    </sheetView>
  </sheetViews>
  <sheetFormatPr defaultRowHeight="15" x14ac:dyDescent="0.25"/>
  <cols>
    <col min="1" max="1" width="11.7109375" style="11" bestFit="1" customWidth="1"/>
    <col min="2" max="2" width="13.140625" style="11" bestFit="1" customWidth="1"/>
    <col min="3" max="3" width="17.140625" style="11" bestFit="1" customWidth="1"/>
    <col min="4" max="4" width="17.5703125" style="11" bestFit="1" customWidth="1"/>
    <col min="5" max="5" width="15.85546875" style="11" bestFit="1" customWidth="1"/>
    <col min="6" max="6" width="13.42578125" style="11" bestFit="1" customWidth="1"/>
    <col min="7" max="7" width="16.5703125" style="11" bestFit="1" customWidth="1"/>
    <col min="8" max="8" width="13.140625" style="11" bestFit="1" customWidth="1"/>
    <col min="9" max="9" width="13.42578125" style="11" bestFit="1" customWidth="1"/>
    <col min="10" max="10" width="9.42578125" style="11" bestFit="1" customWidth="1"/>
    <col min="11" max="11" width="14.28515625" style="11" customWidth="1"/>
    <col min="12" max="12" width="12.7109375" style="11" customWidth="1"/>
    <col min="13" max="13" width="9.42578125" style="11" bestFit="1" customWidth="1"/>
    <col min="14" max="14" width="18.85546875" style="11" bestFit="1" customWidth="1"/>
    <col min="15" max="15" width="11.28515625" style="11" bestFit="1" customWidth="1"/>
    <col min="16" max="16" width="12" style="11" customWidth="1"/>
    <col min="17" max="17" width="14.140625" style="11" customWidth="1"/>
    <col min="18" max="18" width="16.140625" style="11" customWidth="1"/>
    <col min="19" max="19" width="9.140625" style="11"/>
    <col min="20" max="20" width="17.140625" style="11" customWidth="1"/>
    <col min="21" max="21" width="13.85546875" style="11" customWidth="1"/>
    <col min="22" max="22" width="17.5703125" style="11" customWidth="1"/>
    <col min="23" max="23" width="13.42578125" style="11" customWidth="1"/>
    <col min="24" max="26" width="9.140625" style="11"/>
    <col min="27" max="27" width="14" style="11" customWidth="1"/>
    <col min="28" max="16384" width="9.140625" style="11"/>
  </cols>
  <sheetData>
    <row r="1" spans="1:28" x14ac:dyDescent="0.25">
      <c r="Q1" s="10">
        <v>0.1</v>
      </c>
    </row>
    <row r="5" spans="1:28" x14ac:dyDescent="0.25">
      <c r="A5" s="104" t="s">
        <v>54</v>
      </c>
      <c r="B5" s="104"/>
      <c r="C5" s="104"/>
      <c r="D5" s="104"/>
      <c r="E5" s="104"/>
      <c r="F5" s="104"/>
      <c r="H5" s="105" t="s">
        <v>46</v>
      </c>
      <c r="I5" s="105"/>
      <c r="J5" s="105"/>
      <c r="K5" s="105"/>
      <c r="L5" s="105"/>
      <c r="M5" s="105"/>
      <c r="P5" s="104" t="s">
        <v>54</v>
      </c>
      <c r="Q5" s="104"/>
      <c r="R5" s="104"/>
      <c r="S5" s="104"/>
      <c r="T5" s="104"/>
      <c r="U5" s="104"/>
      <c r="W5" s="104" t="s">
        <v>46</v>
      </c>
      <c r="X5" s="104"/>
      <c r="Y5" s="104"/>
      <c r="Z5" s="104"/>
      <c r="AA5" s="104"/>
      <c r="AB5" s="104"/>
    </row>
    <row r="6" spans="1:28" x14ac:dyDescent="0.25">
      <c r="A6" s="71" t="s">
        <v>3</v>
      </c>
      <c r="B6" s="11" t="s">
        <v>55</v>
      </c>
      <c r="C6" s="11" t="s">
        <v>56</v>
      </c>
      <c r="D6" s="11" t="s">
        <v>48</v>
      </c>
      <c r="E6" s="11" t="s">
        <v>57</v>
      </c>
      <c r="F6" s="11" t="s">
        <v>58</v>
      </c>
      <c r="H6" s="71" t="s">
        <v>3</v>
      </c>
      <c r="I6" s="11" t="s">
        <v>55</v>
      </c>
      <c r="J6" s="11" t="s">
        <v>56</v>
      </c>
      <c r="K6" s="11" t="s">
        <v>57</v>
      </c>
      <c r="L6" s="11" t="s">
        <v>8</v>
      </c>
      <c r="M6" s="11" t="s">
        <v>58</v>
      </c>
      <c r="P6" s="71" t="s">
        <v>3</v>
      </c>
      <c r="Q6" s="11" t="s">
        <v>55</v>
      </c>
      <c r="R6" s="11" t="s">
        <v>56</v>
      </c>
      <c r="S6" s="11" t="s">
        <v>48</v>
      </c>
      <c r="T6" s="11" t="s">
        <v>57</v>
      </c>
      <c r="U6" s="11" t="s">
        <v>58</v>
      </c>
      <c r="W6" s="71" t="s">
        <v>3</v>
      </c>
      <c r="X6" s="11" t="s">
        <v>55</v>
      </c>
      <c r="Y6" s="11" t="s">
        <v>56</v>
      </c>
      <c r="Z6" s="11" t="s">
        <v>57</v>
      </c>
      <c r="AA6" s="11" t="s">
        <v>8</v>
      </c>
      <c r="AB6" s="11" t="s">
        <v>58</v>
      </c>
    </row>
    <row r="7" spans="1:28" x14ac:dyDescent="0.25">
      <c r="A7" s="63">
        <v>44592</v>
      </c>
      <c r="B7" s="11" t="s">
        <v>41</v>
      </c>
      <c r="C7" s="11">
        <v>0</v>
      </c>
      <c r="E7" s="11">
        <v>100000</v>
      </c>
      <c r="F7" s="11">
        <f>E7</f>
        <v>100000</v>
      </c>
      <c r="H7" s="63">
        <v>44592</v>
      </c>
      <c r="I7" s="11" t="s">
        <v>42</v>
      </c>
      <c r="J7" s="66">
        <v>0</v>
      </c>
      <c r="K7" s="66">
        <v>100</v>
      </c>
      <c r="M7" s="66">
        <v>100</v>
      </c>
      <c r="P7" s="63">
        <v>44592</v>
      </c>
      <c r="Q7" s="11" t="s">
        <v>41</v>
      </c>
      <c r="R7" s="11">
        <v>0</v>
      </c>
      <c r="T7" s="11">
        <v>100000</v>
      </c>
      <c r="U7" s="11">
        <f>T7</f>
        <v>100000</v>
      </c>
      <c r="W7" s="63">
        <v>44592</v>
      </c>
      <c r="X7" s="11" t="s">
        <v>42</v>
      </c>
      <c r="Y7" s="66">
        <v>0</v>
      </c>
      <c r="Z7" s="66">
        <v>100</v>
      </c>
      <c r="AB7" s="66">
        <v>100</v>
      </c>
    </row>
    <row r="8" spans="1:28" x14ac:dyDescent="0.25">
      <c r="A8" s="63">
        <v>44593</v>
      </c>
      <c r="B8" s="11" t="s">
        <v>41</v>
      </c>
      <c r="C8" s="11">
        <f t="shared" ref="C8:C16" si="0">F7</f>
        <v>100000</v>
      </c>
      <c r="E8" s="11">
        <v>0</v>
      </c>
      <c r="F8" s="11">
        <f>F7</f>
        <v>100000</v>
      </c>
      <c r="H8" s="63">
        <v>44593</v>
      </c>
      <c r="I8" s="11" t="s">
        <v>42</v>
      </c>
      <c r="J8" s="66">
        <f t="shared" ref="J8:J16" si="1">M7</f>
        <v>100</v>
      </c>
      <c r="K8" s="72">
        <f>(F8*$Q$1)/360</f>
        <v>27.777777777777779</v>
      </c>
      <c r="M8" s="66">
        <f>J8+K8</f>
        <v>127.77777777777777</v>
      </c>
      <c r="P8" s="63">
        <v>44593</v>
      </c>
      <c r="Q8" s="11" t="s">
        <v>41</v>
      </c>
      <c r="R8" s="11">
        <f t="shared" ref="R8:R16" si="2">U7</f>
        <v>100000</v>
      </c>
      <c r="T8" s="11">
        <v>0</v>
      </c>
      <c r="U8" s="11">
        <f>U7</f>
        <v>100000</v>
      </c>
      <c r="W8" s="63">
        <v>44593</v>
      </c>
      <c r="X8" s="11" t="s">
        <v>42</v>
      </c>
      <c r="Y8" s="66">
        <f t="shared" ref="Y8:Y16" si="3">AB7</f>
        <v>100</v>
      </c>
      <c r="Z8" s="72">
        <f>(U8*$Q$1)/360</f>
        <v>27.777777777777779</v>
      </c>
      <c r="AB8" s="66">
        <f>Y8+Z8</f>
        <v>127.77777777777777</v>
      </c>
    </row>
    <row r="9" spans="1:28" x14ac:dyDescent="0.25">
      <c r="A9" s="63">
        <v>44594</v>
      </c>
      <c r="B9" s="11" t="s">
        <v>41</v>
      </c>
      <c r="C9" s="11">
        <f t="shared" si="0"/>
        <v>100000</v>
      </c>
      <c r="E9" s="11">
        <v>0</v>
      </c>
      <c r="F9" s="11">
        <f>C9+E9</f>
        <v>100000</v>
      </c>
      <c r="H9" s="63">
        <v>44594</v>
      </c>
      <c r="I9" s="11" t="s">
        <v>42</v>
      </c>
      <c r="J9" s="66">
        <f t="shared" si="1"/>
        <v>127.77777777777777</v>
      </c>
      <c r="K9" s="72">
        <f>(F9*$Q$1)/360</f>
        <v>27.777777777777779</v>
      </c>
      <c r="M9" s="66">
        <f>J9+K9</f>
        <v>155.55555555555554</v>
      </c>
      <c r="P9" s="63">
        <v>44594</v>
      </c>
      <c r="Q9" s="11" t="s">
        <v>41</v>
      </c>
      <c r="R9" s="11">
        <f t="shared" si="2"/>
        <v>100000</v>
      </c>
      <c r="T9" s="11">
        <v>0</v>
      </c>
      <c r="U9" s="11">
        <f>R9+T9</f>
        <v>100000</v>
      </c>
      <c r="W9" s="63">
        <v>44594</v>
      </c>
      <c r="X9" s="11" t="s">
        <v>42</v>
      </c>
      <c r="Y9" s="66">
        <f t="shared" si="3"/>
        <v>127.77777777777777</v>
      </c>
      <c r="Z9" s="72">
        <f>(U9*$Q$1)/360</f>
        <v>27.777777777777779</v>
      </c>
      <c r="AB9" s="66">
        <f>Y9+Z9</f>
        <v>155.55555555555554</v>
      </c>
    </row>
    <row r="10" spans="1:28" x14ac:dyDescent="0.25">
      <c r="A10" s="63">
        <v>44595</v>
      </c>
      <c r="B10" s="11" t="s">
        <v>41</v>
      </c>
      <c r="C10" s="11">
        <f t="shared" si="0"/>
        <v>100000</v>
      </c>
      <c r="E10" s="66">
        <v>0</v>
      </c>
      <c r="F10" s="66">
        <f>C10+E10</f>
        <v>100000</v>
      </c>
      <c r="G10" s="66"/>
      <c r="H10" s="63">
        <v>44595</v>
      </c>
      <c r="I10" s="11" t="s">
        <v>42</v>
      </c>
      <c r="J10" s="66">
        <f t="shared" si="1"/>
        <v>155.55555555555554</v>
      </c>
      <c r="K10" s="72">
        <f>+(F10*$Q$1/360)</f>
        <v>27.777777777777779</v>
      </c>
      <c r="L10" s="66">
        <v>0</v>
      </c>
      <c r="M10" s="66">
        <f t="shared" ref="M10:M16" si="4">J10+K10+L10</f>
        <v>183.33333333333331</v>
      </c>
      <c r="N10" s="66"/>
      <c r="O10" s="73"/>
      <c r="P10" s="63">
        <v>44595</v>
      </c>
      <c r="Q10" s="11" t="s">
        <v>41</v>
      </c>
      <c r="R10" s="11">
        <f t="shared" si="2"/>
        <v>100000</v>
      </c>
      <c r="S10" s="11">
        <v>0</v>
      </c>
      <c r="T10" s="66">
        <v>0</v>
      </c>
      <c r="U10" s="66">
        <f>R10+T10</f>
        <v>100000</v>
      </c>
      <c r="W10" s="63">
        <v>44595</v>
      </c>
      <c r="X10" s="11" t="s">
        <v>42</v>
      </c>
      <c r="Y10" s="66">
        <f t="shared" si="3"/>
        <v>155.55555555555554</v>
      </c>
      <c r="Z10" s="72">
        <f>(U10*$Q$1/360)</f>
        <v>27.777777777777779</v>
      </c>
      <c r="AA10" s="11">
        <f>-S10</f>
        <v>0</v>
      </c>
      <c r="AB10" s="66">
        <f t="shared" ref="AB10:AB16" si="5">Y10+Z10+AA10</f>
        <v>183.33333333333331</v>
      </c>
    </row>
    <row r="11" spans="1:28" x14ac:dyDescent="0.25">
      <c r="A11" s="63">
        <v>44596</v>
      </c>
      <c r="B11" s="11" t="s">
        <v>41</v>
      </c>
      <c r="C11" s="11">
        <f t="shared" si="0"/>
        <v>100000</v>
      </c>
      <c r="E11" s="11">
        <v>0</v>
      </c>
      <c r="F11" s="11">
        <f>C11+E11</f>
        <v>100000</v>
      </c>
      <c r="G11" s="66"/>
      <c r="H11" s="63">
        <v>44596</v>
      </c>
      <c r="I11" s="11" t="s">
        <v>42</v>
      </c>
      <c r="J11" s="66">
        <f t="shared" si="1"/>
        <v>183.33333333333331</v>
      </c>
      <c r="K11" s="72">
        <f>(F11*$Q$1)/360</f>
        <v>27.777777777777779</v>
      </c>
      <c r="L11" s="66"/>
      <c r="M11" s="66">
        <f t="shared" si="4"/>
        <v>211.11111111111109</v>
      </c>
      <c r="O11" s="73"/>
      <c r="P11" s="63">
        <v>44596</v>
      </c>
      <c r="Q11" s="11" t="s">
        <v>41</v>
      </c>
      <c r="R11" s="11">
        <f t="shared" si="2"/>
        <v>100000</v>
      </c>
      <c r="T11" s="11">
        <v>0</v>
      </c>
      <c r="U11" s="11">
        <f>R11+T11</f>
        <v>100000</v>
      </c>
      <c r="W11" s="63">
        <v>44596</v>
      </c>
      <c r="X11" s="11" t="s">
        <v>42</v>
      </c>
      <c r="Y11" s="66">
        <f t="shared" si="3"/>
        <v>183.33333333333331</v>
      </c>
      <c r="Z11" s="72">
        <f>(U11*$Q$1)/360</f>
        <v>27.777777777777779</v>
      </c>
      <c r="AB11" s="66">
        <f t="shared" si="5"/>
        <v>211.11111111111109</v>
      </c>
    </row>
    <row r="12" spans="1:28" x14ac:dyDescent="0.25">
      <c r="A12" s="63">
        <v>44597</v>
      </c>
      <c r="B12" s="11" t="s">
        <v>41</v>
      </c>
      <c r="C12" s="11">
        <f t="shared" si="0"/>
        <v>100000</v>
      </c>
      <c r="E12" s="66">
        <v>0</v>
      </c>
      <c r="F12" s="11">
        <f>C12+E12</f>
        <v>100000</v>
      </c>
      <c r="G12" s="66"/>
      <c r="H12" s="63">
        <v>44597</v>
      </c>
      <c r="I12" s="11" t="s">
        <v>42</v>
      </c>
      <c r="J12" s="66">
        <f t="shared" si="1"/>
        <v>211.11111111111109</v>
      </c>
      <c r="K12" s="72">
        <f>+(F12*$Q$1/360)</f>
        <v>27.777777777777779</v>
      </c>
      <c r="L12" s="66">
        <v>0</v>
      </c>
      <c r="M12" s="66">
        <f t="shared" si="4"/>
        <v>238.88888888888886</v>
      </c>
      <c r="N12" s="66"/>
      <c r="O12" s="73"/>
      <c r="P12" s="63">
        <v>44597</v>
      </c>
      <c r="Q12" s="11" t="s">
        <v>41</v>
      </c>
      <c r="R12" s="11">
        <f t="shared" si="2"/>
        <v>100000</v>
      </c>
      <c r="S12" s="11">
        <v>0</v>
      </c>
      <c r="T12" s="66">
        <v>0</v>
      </c>
      <c r="U12" s="11">
        <f>R12+T12</f>
        <v>100000</v>
      </c>
      <c r="W12" s="63">
        <v>44597</v>
      </c>
      <c r="X12" s="11" t="s">
        <v>42</v>
      </c>
      <c r="Y12" s="66">
        <f t="shared" si="3"/>
        <v>211.11111111111109</v>
      </c>
      <c r="Z12" s="72">
        <f>+(U12*$Q$1/360)</f>
        <v>27.777777777777779</v>
      </c>
      <c r="AA12" s="66">
        <v>0</v>
      </c>
      <c r="AB12" s="66">
        <f t="shared" si="5"/>
        <v>238.88888888888886</v>
      </c>
    </row>
    <row r="13" spans="1:28" x14ac:dyDescent="0.25">
      <c r="A13" s="63">
        <v>44598</v>
      </c>
      <c r="B13" s="11" t="s">
        <v>41</v>
      </c>
      <c r="C13" s="11">
        <f t="shared" si="0"/>
        <v>100000</v>
      </c>
      <c r="E13" s="66">
        <v>0</v>
      </c>
      <c r="F13" s="11">
        <f t="shared" ref="F13:F16" si="6">C13+E13</f>
        <v>100000</v>
      </c>
      <c r="G13" s="66"/>
      <c r="H13" s="63">
        <v>44598</v>
      </c>
      <c r="I13" s="11" t="s">
        <v>42</v>
      </c>
      <c r="J13" s="66">
        <f t="shared" si="1"/>
        <v>238.88888888888886</v>
      </c>
      <c r="K13" s="72">
        <f>(F13*$Q$1/360)</f>
        <v>27.777777777777779</v>
      </c>
      <c r="L13" s="66">
        <v>0</v>
      </c>
      <c r="M13" s="66">
        <f t="shared" si="4"/>
        <v>266.66666666666663</v>
      </c>
      <c r="N13" s="74"/>
      <c r="O13" s="73"/>
      <c r="P13" s="63">
        <v>44598</v>
      </c>
      <c r="Q13" s="11" t="s">
        <v>41</v>
      </c>
      <c r="R13" s="11">
        <f t="shared" si="2"/>
        <v>100000</v>
      </c>
      <c r="S13" s="11">
        <v>0</v>
      </c>
      <c r="T13" s="66">
        <v>0</v>
      </c>
      <c r="U13" s="11">
        <f t="shared" ref="U13:U16" si="7">R13+T13</f>
        <v>100000</v>
      </c>
      <c r="W13" s="63">
        <v>44598</v>
      </c>
      <c r="X13" s="11" t="s">
        <v>42</v>
      </c>
      <c r="Y13" s="66">
        <f t="shared" si="3"/>
        <v>238.88888888888886</v>
      </c>
      <c r="Z13" s="72">
        <f>(U13*$Q$1/360)</f>
        <v>27.777777777777779</v>
      </c>
      <c r="AA13" s="66">
        <v>0</v>
      </c>
      <c r="AB13" s="66">
        <f t="shared" si="5"/>
        <v>266.66666666666663</v>
      </c>
    </row>
    <row r="14" spans="1:28" x14ac:dyDescent="0.25">
      <c r="A14" s="63">
        <v>44599</v>
      </c>
      <c r="B14" s="11" t="s">
        <v>41</v>
      </c>
      <c r="C14" s="11">
        <f t="shared" si="0"/>
        <v>100000</v>
      </c>
      <c r="E14" s="11">
        <v>0</v>
      </c>
      <c r="F14" s="11">
        <f t="shared" si="6"/>
        <v>100000</v>
      </c>
      <c r="G14" s="66"/>
      <c r="H14" s="63">
        <v>44599</v>
      </c>
      <c r="I14" s="11" t="s">
        <v>42</v>
      </c>
      <c r="J14" s="66">
        <f t="shared" si="1"/>
        <v>266.66666666666663</v>
      </c>
      <c r="K14" s="72">
        <f>(F14*$Q$1)/360</f>
        <v>27.777777777777779</v>
      </c>
      <c r="L14" s="66"/>
      <c r="M14" s="66">
        <f t="shared" si="4"/>
        <v>294.4444444444444</v>
      </c>
      <c r="O14" s="73"/>
      <c r="P14" s="63">
        <v>44599</v>
      </c>
      <c r="Q14" s="11" t="s">
        <v>41</v>
      </c>
      <c r="R14" s="11">
        <f t="shared" si="2"/>
        <v>100000</v>
      </c>
      <c r="T14" s="11">
        <v>0</v>
      </c>
      <c r="U14" s="11">
        <f t="shared" si="7"/>
        <v>100000</v>
      </c>
      <c r="W14" s="63">
        <v>44599</v>
      </c>
      <c r="X14" s="11" t="s">
        <v>42</v>
      </c>
      <c r="Y14" s="66">
        <f t="shared" si="3"/>
        <v>266.66666666666663</v>
      </c>
      <c r="Z14" s="72">
        <f>(U14*$Q$1)/360</f>
        <v>27.777777777777779</v>
      </c>
      <c r="AB14" s="66">
        <f t="shared" si="5"/>
        <v>294.4444444444444</v>
      </c>
    </row>
    <row r="15" spans="1:28" x14ac:dyDescent="0.25">
      <c r="A15" s="63">
        <v>44600</v>
      </c>
      <c r="B15" s="61" t="s">
        <v>41</v>
      </c>
      <c r="C15" s="61">
        <f t="shared" si="0"/>
        <v>100000</v>
      </c>
      <c r="D15" s="61"/>
      <c r="E15" s="61">
        <v>0</v>
      </c>
      <c r="F15" s="61">
        <f t="shared" si="6"/>
        <v>100000</v>
      </c>
      <c r="G15" s="66"/>
      <c r="H15" s="63">
        <v>44600</v>
      </c>
      <c r="I15" s="61" t="s">
        <v>42</v>
      </c>
      <c r="J15" s="75">
        <f t="shared" si="1"/>
        <v>294.4444444444444</v>
      </c>
      <c r="K15" s="76">
        <f>(F15*$Q$1)/360</f>
        <v>27.777777777777779</v>
      </c>
      <c r="L15" s="66"/>
      <c r="M15" s="66">
        <f t="shared" si="4"/>
        <v>322.22222222222217</v>
      </c>
      <c r="O15" s="73"/>
      <c r="P15" s="63">
        <v>44600</v>
      </c>
      <c r="Q15" s="61" t="s">
        <v>41</v>
      </c>
      <c r="R15" s="61">
        <f t="shared" si="2"/>
        <v>100000</v>
      </c>
      <c r="S15" s="61"/>
      <c r="T15" s="61">
        <v>0</v>
      </c>
      <c r="U15" s="61">
        <f t="shared" si="7"/>
        <v>100000</v>
      </c>
      <c r="V15" s="61"/>
      <c r="W15" s="63">
        <v>44600</v>
      </c>
      <c r="X15" s="61" t="s">
        <v>42</v>
      </c>
      <c r="Y15" s="75">
        <f t="shared" si="3"/>
        <v>294.4444444444444</v>
      </c>
      <c r="Z15" s="76">
        <f>(U15*$Q$1)/360</f>
        <v>27.777777777777779</v>
      </c>
      <c r="AB15" s="66">
        <f t="shared" si="5"/>
        <v>322.22222222222217</v>
      </c>
    </row>
    <row r="16" spans="1:28" x14ac:dyDescent="0.25">
      <c r="A16" s="63">
        <v>44601</v>
      </c>
      <c r="B16" s="61" t="s">
        <v>41</v>
      </c>
      <c r="C16" s="61">
        <f t="shared" si="0"/>
        <v>100000</v>
      </c>
      <c r="D16" s="61"/>
      <c r="E16" s="61">
        <v>0</v>
      </c>
      <c r="F16" s="61">
        <f t="shared" si="6"/>
        <v>100000</v>
      </c>
      <c r="G16" s="61"/>
      <c r="H16" s="63">
        <v>44601</v>
      </c>
      <c r="I16" s="61" t="s">
        <v>42</v>
      </c>
      <c r="J16" s="75">
        <f t="shared" si="1"/>
        <v>322.22222222222217</v>
      </c>
      <c r="K16" s="76">
        <v>0</v>
      </c>
      <c r="L16" s="66"/>
      <c r="M16" s="66">
        <f t="shared" si="4"/>
        <v>322.22222222222217</v>
      </c>
      <c r="N16" s="74"/>
      <c r="P16" s="63">
        <v>44601</v>
      </c>
      <c r="Q16" s="61" t="s">
        <v>41</v>
      </c>
      <c r="R16" s="61">
        <f t="shared" si="2"/>
        <v>100000</v>
      </c>
      <c r="S16" s="61">
        <v>400</v>
      </c>
      <c r="T16" s="75">
        <f>-(S16+AA16)</f>
        <v>-77.777777777777828</v>
      </c>
      <c r="U16" s="61">
        <f t="shared" si="7"/>
        <v>99922.222222222219</v>
      </c>
      <c r="V16" s="61"/>
      <c r="W16" s="63">
        <v>44601</v>
      </c>
      <c r="X16" s="61" t="s">
        <v>42</v>
      </c>
      <c r="Y16" s="75">
        <f t="shared" si="3"/>
        <v>322.22222222222217</v>
      </c>
      <c r="Z16" s="76">
        <f>(U16*$Q$1)/360</f>
        <v>27.756172839506174</v>
      </c>
      <c r="AA16" s="66">
        <f>-AB15</f>
        <v>-322.22222222222217</v>
      </c>
      <c r="AB16" s="66">
        <f t="shared" si="5"/>
        <v>27.756172839506178</v>
      </c>
    </row>
    <row r="17" spans="26:28" x14ac:dyDescent="0.25">
      <c r="AB17" s="66">
        <f>AB16-M16</f>
        <v>-294.46604938271599</v>
      </c>
    </row>
    <row r="18" spans="26:28" x14ac:dyDescent="0.25">
      <c r="AA18" s="66">
        <f>AB16-M16</f>
        <v>-294.46604938271599</v>
      </c>
    </row>
    <row r="19" spans="26:28" x14ac:dyDescent="0.25">
      <c r="Z19" s="66">
        <f>J16</f>
        <v>322.22222222222217</v>
      </c>
    </row>
    <row r="20" spans="26:28" x14ac:dyDescent="0.25">
      <c r="Z20" s="66">
        <f>Z16</f>
        <v>27.756172839506174</v>
      </c>
    </row>
    <row r="21" spans="26:28" x14ac:dyDescent="0.25">
      <c r="Z21" s="66">
        <f>SUM(Z19:Z20)</f>
        <v>349.97839506172835</v>
      </c>
    </row>
  </sheetData>
  <mergeCells count="4">
    <mergeCell ref="A5:F5"/>
    <mergeCell ref="H5:M5"/>
    <mergeCell ref="P5:U5"/>
    <mergeCell ref="W5:A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Scenario</vt:lpstr>
      <vt:lpstr>PMT</vt:lpstr>
      <vt:lpstr>INT_ACC</vt:lpstr>
      <vt:lpstr>PMT_RP</vt:lpstr>
      <vt:lpstr>EXPECTED</vt:lpstr>
      <vt:lpstr>CALCULATION</vt:lpstr>
      <vt:lpstr>Sample Data</vt:lpstr>
      <vt:lpstr>Events</vt:lpstr>
      <vt:lpstr>o_Transaction</vt:lpstr>
      <vt:lpstr>Example_worsheet_check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1</cp:revision>
  <dcterms:created xsi:type="dcterms:W3CDTF">2025-02-05T13:36:13Z</dcterms:created>
  <dcterms:modified xsi:type="dcterms:W3CDTF">2025-12-17T08:12:45Z</dcterms:modified>
  <dc:language>en-US</dc:language>
</cp:coreProperties>
</file>