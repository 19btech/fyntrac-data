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cenario_Output" sheetId="1" state="visible" r:id="rId3"/>
    <sheet name="ORIG" sheetId="2" state="visible" r:id="rId4"/>
    <sheet name="PMT" sheetId="3" state="visible" r:id="rId5"/>
    <sheet name="INT_ACC" sheetId="4" state="visible" r:id="rId6"/>
    <sheet name="RC" sheetId="5" state="visible" r:id="rId7"/>
    <sheet name="CALCULATION" sheetId="6" state="visible" r:id="rId8"/>
    <sheet name="EXPECTED_INP" sheetId="7" state="visible" r:id="rId9"/>
    <sheet name="Events" sheetId="8" state="visible" r:id="rId10"/>
    <sheet name="o_Transac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<sst xmlns="http://schemas.openxmlformats.org/spreadsheetml/2006/main" count="241" uniqueCount="86">
  <si>
    <t xml:space="preserve">Transactions</t>
  </si>
  <si>
    <t xml:space="preserve">Balances</t>
  </si>
  <si>
    <t xml:space="preserve">Monthly NR</t>
  </si>
  <si>
    <t xml:space="preserve">PD</t>
  </si>
  <si>
    <t xml:space="preserve">ED</t>
  </si>
  <si>
    <t xml:space="preserve">Transaction</t>
  </si>
  <si>
    <t xml:space="preserve">Component</t>
  </si>
  <si>
    <t xml:space="preserve">Amount</t>
  </si>
  <si>
    <t xml:space="preserve">Entry</t>
  </si>
  <si>
    <t xml:space="preserve">UPB</t>
  </si>
  <si>
    <t xml:space="preserve">AIR</t>
  </si>
  <si>
    <t xml:space="preserve">Daily NR</t>
  </si>
  <si>
    <t xml:space="preserve">Purchase</t>
  </si>
  <si>
    <t xml:space="preserve">New</t>
  </si>
  <si>
    <t xml:space="preserve">Interest</t>
  </si>
  <si>
    <t xml:space="preserve">accrual</t>
  </si>
  <si>
    <t xml:space="preserve">Remit</t>
  </si>
  <si>
    <t xml:space="preserve">Payment</t>
  </si>
  <si>
    <t xml:space="preserve">PostingDate</t>
  </si>
  <si>
    <t xml:space="preserve">EffectiveDate</t>
  </si>
  <si>
    <t xml:space="preserve">InstrumentId</t>
  </si>
  <si>
    <t xml:space="preserve">AttributeId</t>
  </si>
  <si>
    <t xml:space="preserve">ATTRIBUTE_LOAN_AMOUNT_CURRENT</t>
  </si>
  <si>
    <t xml:space="preserve">ATTRIBUTE_INTEREST_RECEIVABLE_CONSUMER_CURRENT</t>
  </si>
  <si>
    <t xml:space="preserve">TRANSACTIONS_AMOUNT_REMIT</t>
  </si>
  <si>
    <t xml:space="preserve">ATTRIBUTE_INTEREST_RATE_CURRENT</t>
  </si>
  <si>
    <t xml:space="preserve">BALANCES_ENDINGBALANCE_Unpaid_Principal_Balance</t>
  </si>
  <si>
    <t xml:space="preserve">BALANCES_ENDINGBALANCE_Accrued_Interest_Receivable</t>
  </si>
  <si>
    <t xml:space="preserve">BALANCES_ENDINGBALANCE_Servicing_Interest_Accrual</t>
  </si>
  <si>
    <t xml:space="preserve">ATTRIBUTE_INTEREST_RATE_PRIOR</t>
  </si>
  <si>
    <t xml:space="preserve">PAYMENT CALC</t>
  </si>
  <si>
    <t xml:space="preserve">Interest Rate</t>
  </si>
  <si>
    <t xml:space="preserve">Purchased UPB</t>
  </si>
  <si>
    <t xml:space="preserve">Purchased Interest</t>
  </si>
  <si>
    <t xml:space="preserve">ReplayDate</t>
  </si>
  <si>
    <t xml:space="preserve">S.No</t>
  </si>
  <si>
    <t xml:space="preserve">Effective Date</t>
  </si>
  <si>
    <t xml:space="preserve">Beg UPB</t>
  </si>
  <si>
    <t xml:space="preserve">Beg AIR</t>
  </si>
  <si>
    <t xml:space="preserve">Days</t>
  </si>
  <si>
    <t xml:space="preserve">Final Remit</t>
  </si>
  <si>
    <t xml:space="preserve">Interest Paid</t>
  </si>
  <si>
    <t xml:space="preserve">Principal Paid</t>
  </si>
  <si>
    <t xml:space="preserve">End UPB</t>
  </si>
  <si>
    <t xml:space="preserve">Accrual</t>
  </si>
  <si>
    <t xml:space="preserve">End AIR</t>
  </si>
  <si>
    <t xml:space="preserve">ACCRUAL CALC</t>
  </si>
  <si>
    <t xml:space="preserve">AIR Transactions</t>
  </si>
  <si>
    <t xml:space="preserve">Interest Accrual</t>
  </si>
  <si>
    <t xml:space="preserve">Interest Adjustment</t>
  </si>
  <si>
    <t xml:space="preserve">Interest Payment</t>
  </si>
  <si>
    <t xml:space="preserve">UPB Transactions</t>
  </si>
  <si>
    <t xml:space="preserve">Principal Payment</t>
  </si>
  <si>
    <t xml:space="preserve">Principal Adjustment</t>
  </si>
  <si>
    <t xml:space="preserve">TransactionDate</t>
  </si>
  <si>
    <t xml:space="preserve">Transactiontype</t>
  </si>
  <si>
    <t xml:space="preserve">ORIG</t>
  </si>
  <si>
    <t xml:space="preserve">ATTRIBUTES_LOAN_AMOUNT_CURRENT</t>
  </si>
  <si>
    <t xml:space="preserve">ATTRIBUTES_INTEREST_RECEIVABLE_CONSUMER_CURRENT</t>
  </si>
  <si>
    <t xml:space="preserve">IDHJ-EGNY</t>
  </si>
  <si>
    <t xml:space="preserve">INT_ACC</t>
  </si>
  <si>
    <t xml:space="preserve">ATTRIBUTES_INTEREST_RATE_CURRENT</t>
  </si>
  <si>
    <t xml:space="preserve">BALANCES_BEGINNINGBALANCE_Unpaid_Principal_Balance</t>
  </si>
  <si>
    <t xml:space="preserve">BALANCES_BEGINNINGBALANCE_Accrued_Interest_Receivable</t>
  </si>
  <si>
    <t xml:space="preserve">BALANCES_BEGINNINGBALANCE_Servicing_Interest_Accrual</t>
  </si>
  <si>
    <t xml:space="preserve">02/01/2022</t>
  </si>
  <si>
    <t xml:space="preserve">PMT</t>
  </si>
  <si>
    <t xml:space="preserve">TRANSACTIONS.AMOUNT.REMIT</t>
  </si>
  <si>
    <t xml:space="preserve">RC</t>
  </si>
  <si>
    <t xml:space="preserve">ATTRIBUTES_INTEREST_RATE_PRIOR</t>
  </si>
  <si>
    <t xml:space="preserve">Trigger Type</t>
  </si>
  <si>
    <t xml:space="preserve">ON MODEL EXECUTION</t>
  </si>
  <si>
    <t xml:space="preserve">Source Mapping</t>
  </si>
  <si>
    <t xml:space="preserve">ENDINGBALANCE</t>
  </si>
  <si>
    <t xml:space="preserve">UPB,AIR,ACCRUAL</t>
  </si>
  <si>
    <t xml:space="preserve">Attribute</t>
  </si>
  <si>
    <t xml:space="preserve">NoteRate</t>
  </si>
  <si>
    <t xml:space="preserve">Current</t>
  </si>
  <si>
    <t xml:space="preserve">Trigger Source</t>
  </si>
  <si>
    <t xml:space="preserve">ON TRANSACTION POST</t>
  </si>
  <si>
    <t xml:space="preserve">ON ATTRIBUTE ADD</t>
  </si>
  <si>
    <t xml:space="preserve">Loan_amount</t>
  </si>
  <si>
    <t xml:space="preserve">INTEREST_RECEIVABLE_CONSUMER</t>
  </si>
  <si>
    <t xml:space="preserve">ON ATTRIBUTE CHANGE</t>
  </si>
  <si>
    <t xml:space="preserve">Current, Prior</t>
  </si>
  <si>
    <t xml:space="preserve">TransactionName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</si>
</sst>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0.00_);[RED]\(0.00\)"/>
    <numFmt numFmtId="167" formatCode="#,##0.00_);[RED]\(#,##0.00\)"/>
    <numFmt numFmtId="168" formatCode="0.0000_);[RED]\(0.0000\)"/>
    <numFmt numFmtId="169" formatCode="#,##0.0000_);[RED]\(#,##0.0000\)"/>
    <numFmt numFmtId="170" formatCode="0.0000"/>
    <numFmt numFmtId="171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9"/>
        <bgColor rgb="FFCC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70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0" width="9.71"/>
    <col collapsed="false" customWidth="true" hidden="false" outlineLevel="0" max="3" min="3" style="0" width="11.43"/>
    <col collapsed="false" customWidth="true" hidden="false" outlineLevel="0" max="4" min="4" style="0" width="8"/>
    <col collapsed="false" customWidth="true" hidden="false" outlineLevel="0" max="5" min="5" style="0" width="10.29"/>
    <col collapsed="false" customWidth="true" hidden="false" outlineLevel="0" max="6" min="6" style="0" width="8.57"/>
    <col collapsed="false" customWidth="true" hidden="false" outlineLevel="0" max="8" min="8" style="0" width="10.85"/>
    <col collapsed="false" customWidth="true" hidden="false" outlineLevel="0" max="9" min="9" style="0" width="9.29"/>
    <col collapsed="false" customWidth="true" hidden="false" outlineLevel="0" max="12" min="12" style="0" width="9.86"/>
    <col collapsed="false" customWidth="true" hidden="false" outlineLevel="0" max="13" min="13" style="0" width="19.42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H1" s="1" t="s">
        <v>1</v>
      </c>
      <c r="I1" s="1"/>
      <c r="M1" s="2" t="s">
        <v>2</v>
      </c>
      <c r="N1" s="2" t="n">
        <f aca="false">P1/1200</f>
        <v>0.00833333333333333</v>
      </c>
      <c r="P1" s="0" t="n">
        <v>10</v>
      </c>
      <c r="Q1" s="0" t="n">
        <f aca="false">P1/100</f>
        <v>0.1</v>
      </c>
      <c r="R1" s="0" t="n">
        <f aca="false">Q1/360</f>
        <v>0.000277777777777778</v>
      </c>
    </row>
    <row r="2" customFormat="false" ht="15" hidden="false" customHeight="fals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H2" s="3" t="s">
        <v>9</v>
      </c>
      <c r="I2" s="3" t="s">
        <v>10</v>
      </c>
      <c r="M2" s="2" t="s">
        <v>11</v>
      </c>
      <c r="N2" s="2" t="n">
        <f aca="false">R1</f>
        <v>0.000277777777777778</v>
      </c>
    </row>
    <row r="3" customFormat="false" ht="15" hidden="false" customHeight="false" outlineLevel="0" collapsed="false">
      <c r="A3" s="4" t="n">
        <v>44592</v>
      </c>
      <c r="B3" s="4" t="n">
        <f aca="false">A3</f>
        <v>44592</v>
      </c>
      <c r="C3" s="2" t="s">
        <v>12</v>
      </c>
      <c r="D3" s="2" t="s">
        <v>9</v>
      </c>
      <c r="E3" s="5" t="n">
        <v>100000</v>
      </c>
      <c r="F3" s="2" t="s">
        <v>13</v>
      </c>
      <c r="H3" s="6" t="n">
        <f aca="false">E3</f>
        <v>100000</v>
      </c>
      <c r="I3" s="6" t="n">
        <v>0</v>
      </c>
    </row>
    <row r="4" customFormat="false" ht="15" hidden="false" customHeight="false" outlineLevel="0" collapsed="false">
      <c r="A4" s="4" t="n">
        <v>44592</v>
      </c>
      <c r="B4" s="4" t="n">
        <f aca="false">A4</f>
        <v>44592</v>
      </c>
      <c r="C4" s="2" t="s">
        <v>12</v>
      </c>
      <c r="D4" s="2" t="s">
        <v>14</v>
      </c>
      <c r="E4" s="5" t="n">
        <v>100</v>
      </c>
      <c r="F4" s="2" t="s">
        <v>13</v>
      </c>
      <c r="H4" s="6" t="n">
        <f aca="false">E3</f>
        <v>100000</v>
      </c>
      <c r="I4" s="6" t="n">
        <f aca="false">E4</f>
        <v>100</v>
      </c>
      <c r="M4" s="2" t="s">
        <v>2</v>
      </c>
      <c r="N4" s="2" t="n">
        <f aca="false">P4/1200</f>
        <v>0.0125</v>
      </c>
      <c r="P4" s="0" t="n">
        <v>15</v>
      </c>
      <c r="Q4" s="0" t="n">
        <f aca="false">P4/100</f>
        <v>0.15</v>
      </c>
      <c r="R4" s="0" t="n">
        <f aca="false">Q4/360</f>
        <v>0.000416666666666667</v>
      </c>
    </row>
    <row r="5" customFormat="false" ht="15" hidden="false" customHeight="false" outlineLevel="0" collapsed="false">
      <c r="A5" s="4" t="n">
        <v>44593</v>
      </c>
      <c r="B5" s="4" t="n">
        <v>44593</v>
      </c>
      <c r="C5" s="2" t="s">
        <v>15</v>
      </c>
      <c r="D5" s="2" t="s">
        <v>14</v>
      </c>
      <c r="E5" s="7" t="n">
        <f aca="false">H5*$N$2</f>
        <v>27.7777777777778</v>
      </c>
      <c r="F5" s="2" t="s">
        <v>13</v>
      </c>
      <c r="G5" s="8"/>
      <c r="H5" s="6" t="n">
        <f aca="false">H4</f>
        <v>100000</v>
      </c>
      <c r="I5" s="6" t="n">
        <f aca="false">I4+E5</f>
        <v>127.777777777778</v>
      </c>
      <c r="M5" s="2" t="s">
        <v>11</v>
      </c>
      <c r="N5" s="2" t="n">
        <f aca="false">R4</f>
        <v>0.000416666666666667</v>
      </c>
    </row>
    <row r="6" customFormat="false" ht="15" hidden="false" customHeight="false" outlineLevel="0" collapsed="false">
      <c r="A6" s="4" t="n">
        <v>44594</v>
      </c>
      <c r="B6" s="4" t="n">
        <v>44594</v>
      </c>
      <c r="C6" s="2" t="s">
        <v>15</v>
      </c>
      <c r="D6" s="2" t="s">
        <v>14</v>
      </c>
      <c r="E6" s="5" t="n">
        <f aca="false">H6*$N$2</f>
        <v>27.7777777777778</v>
      </c>
      <c r="F6" s="2" t="s">
        <v>13</v>
      </c>
      <c r="G6" s="8"/>
      <c r="H6" s="6" t="n">
        <f aca="false">H5</f>
        <v>100000</v>
      </c>
      <c r="I6" s="9" t="n">
        <f aca="false">I5+E6</f>
        <v>155.555555555556</v>
      </c>
    </row>
    <row r="7" customFormat="false" ht="15" hidden="false" customHeight="false" outlineLevel="0" collapsed="false">
      <c r="A7" s="4" t="n">
        <v>44595</v>
      </c>
      <c r="B7" s="4" t="n">
        <v>44595</v>
      </c>
      <c r="C7" s="2" t="s">
        <v>16</v>
      </c>
      <c r="D7" s="2"/>
      <c r="E7" s="5" t="n">
        <v>210</v>
      </c>
      <c r="F7" s="2" t="s">
        <v>13</v>
      </c>
      <c r="G7" s="8"/>
      <c r="H7" s="6" t="n">
        <f aca="false">H6</f>
        <v>100000</v>
      </c>
      <c r="I7" s="10" t="n">
        <f aca="false">I6</f>
        <v>155.555555555556</v>
      </c>
      <c r="N7" s="6"/>
    </row>
    <row r="8" customFormat="false" ht="15" hidden="false" customHeight="false" outlineLevel="0" collapsed="false">
      <c r="A8" s="4" t="n">
        <v>44595</v>
      </c>
      <c r="B8" s="4" t="n">
        <v>44595</v>
      </c>
      <c r="C8" s="2" t="s">
        <v>17</v>
      </c>
      <c r="D8" s="2" t="s">
        <v>9</v>
      </c>
      <c r="E8" s="5" t="n">
        <f aca="false">-(E7-I7)</f>
        <v>-54.4444444444445</v>
      </c>
      <c r="F8" s="2" t="s">
        <v>13</v>
      </c>
      <c r="H8" s="6" t="n">
        <f aca="false">H7+E8</f>
        <v>99945.5555555556</v>
      </c>
      <c r="I8" s="6" t="n">
        <f aca="false">I7</f>
        <v>155.555555555556</v>
      </c>
      <c r="J8" s="11"/>
    </row>
    <row r="9" customFormat="false" ht="15" hidden="false" customHeight="false" outlineLevel="0" collapsed="false">
      <c r="A9" s="4" t="n">
        <v>44595</v>
      </c>
      <c r="B9" s="4" t="n">
        <v>44595</v>
      </c>
      <c r="C9" s="2" t="s">
        <v>17</v>
      </c>
      <c r="D9" s="2" t="s">
        <v>14</v>
      </c>
      <c r="E9" s="5" t="n">
        <f aca="false">-(I8)</f>
        <v>-155.555555555556</v>
      </c>
      <c r="F9" s="2" t="s">
        <v>13</v>
      </c>
      <c r="G9" s="8"/>
      <c r="H9" s="6" t="n">
        <f aca="false">H7+E8</f>
        <v>99945.5555555556</v>
      </c>
      <c r="I9" s="6" t="n">
        <f aca="false">I8+E9</f>
        <v>0</v>
      </c>
    </row>
    <row r="10" customFormat="false" ht="15" hidden="false" customHeight="false" outlineLevel="0" collapsed="false">
      <c r="A10" s="4" t="n">
        <v>44595</v>
      </c>
      <c r="B10" s="4" t="n">
        <v>44595</v>
      </c>
      <c r="C10" s="2" t="s">
        <v>15</v>
      </c>
      <c r="D10" s="2" t="s">
        <v>14</v>
      </c>
      <c r="E10" s="7" t="n">
        <f aca="false">H10*$N$2</f>
        <v>27.7626543209877</v>
      </c>
      <c r="F10" s="2" t="s">
        <v>13</v>
      </c>
      <c r="G10" s="8"/>
      <c r="H10" s="6" t="n">
        <f aca="false">H9</f>
        <v>99945.5555555556</v>
      </c>
      <c r="I10" s="6" t="n">
        <f aca="false">E10+I9</f>
        <v>27.7626543209877</v>
      </c>
    </row>
    <row r="11" customFormat="false" ht="15" hidden="false" customHeight="false" outlineLevel="0" collapsed="false">
      <c r="A11" s="4" t="n">
        <v>44596</v>
      </c>
      <c r="B11" s="4" t="n">
        <v>44596</v>
      </c>
      <c r="C11" s="2" t="s">
        <v>15</v>
      </c>
      <c r="D11" s="2" t="s">
        <v>14</v>
      </c>
      <c r="E11" s="7" t="n">
        <f aca="false">ROUND(H10*N2,4)</f>
        <v>27.7627</v>
      </c>
      <c r="F11" s="2" t="s">
        <v>13</v>
      </c>
      <c r="G11" s="8"/>
      <c r="H11" s="6" t="n">
        <f aca="false">H10</f>
        <v>99945.5555555556</v>
      </c>
      <c r="I11" s="6" t="n">
        <f aca="false">I10+E11</f>
        <v>55.5253543209877</v>
      </c>
    </row>
    <row r="12" customFormat="false" ht="15" hidden="false" customHeight="false" outlineLevel="0" collapsed="false">
      <c r="A12" s="4" t="n">
        <v>44597</v>
      </c>
      <c r="B12" s="4" t="n">
        <v>44597</v>
      </c>
      <c r="C12" s="2" t="s">
        <v>15</v>
      </c>
      <c r="D12" s="2" t="s">
        <v>14</v>
      </c>
      <c r="E12" s="7" t="n">
        <f aca="false">H10*$N$5</f>
        <v>41.6439814814815</v>
      </c>
      <c r="F12" s="2" t="s">
        <v>13</v>
      </c>
      <c r="G12" s="8"/>
      <c r="H12" s="6" t="n">
        <f aca="false">H11</f>
        <v>99945.5555555556</v>
      </c>
      <c r="I12" s="6" t="n">
        <f aca="false">I11+E12</f>
        <v>97.1693358024691</v>
      </c>
    </row>
  </sheetData>
  <mergeCells count="2">
    <mergeCell ref="A1:F1"/>
    <mergeCell ref="H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3.15"/>
    <col collapsed="false" customWidth="true" hidden="false" outlineLevel="0" max="3" min="3" style="0" width="12.57"/>
    <col collapsed="false" customWidth="true" hidden="false" outlineLevel="0" max="4" min="4" style="0" width="10.85"/>
    <col collapsed="false" customWidth="true" hidden="false" outlineLevel="0" max="5" min="5" style="0" width="37.15"/>
    <col collapsed="false" customWidth="true" hidden="false" outlineLevel="0" max="6" min="6" style="0" width="53.71"/>
  </cols>
  <sheetData>
    <row r="1" customFormat="false" ht="15" hidden="false" customHeight="false" outlineLevel="0" collapsed="false">
      <c r="A1" s="12" t="s">
        <v>18</v>
      </c>
      <c r="B1" s="3" t="s">
        <v>19</v>
      </c>
      <c r="C1" s="13" t="s">
        <v>20</v>
      </c>
      <c r="D1" s="13" t="s">
        <v>21</v>
      </c>
      <c r="E1" s="14" t="s">
        <v>22</v>
      </c>
      <c r="F1" s="15" t="s">
        <v>23</v>
      </c>
    </row>
    <row r="2" customFormat="false" ht="15" hidden="false" customHeight="false" outlineLevel="0" collapsed="false">
      <c r="A2" s="16"/>
      <c r="B2" s="16"/>
      <c r="C2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3.15"/>
    <col collapsed="false" customWidth="true" hidden="false" outlineLevel="0" max="3" min="3" style="0" width="12.57"/>
    <col collapsed="false" customWidth="true" hidden="false" outlineLevel="0" max="4" min="4" style="0" width="10.85"/>
    <col collapsed="false" customWidth="true" hidden="false" outlineLevel="0" max="5" min="5" style="0" width="30.57"/>
  </cols>
  <sheetData>
    <row r="1" customFormat="false" ht="15" hidden="false" customHeight="false" outlineLevel="0" collapsed="false">
      <c r="A1" s="12" t="s">
        <v>18</v>
      </c>
      <c r="B1" s="3" t="s">
        <v>19</v>
      </c>
      <c r="C1" s="13" t="s">
        <v>20</v>
      </c>
      <c r="D1" s="13" t="s">
        <v>21</v>
      </c>
      <c r="E1" s="14" t="s">
        <v>24</v>
      </c>
    </row>
    <row r="2" customFormat="false" ht="15" hidden="false" customHeight="false" outlineLevel="0" collapsed="false">
      <c r="A2" s="16"/>
      <c r="B2" s="16"/>
      <c r="C2" s="17"/>
      <c r="E2" s="18"/>
    </row>
    <row r="3" customFormat="false" ht="15" hidden="false" customHeight="false" outlineLevel="0" collapsed="false">
      <c r="A3" s="19"/>
      <c r="B3" s="19"/>
      <c r="C3" s="2"/>
      <c r="D3" s="2"/>
      <c r="E3" s="18"/>
      <c r="F3" s="16"/>
    </row>
    <row r="4" customFormat="false" ht="15" hidden="false" customHeight="false" outlineLevel="0" collapsed="false">
      <c r="A4" s="19"/>
      <c r="B4" s="19"/>
      <c r="C4" s="2"/>
      <c r="D4" s="2"/>
      <c r="E4" s="18"/>
      <c r="F4" s="16"/>
    </row>
    <row r="5" customFormat="false" ht="15" hidden="false" customHeight="false" outlineLevel="0" collapsed="false">
      <c r="A5" s="19"/>
      <c r="B5" s="19"/>
      <c r="C5" s="2"/>
      <c r="D5" s="2"/>
      <c r="E5" s="18"/>
      <c r="F5" s="16"/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3.15"/>
    <col collapsed="false" customWidth="true" hidden="false" outlineLevel="0" max="3" min="3" style="0" width="12.57"/>
    <col collapsed="false" customWidth="true" hidden="false" outlineLevel="0" max="4" min="4" style="0" width="10.85"/>
    <col collapsed="false" customWidth="true" hidden="false" outlineLevel="0" max="5" min="5" style="0" width="35.14"/>
    <col collapsed="false" customWidth="true" hidden="false" outlineLevel="0" max="6" min="6" style="0" width="53.86"/>
    <col collapsed="false" customWidth="true" hidden="false" outlineLevel="0" max="7" min="7" style="0" width="57"/>
    <col collapsed="false" customWidth="true" hidden="false" outlineLevel="0" max="8" min="8" style="0" width="61"/>
  </cols>
  <sheetData>
    <row r="1" customFormat="false" ht="15" hidden="false" customHeight="false" outlineLevel="0" collapsed="false">
      <c r="A1" s="12" t="s">
        <v>18</v>
      </c>
      <c r="B1" s="3" t="s">
        <v>19</v>
      </c>
      <c r="C1" s="13" t="s">
        <v>20</v>
      </c>
      <c r="D1" s="13" t="s">
        <v>21</v>
      </c>
      <c r="E1" s="20" t="s">
        <v>25</v>
      </c>
      <c r="F1" s="20" t="s">
        <v>26</v>
      </c>
      <c r="G1" s="20" t="s">
        <v>27</v>
      </c>
      <c r="H1" s="20" t="s">
        <v>28</v>
      </c>
    </row>
    <row r="2" customFormat="false" ht="15" hidden="false" customHeight="false" outlineLevel="0" collapsed="false">
      <c r="A2" s="16"/>
      <c r="B2" s="16"/>
      <c r="C2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3.15"/>
    <col collapsed="false" customWidth="true" hidden="false" outlineLevel="0" max="3" min="3" style="0" width="12.57"/>
    <col collapsed="false" customWidth="true" hidden="false" outlineLevel="0" max="4" min="4" style="0" width="10.85"/>
    <col collapsed="false" customWidth="true" hidden="false" outlineLevel="0" max="5" min="5" style="0" width="36"/>
    <col collapsed="false" customWidth="true" hidden="false" outlineLevel="0" max="6" min="6" style="0" width="33.14"/>
  </cols>
  <sheetData>
    <row r="1" customFormat="false" ht="15" hidden="false" customHeight="false" outlineLevel="0" collapsed="false">
      <c r="A1" s="12" t="s">
        <v>18</v>
      </c>
      <c r="B1" s="3" t="s">
        <v>19</v>
      </c>
      <c r="C1" s="13" t="s">
        <v>20</v>
      </c>
      <c r="D1" s="13" t="s">
        <v>21</v>
      </c>
      <c r="E1" s="20" t="s">
        <v>25</v>
      </c>
      <c r="F1" s="20" t="s">
        <v>29</v>
      </c>
    </row>
    <row r="2" customFormat="false" ht="15" hidden="false" customHeight="false" outlineLevel="0" collapsed="false">
      <c r="A2" s="16"/>
      <c r="B2" s="16"/>
      <c r="C2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9.71"/>
    <col collapsed="false" customWidth="true" hidden="false" outlineLevel="0" max="2" min="2" style="0" width="36.15"/>
    <col collapsed="false" customWidth="true" hidden="false" outlineLevel="0" max="3" min="3" style="0" width="12.86"/>
    <col collapsed="false" customWidth="true" hidden="false" outlineLevel="0" max="4" min="4" style="0" width="24.86"/>
    <col collapsed="false" customWidth="true" hidden="false" outlineLevel="0" max="5" min="5" style="0" width="15.71"/>
    <col collapsed="false" customWidth="true" hidden="false" outlineLevel="0" max="6" min="6" style="0" width="23.42"/>
    <col collapsed="false" customWidth="true" hidden="false" outlineLevel="0" max="7" min="7" style="0" width="14.86"/>
    <col collapsed="false" customWidth="true" hidden="false" outlineLevel="0" max="8" min="8" style="0" width="17.29"/>
    <col collapsed="false" customWidth="true" hidden="false" outlineLevel="0" max="9" min="9" style="0" width="21.43"/>
    <col collapsed="false" customWidth="true" hidden="false" outlineLevel="0" max="10" min="10" style="0" width="27.42"/>
    <col collapsed="false" customWidth="true" hidden="false" outlineLevel="0" max="11" min="11" style="0" width="13"/>
    <col collapsed="false" customWidth="true" hidden="false" outlineLevel="0" max="13" min="13" style="0" width="20.14"/>
  </cols>
  <sheetData>
    <row r="1" customFormat="false" ht="15" hidden="false" customHeight="false" outlineLevel="0" collapsed="false">
      <c r="A1" s="21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15" hidden="false" customHeight="false" outlineLevel="0" collapsed="false">
      <c r="A2" s="22" t="s">
        <v>31</v>
      </c>
      <c r="B2" s="23" t="n">
        <f aca="false">IF(RC!A2=CALCULATION!B4,RC!E2/100,INT_ACC!E2/100)</f>
        <v>0</v>
      </c>
      <c r="D2" s="2" t="s">
        <v>32</v>
      </c>
      <c r="E2" s="2" t="n">
        <f aca="false">IF(ORIG!E2="",0,ORIG!E2)</f>
        <v>0</v>
      </c>
    </row>
    <row r="3" customFormat="false" ht="15" hidden="false" customHeight="false" outlineLevel="0" collapsed="false">
      <c r="A3" s="24" t="s">
        <v>20</v>
      </c>
      <c r="B3" s="25" t="n">
        <f aca="false">INT_ACC!C2</f>
        <v>0</v>
      </c>
      <c r="D3" s="2" t="s">
        <v>33</v>
      </c>
      <c r="E3" s="2" t="n">
        <f aca="false">IF(ORIG!F2="",0,ORIG!F2)</f>
        <v>0</v>
      </c>
    </row>
    <row r="4" customFormat="false" ht="15" hidden="false" customHeight="false" outlineLevel="0" collapsed="false">
      <c r="A4" s="24" t="s">
        <v>18</v>
      </c>
      <c r="B4" s="26" t="str">
        <f aca="false">IF(INT_ACC!A2="","",(INT_ACC!A2))</f>
        <v/>
      </c>
      <c r="D4" s="16"/>
    </row>
    <row r="5" customFormat="false" ht="15" hidden="false" customHeight="false" outlineLevel="0" collapsed="false">
      <c r="A5" s="24" t="s">
        <v>34</v>
      </c>
      <c r="B5" s="26" t="str">
        <f aca="false">IF(OR(MIN(PMT!$B$2:$B$13)=B4,MIN(PMT!$B$2:$B$13)=0),"",MIN(PMT!$B$2:$B$13))</f>
        <v/>
      </c>
      <c r="D5" s="16"/>
    </row>
    <row r="6" customFormat="false" ht="15" hidden="false" customHeight="false" outlineLevel="0" collapsed="false">
      <c r="D6" s="16"/>
    </row>
    <row r="7" customFormat="false" ht="15" hidden="false" customHeight="false" outlineLevel="0" collapsed="false">
      <c r="A7" s="27" t="s">
        <v>35</v>
      </c>
      <c r="B7" s="27" t="s">
        <v>36</v>
      </c>
      <c r="C7" s="27" t="s">
        <v>37</v>
      </c>
      <c r="D7" s="27" t="s">
        <v>38</v>
      </c>
      <c r="E7" s="27" t="s">
        <v>39</v>
      </c>
      <c r="F7" s="27" t="s">
        <v>40</v>
      </c>
      <c r="G7" s="27" t="s">
        <v>41</v>
      </c>
      <c r="H7" s="27" t="s">
        <v>42</v>
      </c>
      <c r="I7" s="27" t="s">
        <v>43</v>
      </c>
      <c r="J7" s="27" t="s">
        <v>44</v>
      </c>
      <c r="K7" s="27" t="s">
        <v>45</v>
      </c>
    </row>
    <row r="8" customFormat="false" ht="15" hidden="false" customHeight="false" outlineLevel="0" collapsed="false">
      <c r="A8" s="2" t="n">
        <v>1</v>
      </c>
      <c r="B8" s="28" t="str">
        <f aca="false">B4</f>
        <v/>
      </c>
      <c r="C8" s="29" t="n">
        <f aca="false">INT_ACC!F2</f>
        <v>0</v>
      </c>
      <c r="D8" s="29" t="n">
        <f aca="false">INT_ACC!G2</f>
        <v>0</v>
      </c>
      <c r="E8" s="29" t="str">
        <f aca="false">IF(B8="","",IF(B9="",0,(B9-B8)-1))</f>
        <v/>
      </c>
      <c r="F8" s="29" t="n">
        <f aca="false">PMT!E2</f>
        <v>0</v>
      </c>
      <c r="G8" s="29" t="str">
        <f aca="false">IF(B8="","",IF(F8&lt;D8,F8,D8))</f>
        <v/>
      </c>
      <c r="H8" s="30" t="str">
        <f aca="false">IF(B8="","",F8-G8)</f>
        <v/>
      </c>
      <c r="I8" s="31" t="str">
        <f aca="false">IFERROR(IF(B8="","",C8-H8),0)</f>
        <v/>
      </c>
      <c r="J8" s="32" t="str">
        <f aca="false">IFERROR(IF(B8="","",(I8*$B$2)/360),0)</f>
        <v/>
      </c>
      <c r="K8" s="30" t="str">
        <f aca="false">IFERROR(IF(B8="","",D8-G8+J8),0)</f>
        <v/>
      </c>
      <c r="N8" s="9"/>
      <c r="O8" s="33"/>
      <c r="P8" s="16"/>
    </row>
    <row r="9" customFormat="false" ht="15" hidden="false" customHeight="false" outlineLevel="0" collapsed="false">
      <c r="A9" s="34"/>
      <c r="B9" s="35"/>
      <c r="C9" s="36"/>
      <c r="D9" s="37"/>
      <c r="E9" s="37"/>
      <c r="F9" s="38" t="n">
        <f aca="false" t="array" ref="F9:F9">IFERROR(LOOKUP(2, 1/(G8&lt;&gt;""), G8),0)</f>
        <v>0</v>
      </c>
      <c r="G9" s="38" t="n">
        <f aca="false" t="array" ref="G9:G9">IFERROR(LOOKUP(2, 1/(H8&lt;&gt;""), H8),0)</f>
        <v>0</v>
      </c>
      <c r="H9" s="38" t="n">
        <f aca="false">IF(I8="",0,I8)</f>
        <v>0</v>
      </c>
      <c r="I9" s="39"/>
      <c r="J9" s="38" t="n">
        <f aca="false">IF(K8="",0,K8)</f>
        <v>0</v>
      </c>
    </row>
    <row r="10" customFormat="false" ht="15" hidden="false" customHeight="false" outlineLevel="0" collapsed="false">
      <c r="A10" s="34"/>
      <c r="B10" s="35"/>
      <c r="C10" s="37"/>
      <c r="D10" s="36"/>
      <c r="E10" s="37"/>
      <c r="F10" s="37"/>
      <c r="G10" s="37"/>
      <c r="H10" s="40"/>
      <c r="I10" s="41"/>
      <c r="J10" s="36"/>
      <c r="K10" s="40"/>
    </row>
    <row r="12" customFormat="false" ht="15" hidden="false" customHeight="false" outlineLevel="0" collapsed="false">
      <c r="A12" s="21" t="s">
        <v>46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15" hidden="false" customHeight="false" outlineLevel="0" collapsed="false">
      <c r="A13" s="27" t="s">
        <v>35</v>
      </c>
      <c r="B13" s="27" t="s">
        <v>36</v>
      </c>
      <c r="C13" s="27" t="s">
        <v>37</v>
      </c>
      <c r="D13" s="27" t="s">
        <v>38</v>
      </c>
      <c r="E13" s="27" t="s">
        <v>39</v>
      </c>
      <c r="F13" s="27" t="s">
        <v>40</v>
      </c>
      <c r="G13" s="27" t="s">
        <v>41</v>
      </c>
      <c r="H13" s="27" t="s">
        <v>42</v>
      </c>
      <c r="I13" s="27" t="s">
        <v>43</v>
      </c>
      <c r="J13" s="42" t="s">
        <v>44</v>
      </c>
      <c r="K13" s="42" t="s">
        <v>45</v>
      </c>
    </row>
    <row r="14" customFormat="false" ht="15" hidden="false" customHeight="false" outlineLevel="0" collapsed="false">
      <c r="A14" s="43" t="n">
        <v>1</v>
      </c>
      <c r="B14" s="28" t="str">
        <f aca="false">IF(INT_ACC!B2="","",INT_ACC!B2)</f>
        <v/>
      </c>
      <c r="C14" s="43" t="n">
        <f aca="false">VALUE(INT_ACC!F2)</f>
        <v>0</v>
      </c>
      <c r="D14" s="43" t="n">
        <f aca="false">VALUE(INT_ACC!G2)</f>
        <v>0</v>
      </c>
      <c r="E14" s="29" t="str">
        <f aca="false">IF(B14="","",IF(B15="",0,(B15-B14)-1))</f>
        <v/>
      </c>
      <c r="F14" s="29" t="n">
        <v>0</v>
      </c>
      <c r="G14" s="29" t="n">
        <f aca="false">F9</f>
        <v>0</v>
      </c>
      <c r="H14" s="29" t="n">
        <f aca="false">G9</f>
        <v>0</v>
      </c>
      <c r="I14" s="44" t="n">
        <f aca="false">C14-H14</f>
        <v>0</v>
      </c>
      <c r="J14" s="45" t="n">
        <f aca="false">IF(B14="",0,(I14*$B$2)/360)</f>
        <v>0</v>
      </c>
      <c r="K14" s="46" t="n">
        <f aca="false">D14+J14-G14</f>
        <v>0</v>
      </c>
    </row>
    <row r="15" customFormat="false" ht="15" hidden="false" customHeight="false" outlineLevel="0" collapsed="false">
      <c r="K15" s="9"/>
    </row>
    <row r="16" customFormat="false" ht="15" hidden="false" customHeight="false" outlineLevel="0" collapsed="false">
      <c r="A16" s="21" t="s">
        <v>47</v>
      </c>
      <c r="B16" s="21"/>
    </row>
    <row r="17" customFormat="false" ht="15" hidden="false" customHeight="false" outlineLevel="0" collapsed="false">
      <c r="A17" s="47" t="s">
        <v>48</v>
      </c>
      <c r="B17" s="48" t="n">
        <f aca="false">J14</f>
        <v>0</v>
      </c>
    </row>
    <row r="18" customFormat="false" ht="15" hidden="false" customHeight="false" outlineLevel="0" collapsed="false">
      <c r="A18" s="2" t="s">
        <v>49</v>
      </c>
      <c r="B18" s="49" t="n">
        <f aca="false">IF(C8="",0,J9-K14)</f>
        <v>0</v>
      </c>
    </row>
    <row r="19" customFormat="false" ht="15" hidden="false" customHeight="false" outlineLevel="0" collapsed="false">
      <c r="A19" s="2" t="s">
        <v>50</v>
      </c>
      <c r="B19" s="50" t="n">
        <f aca="false">F9</f>
        <v>0</v>
      </c>
      <c r="D19" s="9"/>
    </row>
    <row r="20" customFormat="false" ht="15" hidden="false" customHeight="false" outlineLevel="0" collapsed="false">
      <c r="A20" s="51" t="s">
        <v>33</v>
      </c>
      <c r="B20" s="50" t="n">
        <f aca="false">E3</f>
        <v>0</v>
      </c>
    </row>
    <row r="22" customFormat="false" ht="15" hidden="false" customHeight="false" outlineLevel="0" collapsed="false">
      <c r="A22" s="21" t="s">
        <v>51</v>
      </c>
      <c r="B22" s="21"/>
    </row>
    <row r="23" customFormat="false" ht="15" hidden="false" customHeight="false" outlineLevel="0" collapsed="false">
      <c r="A23" s="47" t="s">
        <v>52</v>
      </c>
      <c r="B23" s="52" t="n">
        <f aca="false">G9</f>
        <v>0</v>
      </c>
    </row>
    <row r="24" customFormat="false" ht="15" hidden="false" customHeight="false" outlineLevel="0" collapsed="false">
      <c r="A24" s="2" t="s">
        <v>53</v>
      </c>
      <c r="B24" s="53" t="n">
        <f aca="false">IF(C8="",0,H9-I14)</f>
        <v>0</v>
      </c>
    </row>
    <row r="25" customFormat="false" ht="15" hidden="false" customHeight="false" outlineLevel="0" collapsed="false">
      <c r="A25" s="51" t="s">
        <v>32</v>
      </c>
      <c r="B25" s="53" t="n">
        <f aca="false">E2</f>
        <v>0</v>
      </c>
    </row>
    <row r="27" customFormat="false" ht="15" hidden="false" customHeight="false" outlineLevel="0" collapsed="false">
      <c r="A27" s="21" t="s">
        <v>0</v>
      </c>
      <c r="B27" s="21"/>
      <c r="C27" s="21"/>
      <c r="D27" s="21"/>
      <c r="E27" s="21"/>
      <c r="F27" s="21"/>
    </row>
    <row r="28" customFormat="false" ht="15" hidden="false" customHeight="false" outlineLevel="0" collapsed="false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customFormat="false" ht="15" hidden="false" customHeight="false" outlineLevel="0" collapsed="false">
      <c r="A29" s="4" t="str">
        <f aca="false">IF(E2=0,B4,"")</f>
        <v/>
      </c>
      <c r="B29" s="4" t="str">
        <f aca="false">A29</f>
        <v/>
      </c>
      <c r="C29" s="2" t="str">
        <f aca="false">IF(A29="","",$B$3)</f>
        <v/>
      </c>
      <c r="D29" s="2" t="str">
        <f aca="false">IF(A29="","","Servicing_Interest_Accrual")</f>
        <v/>
      </c>
      <c r="E29" s="55" t="str">
        <f aca="false">IF(A29="","",ROUND(B17,4))</f>
        <v/>
      </c>
      <c r="F29" s="2" t="str">
        <f aca="false">IF(A29="","",INT_ACC!$D$2)</f>
        <v/>
      </c>
    </row>
    <row r="30" customFormat="false" ht="15" hidden="false" customHeight="false" outlineLevel="0" collapsed="false">
      <c r="A30" s="4" t="str">
        <f aca="false">IF(ROUND(B18,4)=0,"",$B$4)</f>
        <v/>
      </c>
      <c r="B30" s="4" t="str">
        <f aca="false">IF(A30="","",A30)</f>
        <v/>
      </c>
      <c r="C30" s="2" t="str">
        <f aca="false">IF(A30="","",$B$3)</f>
        <v/>
      </c>
      <c r="D30" s="2" t="str">
        <f aca="false">IF(A30="","","Interest_Adjustment")</f>
        <v/>
      </c>
      <c r="E30" s="56" t="str">
        <f aca="false">IF(A30="","",ROUND(B18,4))</f>
        <v/>
      </c>
      <c r="F30" s="2" t="str">
        <f aca="false">IF(A30="","",INT_ACC!$D$2)</f>
        <v/>
      </c>
    </row>
    <row r="31" customFormat="false" ht="15" hidden="false" customHeight="false" outlineLevel="0" collapsed="false">
      <c r="A31" s="4" t="str">
        <f aca="false">IF(ROUND(B19,4)=0,"",$B$4)</f>
        <v/>
      </c>
      <c r="B31" s="4" t="str">
        <f aca="false">IF(A31="","",A31)</f>
        <v/>
      </c>
      <c r="C31" s="2" t="str">
        <f aca="false">IF(A31="","",$B$3)</f>
        <v/>
      </c>
      <c r="D31" s="2" t="str">
        <f aca="false">IF(A31="","","Payment_Interest")</f>
        <v/>
      </c>
      <c r="E31" s="56" t="str">
        <f aca="false">IF(A31="","",ROUND(B19,4)*-1)</f>
        <v/>
      </c>
      <c r="F31" s="2" t="str">
        <f aca="false">IF(A31="","",INT_ACC!$D$2)</f>
        <v/>
      </c>
    </row>
    <row r="32" customFormat="false" ht="15" hidden="false" customHeight="false" outlineLevel="0" collapsed="false">
      <c r="A32" s="4" t="str">
        <f aca="false">IF(ROUND(B23,4)=0,"",$B$4)</f>
        <v/>
      </c>
      <c r="B32" s="4" t="str">
        <f aca="false">IF(A32="","",A32)</f>
        <v/>
      </c>
      <c r="C32" s="2" t="str">
        <f aca="false">IF(A32="","",$B$3)</f>
        <v/>
      </c>
      <c r="D32" s="2" t="str">
        <f aca="false">IF(A32="","","Payment_UPB")</f>
        <v/>
      </c>
      <c r="E32" s="56" t="str">
        <f aca="false">IF(A32="","",ROUND(B23,4)*-1)</f>
        <v/>
      </c>
      <c r="F32" s="2" t="str">
        <f aca="false">IF(A32="","",INT_ACC!$D$2)</f>
        <v/>
      </c>
    </row>
    <row r="33" customFormat="false" ht="15" hidden="false" customHeight="false" outlineLevel="0" collapsed="false">
      <c r="A33" s="4" t="str">
        <f aca="false">IF(ROUND(B24,4)=0,"",$B$4)</f>
        <v/>
      </c>
      <c r="B33" s="4" t="str">
        <f aca="false">IF(A33="","",A33)</f>
        <v/>
      </c>
      <c r="C33" s="2" t="str">
        <f aca="false">IF(A33="","",$B$3)</f>
        <v/>
      </c>
      <c r="D33" s="2" t="str">
        <f aca="false">IF(A33="","","Principal_Adjustment")</f>
        <v/>
      </c>
      <c r="E33" s="56" t="str">
        <f aca="false">IF(A33="","",ROUND(B24,4))</f>
        <v/>
      </c>
      <c r="F33" s="2" t="str">
        <f aca="false">IF(A33="","",INT_ACC!$D$2)</f>
        <v/>
      </c>
    </row>
    <row r="34" customFormat="false" ht="15" hidden="false" customHeight="false" outlineLevel="0" collapsed="false">
      <c r="A34" s="4" t="str">
        <f aca="false">IF(ROUND(B25,4)=0,"",$B$4)</f>
        <v/>
      </c>
      <c r="B34" s="4" t="str">
        <f aca="false">IF(A34="","",A34)</f>
        <v/>
      </c>
      <c r="C34" s="2" t="str">
        <f aca="false">IF(A34="","",$B$3)</f>
        <v/>
      </c>
      <c r="D34" s="2" t="str">
        <f aca="false">IF(A34="","","Purchase_UPB")</f>
        <v/>
      </c>
      <c r="E34" s="56" t="str">
        <f aca="false">IF(A34="","",ROUND(B25,4))</f>
        <v/>
      </c>
      <c r="F34" s="2" t="str">
        <f aca="false">IF(A34="","",INT_ACC!$D$2)</f>
        <v/>
      </c>
    </row>
    <row r="35" customFormat="false" ht="15" hidden="false" customHeight="false" outlineLevel="0" collapsed="false">
      <c r="A35" s="4" t="str">
        <f aca="false">IF(ROUND(B20,4)=0,"",$B$4)</f>
        <v/>
      </c>
      <c r="B35" s="4" t="str">
        <f aca="false">IF(A35="","",A35)</f>
        <v/>
      </c>
      <c r="C35" s="2" t="str">
        <f aca="false">IF(A35="","",$B$3)</f>
        <v/>
      </c>
      <c r="D35" s="2" t="str">
        <f aca="false">IF(A35="","","Purchase_Interest")</f>
        <v/>
      </c>
      <c r="E35" s="56" t="str">
        <f aca="false">IF(A35="","",ROUND(B20,4))</f>
        <v/>
      </c>
      <c r="F35" s="2" t="str">
        <f aca="false"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3.15"/>
    <col collapsed="false" customWidth="true" hidden="false" outlineLevel="0" max="3" min="3" style="0" width="12.57"/>
    <col collapsed="false" customWidth="true" hidden="false" outlineLevel="0" max="4" min="4" style="0" width="10.85"/>
    <col collapsed="false" customWidth="true" hidden="false" outlineLevel="0" max="5" min="5" style="0" width="35.14"/>
    <col collapsed="false" customWidth="true" hidden="false" outlineLevel="0" max="6" min="6" style="0" width="53.86"/>
    <col collapsed="false" customWidth="true" hidden="false" outlineLevel="0" max="7" min="7" style="0" width="57"/>
    <col collapsed="false" customWidth="true" hidden="false" outlineLevel="0" max="8" min="8" style="0" width="54.57"/>
  </cols>
  <sheetData>
    <row r="1" customFormat="false" ht="22.05" hidden="false" customHeight="false" outlineLevel="0" collapsed="false">
      <c r="A1" s="57" t="n">
        <v>44592</v>
      </c>
      <c r="B1" s="57"/>
      <c r="C1" s="57"/>
      <c r="D1" s="57"/>
      <c r="E1" s="57"/>
      <c r="F1" s="57"/>
      <c r="G1" s="57"/>
      <c r="H1" s="57"/>
    </row>
    <row r="2" customFormat="false" ht="15" hidden="false" customHeight="false" outlineLevel="0" collapsed="false">
      <c r="A2" s="3" t="s">
        <v>56</v>
      </c>
    </row>
    <row r="3" customFormat="false" ht="15" hidden="false" customHeight="false" outlineLevel="0" collapsed="false">
      <c r="A3" s="12" t="s">
        <v>18</v>
      </c>
      <c r="B3" s="3" t="s">
        <v>19</v>
      </c>
      <c r="C3" s="13" t="s">
        <v>20</v>
      </c>
      <c r="D3" s="13" t="s">
        <v>21</v>
      </c>
      <c r="E3" s="14" t="s">
        <v>57</v>
      </c>
      <c r="F3" s="15" t="s">
        <v>58</v>
      </c>
    </row>
    <row r="4" customFormat="false" ht="15" hidden="false" customHeight="false" outlineLevel="0" collapsed="false">
      <c r="A4" s="16" t="n">
        <v>44592</v>
      </c>
      <c r="B4" s="16" t="n">
        <v>44592</v>
      </c>
      <c r="C4" s="17" t="s">
        <v>59</v>
      </c>
      <c r="D4" s="0" t="n">
        <v>1</v>
      </c>
      <c r="E4" s="0" t="n">
        <v>100000</v>
      </c>
      <c r="F4" s="0" t="n">
        <v>100</v>
      </c>
    </row>
    <row r="6" customFormat="false" ht="15" hidden="false" customHeight="false" outlineLevel="0" collapsed="false">
      <c r="A6" s="3" t="s">
        <v>60</v>
      </c>
    </row>
    <row r="7" customFormat="false" ht="15" hidden="false" customHeight="false" outlineLevel="0" collapsed="false">
      <c r="A7" s="12" t="s">
        <v>18</v>
      </c>
      <c r="B7" s="3" t="s">
        <v>19</v>
      </c>
      <c r="C7" s="13" t="s">
        <v>20</v>
      </c>
      <c r="D7" s="13" t="s">
        <v>21</v>
      </c>
      <c r="E7" s="14" t="s">
        <v>61</v>
      </c>
      <c r="F7" s="14" t="s">
        <v>62</v>
      </c>
      <c r="G7" s="14" t="s">
        <v>63</v>
      </c>
      <c r="H7" s="14" t="s">
        <v>64</v>
      </c>
      <c r="I7" s="3"/>
      <c r="J7" s="3"/>
      <c r="K7" s="3"/>
      <c r="L7" s="3"/>
    </row>
    <row r="8" customFormat="false" ht="15" hidden="false" customHeight="false" outlineLevel="0" collapsed="false">
      <c r="A8" s="16" t="n">
        <v>44592</v>
      </c>
      <c r="B8" s="16" t="n">
        <v>44592</v>
      </c>
      <c r="C8" s="17" t="s">
        <v>59</v>
      </c>
      <c r="D8" s="0" t="n">
        <v>1</v>
      </c>
      <c r="E8" s="0" t="n">
        <v>10</v>
      </c>
      <c r="F8" s="0" t="n">
        <v>0</v>
      </c>
      <c r="G8" s="0" t="n">
        <v>0</v>
      </c>
      <c r="H8" s="0" t="n">
        <v>0</v>
      </c>
    </row>
    <row r="11" customFormat="false" ht="22.05" hidden="false" customHeight="false" outlineLevel="0" collapsed="false">
      <c r="A11" s="57" t="n">
        <v>44593</v>
      </c>
      <c r="B11" s="57"/>
      <c r="C11" s="57"/>
      <c r="D11" s="57"/>
      <c r="E11" s="57"/>
      <c r="F11" s="57"/>
      <c r="G11" s="57"/>
      <c r="H11" s="57"/>
    </row>
    <row r="12" customFormat="false" ht="15" hidden="false" customHeight="false" outlineLevel="0" collapsed="false">
      <c r="B12" s="0" t="str">
        <f aca="false">TEXT(B15,"mm/dd/yyyy")</f>
        <v>02/01/2022</v>
      </c>
    </row>
    <row r="13" customFormat="false" ht="15" hidden="false" customHeight="false" outlineLevel="0" collapsed="false">
      <c r="A13" s="3" t="s">
        <v>60</v>
      </c>
    </row>
    <row r="14" customFormat="false" ht="15" hidden="false" customHeight="false" outlineLevel="0" collapsed="false">
      <c r="A14" s="12" t="s">
        <v>18</v>
      </c>
      <c r="B14" s="3" t="s">
        <v>19</v>
      </c>
      <c r="C14" s="13" t="s">
        <v>20</v>
      </c>
      <c r="D14" s="13" t="s">
        <v>21</v>
      </c>
      <c r="E14" s="14" t="s">
        <v>61</v>
      </c>
      <c r="F14" s="14" t="s">
        <v>62</v>
      </c>
      <c r="G14" s="14" t="s">
        <v>63</v>
      </c>
      <c r="H14" s="14" t="s">
        <v>64</v>
      </c>
    </row>
    <row r="15" customFormat="false" ht="15" hidden="false" customHeight="false" outlineLevel="0" collapsed="false">
      <c r="A15" s="16" t="s">
        <v>65</v>
      </c>
      <c r="B15" s="16" t="s">
        <v>65</v>
      </c>
      <c r="C15" s="17" t="s">
        <v>59</v>
      </c>
      <c r="D15" s="0" t="n">
        <v>1</v>
      </c>
      <c r="E15" s="0" t="n">
        <v>10</v>
      </c>
      <c r="F15" s="0" t="n">
        <v>100000</v>
      </c>
      <c r="G15" s="0" t="n">
        <v>100</v>
      </c>
      <c r="H15" s="0" t="n">
        <v>0</v>
      </c>
    </row>
    <row r="18" customFormat="false" ht="22.05" hidden="false" customHeight="false" outlineLevel="0" collapsed="false">
      <c r="A18" s="57" t="n">
        <v>44594</v>
      </c>
      <c r="B18" s="57"/>
      <c r="C18" s="57"/>
      <c r="D18" s="57"/>
      <c r="E18" s="57"/>
      <c r="F18" s="57"/>
      <c r="G18" s="57"/>
      <c r="H18" s="57"/>
    </row>
    <row r="19" customFormat="false" ht="22.05" hidden="false" customHeight="false" outlineLevel="0" collapsed="false">
      <c r="A19" s="58"/>
      <c r="B19" s="59"/>
      <c r="C19" s="59"/>
      <c r="D19" s="59"/>
      <c r="E19" s="59"/>
      <c r="F19" s="59"/>
      <c r="G19" s="59"/>
      <c r="H19" s="59"/>
    </row>
    <row r="20" customFormat="false" ht="15" hidden="false" customHeight="false" outlineLevel="0" collapsed="false">
      <c r="A20" s="3" t="s">
        <v>60</v>
      </c>
    </row>
    <row r="21" customFormat="false" ht="15" hidden="false" customHeight="false" outlineLevel="0" collapsed="false">
      <c r="A21" s="12" t="s">
        <v>18</v>
      </c>
      <c r="B21" s="3" t="s">
        <v>19</v>
      </c>
      <c r="C21" s="13" t="s">
        <v>20</v>
      </c>
      <c r="D21" s="13" t="s">
        <v>21</v>
      </c>
      <c r="E21" s="14" t="s">
        <v>61</v>
      </c>
      <c r="F21" s="14" t="s">
        <v>62</v>
      </c>
      <c r="G21" s="14" t="s">
        <v>63</v>
      </c>
      <c r="H21" s="14" t="s">
        <v>64</v>
      </c>
    </row>
    <row r="22" customFormat="false" ht="15" hidden="false" customHeight="false" outlineLevel="0" collapsed="false">
      <c r="A22" s="16" t="n">
        <v>44594</v>
      </c>
      <c r="B22" s="16" t="n">
        <v>44594</v>
      </c>
      <c r="C22" s="17" t="s">
        <v>59</v>
      </c>
      <c r="D22" s="0" t="n">
        <v>1</v>
      </c>
      <c r="E22" s="0" t="n">
        <v>10</v>
      </c>
      <c r="F22" s="0" t="n">
        <v>100000</v>
      </c>
      <c r="G22" s="0" t="n">
        <v>127.7778</v>
      </c>
      <c r="H22" s="0" t="n">
        <v>27.7778</v>
      </c>
    </row>
    <row r="25" customFormat="false" ht="22.05" hidden="false" customHeight="false" outlineLevel="0" collapsed="false">
      <c r="A25" s="57" t="n">
        <v>44595</v>
      </c>
      <c r="B25" s="57"/>
      <c r="C25" s="57"/>
      <c r="D25" s="57"/>
      <c r="E25" s="57"/>
      <c r="F25" s="57"/>
      <c r="G25" s="57"/>
      <c r="H25" s="57"/>
    </row>
    <row r="27" customFormat="false" ht="15" hidden="false" customHeight="false" outlineLevel="0" collapsed="false">
      <c r="A27" s="3" t="s">
        <v>60</v>
      </c>
    </row>
    <row r="28" customFormat="false" ht="15" hidden="false" customHeight="false" outlineLevel="0" collapsed="false">
      <c r="A28" s="12" t="s">
        <v>18</v>
      </c>
      <c r="B28" s="3" t="s">
        <v>19</v>
      </c>
      <c r="C28" s="13" t="s">
        <v>20</v>
      </c>
      <c r="D28" s="13" t="s">
        <v>21</v>
      </c>
      <c r="E28" s="14" t="s">
        <v>61</v>
      </c>
      <c r="F28" s="14" t="s">
        <v>62</v>
      </c>
      <c r="G28" s="14" t="s">
        <v>63</v>
      </c>
      <c r="H28" s="14" t="s">
        <v>64</v>
      </c>
    </row>
    <row r="29" customFormat="false" ht="15" hidden="false" customHeight="false" outlineLevel="0" collapsed="false">
      <c r="A29" s="16" t="n">
        <v>44595</v>
      </c>
      <c r="B29" s="16" t="n">
        <v>44595</v>
      </c>
      <c r="C29" s="17" t="s">
        <v>59</v>
      </c>
      <c r="D29" s="0" t="n">
        <v>1</v>
      </c>
      <c r="E29" s="0" t="n">
        <v>10</v>
      </c>
      <c r="F29" s="0" t="n">
        <v>100000</v>
      </c>
      <c r="G29" s="0" t="n">
        <v>155.5556</v>
      </c>
      <c r="H29" s="0" t="n">
        <v>55.5556</v>
      </c>
    </row>
    <row r="31" customFormat="false" ht="15" hidden="false" customHeight="false" outlineLevel="0" collapsed="false">
      <c r="A31" s="3" t="s">
        <v>66</v>
      </c>
    </row>
    <row r="32" customFormat="false" ht="15" hidden="false" customHeight="false" outlineLevel="0" collapsed="false">
      <c r="A32" s="12" t="s">
        <v>18</v>
      </c>
      <c r="B32" s="3" t="s">
        <v>19</v>
      </c>
      <c r="C32" s="13" t="s">
        <v>20</v>
      </c>
      <c r="D32" s="13" t="s">
        <v>21</v>
      </c>
      <c r="E32" s="14" t="s">
        <v>67</v>
      </c>
    </row>
    <row r="33" customFormat="false" ht="15" hidden="false" customHeight="false" outlineLevel="0" collapsed="false">
      <c r="A33" s="16" t="n">
        <v>44595</v>
      </c>
      <c r="B33" s="16" t="n">
        <v>44595</v>
      </c>
      <c r="C33" s="17" t="s">
        <v>59</v>
      </c>
      <c r="D33" s="0" t="n">
        <v>1</v>
      </c>
      <c r="E33" s="18" t="n">
        <v>210</v>
      </c>
    </row>
    <row r="36" customFormat="false" ht="22.05" hidden="false" customHeight="false" outlineLevel="0" collapsed="false">
      <c r="A36" s="57" t="n">
        <v>44596</v>
      </c>
      <c r="B36" s="57"/>
      <c r="C36" s="57"/>
      <c r="D36" s="57"/>
      <c r="E36" s="57"/>
      <c r="F36" s="57"/>
      <c r="G36" s="57"/>
      <c r="H36" s="57"/>
    </row>
    <row r="38" customFormat="false" ht="15" hidden="false" customHeight="false" outlineLevel="0" collapsed="false">
      <c r="A38" s="3" t="s">
        <v>60</v>
      </c>
    </row>
    <row r="39" customFormat="false" ht="15" hidden="false" customHeight="false" outlineLevel="0" collapsed="false">
      <c r="A39" s="12" t="s">
        <v>18</v>
      </c>
      <c r="B39" s="3" t="s">
        <v>19</v>
      </c>
      <c r="C39" s="13" t="s">
        <v>20</v>
      </c>
      <c r="D39" s="13" t="s">
        <v>21</v>
      </c>
      <c r="E39" s="14" t="s">
        <v>61</v>
      </c>
      <c r="F39" s="14" t="s">
        <v>62</v>
      </c>
      <c r="G39" s="14" t="s">
        <v>63</v>
      </c>
      <c r="H39" s="14" t="s">
        <v>64</v>
      </c>
    </row>
    <row r="40" customFormat="false" ht="15" hidden="false" customHeight="false" outlineLevel="0" collapsed="false">
      <c r="A40" s="16" t="n">
        <v>44596</v>
      </c>
      <c r="B40" s="16" t="n">
        <v>44596</v>
      </c>
      <c r="C40" s="17" t="s">
        <v>59</v>
      </c>
      <c r="D40" s="0" t="n">
        <v>1</v>
      </c>
      <c r="E40" s="0" t="n">
        <v>10</v>
      </c>
      <c r="F40" s="0" t="n">
        <v>99945.5556</v>
      </c>
      <c r="G40" s="0" t="n">
        <v>27.7627</v>
      </c>
      <c r="H40" s="0" t="n">
        <f aca="false">H29+G40</f>
        <v>83.3183</v>
      </c>
    </row>
    <row r="43" customFormat="false" ht="22.05" hidden="false" customHeight="false" outlineLevel="0" collapsed="false">
      <c r="A43" s="57" t="n">
        <v>44597</v>
      </c>
      <c r="B43" s="57"/>
      <c r="C43" s="57"/>
      <c r="D43" s="57"/>
      <c r="E43" s="57"/>
      <c r="F43" s="57"/>
      <c r="G43" s="57"/>
      <c r="H43" s="57"/>
    </row>
    <row r="45" customFormat="false" ht="15" hidden="false" customHeight="false" outlineLevel="0" collapsed="false">
      <c r="A45" s="3" t="s">
        <v>60</v>
      </c>
    </row>
    <row r="46" customFormat="false" ht="15" hidden="false" customHeight="false" outlineLevel="0" collapsed="false">
      <c r="A46" s="12" t="s">
        <v>18</v>
      </c>
      <c r="B46" s="3" t="s">
        <v>19</v>
      </c>
      <c r="C46" s="13" t="s">
        <v>20</v>
      </c>
      <c r="D46" s="13" t="s">
        <v>21</v>
      </c>
      <c r="E46" s="14" t="s">
        <v>61</v>
      </c>
      <c r="F46" s="14" t="s">
        <v>62</v>
      </c>
      <c r="G46" s="14" t="s">
        <v>63</v>
      </c>
      <c r="H46" s="14" t="s">
        <v>64</v>
      </c>
    </row>
    <row r="47" customFormat="false" ht="15" hidden="false" customHeight="false" outlineLevel="0" collapsed="false">
      <c r="A47" s="16" t="n">
        <v>44597</v>
      </c>
      <c r="B47" s="16" t="n">
        <v>44597</v>
      </c>
      <c r="C47" s="17" t="s">
        <v>59</v>
      </c>
      <c r="D47" s="0" t="n">
        <v>1</v>
      </c>
      <c r="E47" s="0" t="n">
        <v>10</v>
      </c>
      <c r="F47" s="0" t="n">
        <v>99945.5556</v>
      </c>
      <c r="G47" s="0" t="n">
        <v>55.5254</v>
      </c>
      <c r="H47" s="0" t="n">
        <v>111.081</v>
      </c>
    </row>
    <row r="49" customFormat="false" ht="15" hidden="false" customHeight="false" outlineLevel="0" collapsed="false">
      <c r="A49" s="3" t="s">
        <v>68</v>
      </c>
    </row>
    <row r="50" customFormat="false" ht="15" hidden="false" customHeight="false" outlineLevel="0" collapsed="false">
      <c r="A50" s="12" t="s">
        <v>18</v>
      </c>
      <c r="B50" s="3" t="s">
        <v>19</v>
      </c>
      <c r="C50" s="13" t="s">
        <v>20</v>
      </c>
      <c r="D50" s="13" t="s">
        <v>21</v>
      </c>
      <c r="E50" s="14" t="s">
        <v>61</v>
      </c>
      <c r="F50" s="14" t="s">
        <v>69</v>
      </c>
    </row>
    <row r="51" customFormat="false" ht="15" hidden="false" customHeight="false" outlineLevel="0" collapsed="false">
      <c r="A51" s="16" t="n">
        <v>44596</v>
      </c>
      <c r="B51" s="16" t="n">
        <v>44596</v>
      </c>
      <c r="C51" s="17" t="s">
        <v>59</v>
      </c>
      <c r="D51" s="0" t="n">
        <v>1</v>
      </c>
      <c r="E51" s="0" t="n">
        <v>15</v>
      </c>
      <c r="F51" s="0" t="n">
        <v>10</v>
      </c>
    </row>
  </sheetData>
  <mergeCells count="6">
    <mergeCell ref="A1:H1"/>
    <mergeCell ref="A11:H11"/>
    <mergeCell ref="A18:H18"/>
    <mergeCell ref="A25:H25"/>
    <mergeCell ref="A36:H36"/>
    <mergeCell ref="A43:H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.57"/>
    <col collapsed="false" customWidth="true" hidden="false" outlineLevel="0" max="2" min="2" style="0" width="38.42"/>
    <col collapsed="false" customWidth="true" hidden="false" outlineLevel="0" max="3" min="3" style="0" width="20.14"/>
  </cols>
  <sheetData>
    <row r="1" customFormat="false" ht="15" hidden="false" customHeight="false" outlineLevel="0" collapsed="false">
      <c r="A1" s="3" t="s">
        <v>60</v>
      </c>
    </row>
    <row r="3" customFormat="false" ht="15" hidden="false" customHeight="false" outlineLevel="0" collapsed="false">
      <c r="A3" s="0" t="s">
        <v>70</v>
      </c>
    </row>
    <row r="4" customFormat="false" ht="15" hidden="false" customHeight="false" outlineLevel="0" collapsed="false">
      <c r="A4" s="0" t="s">
        <v>71</v>
      </c>
    </row>
    <row r="6" customFormat="false" ht="15" hidden="false" customHeight="false" outlineLevel="0" collapsed="false">
      <c r="A6" s="0" t="s">
        <v>72</v>
      </c>
    </row>
    <row r="7" customFormat="false" ht="15" hidden="false" customHeight="false" outlineLevel="0" collapsed="false">
      <c r="A7" s="0" t="s">
        <v>1</v>
      </c>
      <c r="B7" s="0" t="s">
        <v>73</v>
      </c>
      <c r="C7" s="0" t="s">
        <v>74</v>
      </c>
    </row>
    <row r="8" customFormat="false" ht="15" hidden="false" customHeight="false" outlineLevel="0" collapsed="false">
      <c r="A8" s="0" t="s">
        <v>75</v>
      </c>
      <c r="B8" s="0" t="s">
        <v>76</v>
      </c>
      <c r="C8" s="0" t="s">
        <v>77</v>
      </c>
    </row>
    <row r="11" customFormat="false" ht="15" hidden="false" customHeight="false" outlineLevel="0" collapsed="false">
      <c r="A11" s="3" t="s">
        <v>66</v>
      </c>
    </row>
    <row r="13" customFormat="false" ht="15" hidden="false" customHeight="false" outlineLevel="0" collapsed="false">
      <c r="A13" s="0" t="s">
        <v>70</v>
      </c>
      <c r="B13" s="0" t="s">
        <v>78</v>
      </c>
    </row>
    <row r="14" customFormat="false" ht="15" hidden="false" customHeight="false" outlineLevel="0" collapsed="false">
      <c r="A14" s="0" t="s">
        <v>79</v>
      </c>
      <c r="B14" s="0" t="s">
        <v>16</v>
      </c>
    </row>
    <row r="17" customFormat="false" ht="15" hidden="false" customHeight="false" outlineLevel="0" collapsed="false">
      <c r="A17" s="0" t="s">
        <v>72</v>
      </c>
    </row>
    <row r="18" customFormat="false" ht="15" hidden="false" customHeight="false" outlineLevel="0" collapsed="false">
      <c r="A18" s="0" t="s">
        <v>0</v>
      </c>
      <c r="B18" s="0" t="s">
        <v>7</v>
      </c>
      <c r="C18" s="0" t="s">
        <v>16</v>
      </c>
    </row>
    <row r="20" customFormat="false" ht="15" hidden="false" customHeight="false" outlineLevel="0" collapsed="false">
      <c r="A20" s="3" t="s">
        <v>56</v>
      </c>
    </row>
    <row r="21" customFormat="false" ht="15" hidden="false" customHeight="false" outlineLevel="0" collapsed="false">
      <c r="A21" s="0" t="s">
        <v>70</v>
      </c>
    </row>
    <row r="22" customFormat="false" ht="15" hidden="false" customHeight="false" outlineLevel="0" collapsed="false">
      <c r="A22" s="0" t="s">
        <v>80</v>
      </c>
    </row>
    <row r="24" customFormat="false" ht="15" hidden="false" customHeight="false" outlineLevel="0" collapsed="false">
      <c r="A24" s="0" t="s">
        <v>72</v>
      </c>
    </row>
    <row r="25" customFormat="false" ht="15" hidden="false" customHeight="false" outlineLevel="0" collapsed="false">
      <c r="A25" s="0" t="s">
        <v>75</v>
      </c>
      <c r="B25" s="0" t="s">
        <v>81</v>
      </c>
      <c r="C25" s="0" t="s">
        <v>77</v>
      </c>
    </row>
    <row r="26" customFormat="false" ht="15" hidden="false" customHeight="false" outlineLevel="0" collapsed="false">
      <c r="A26" s="0" t="s">
        <v>75</v>
      </c>
      <c r="B26" s="0" t="s">
        <v>82</v>
      </c>
      <c r="C26" s="0" t="s">
        <v>77</v>
      </c>
    </row>
    <row r="28" customFormat="false" ht="15" hidden="false" customHeight="false" outlineLevel="0" collapsed="false">
      <c r="A28" s="3" t="s">
        <v>68</v>
      </c>
    </row>
    <row r="29" customFormat="false" ht="15" hidden="false" customHeight="false" outlineLevel="0" collapsed="false">
      <c r="A29" s="0" t="s">
        <v>70</v>
      </c>
    </row>
    <row r="30" customFormat="false" ht="15" hidden="false" customHeight="false" outlineLevel="0" collapsed="false">
      <c r="A30" s="0" t="s">
        <v>83</v>
      </c>
    </row>
    <row r="32" customFormat="false" ht="15" hidden="false" customHeight="false" outlineLevel="0" collapsed="false">
      <c r="A32" s="0" t="s">
        <v>72</v>
      </c>
    </row>
    <row r="33" customFormat="false" ht="15" hidden="false" customHeight="false" outlineLevel="0" collapsed="false">
      <c r="A33" s="0" t="s">
        <v>75</v>
      </c>
      <c r="B33" s="0" t="s">
        <v>31</v>
      </c>
      <c r="C33" s="0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7" width="33"/>
    <col collapsed="false" customWidth="true" hidden="false" outlineLevel="0" max="2" min="2" style="17" width="15.42"/>
    <col collapsed="false" customWidth="true" hidden="false" outlineLevel="0" max="3" min="3" style="17" width="12.57"/>
    <col collapsed="false" customWidth="true" hidden="false" outlineLevel="0" max="4" min="4" style="17" width="32.71"/>
    <col collapsed="false" customWidth="true" hidden="false" outlineLevel="0" max="5" min="5" style="17" width="22"/>
    <col collapsed="false" customWidth="true" hidden="false" outlineLevel="0" max="6" min="6" style="17" width="10.85"/>
    <col collapsed="false" customWidth="false" hidden="false" outlineLevel="0" max="16384" min="7" style="17" width="8.71"/>
  </cols>
  <sheetData>
    <row r="1" customFormat="false" ht="15" hidden="false" customHeight="false" outlineLevel="0" collapsed="false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customFormat="false" ht="15" hidden="false" customHeight="false" outlineLevel="0" collapsed="false">
      <c r="A2" s="60" t="str">
        <f aca="false">CALCULATION!A29</f>
        <v/>
      </c>
      <c r="B2" s="60" t="str">
        <f aca="false">CALCULATION!B29</f>
        <v/>
      </c>
      <c r="C2" s="60" t="str">
        <f aca="false">CALCULATION!C29</f>
        <v/>
      </c>
      <c r="D2" s="60" t="str">
        <f aca="false">CALCULATION!D29</f>
        <v/>
      </c>
      <c r="E2" s="61" t="str">
        <f aca="false">CALCULATION!E29</f>
        <v/>
      </c>
      <c r="F2" s="62" t="str">
        <f aca="false">CALCULATION!F29</f>
        <v/>
      </c>
    </row>
    <row r="3" customFormat="false" ht="15" hidden="false" customHeight="false" outlineLevel="0" collapsed="false">
      <c r="A3" s="60" t="str">
        <f aca="false">CALCULATION!A30</f>
        <v/>
      </c>
      <c r="B3" s="60" t="str">
        <f aca="false">CALCULATION!B30</f>
        <v/>
      </c>
      <c r="C3" s="60" t="str">
        <f aca="false">CALCULATION!C30</f>
        <v/>
      </c>
      <c r="D3" s="60" t="str">
        <f aca="false">CALCULATION!D30</f>
        <v/>
      </c>
      <c r="E3" s="61" t="str">
        <f aca="false">CALCULATION!E30</f>
        <v/>
      </c>
      <c r="F3" s="62" t="str">
        <f aca="false">CALCULATION!F30</f>
        <v/>
      </c>
    </row>
    <row r="4" customFormat="false" ht="15" hidden="false" customHeight="false" outlineLevel="0" collapsed="false">
      <c r="A4" s="60" t="str">
        <f aca="false">CALCULATION!A31</f>
        <v/>
      </c>
      <c r="B4" s="60" t="str">
        <f aca="false">CALCULATION!B31</f>
        <v/>
      </c>
      <c r="C4" s="60" t="str">
        <f aca="false">CALCULATION!C31</f>
        <v/>
      </c>
      <c r="D4" s="60" t="str">
        <f aca="false">CALCULATION!D31</f>
        <v/>
      </c>
      <c r="E4" s="61" t="str">
        <f aca="false">CALCULATION!E31</f>
        <v/>
      </c>
      <c r="F4" s="62" t="str">
        <f aca="false">CALCULATION!F31</f>
        <v/>
      </c>
    </row>
    <row r="5" customFormat="false" ht="15" hidden="false" customHeight="false" outlineLevel="0" collapsed="false">
      <c r="A5" s="60" t="str">
        <f aca="false">CALCULATION!A32</f>
        <v/>
      </c>
      <c r="B5" s="60" t="str">
        <f aca="false">CALCULATION!B32</f>
        <v/>
      </c>
      <c r="C5" s="60" t="str">
        <f aca="false">CALCULATION!C32</f>
        <v/>
      </c>
      <c r="D5" s="60" t="str">
        <f aca="false">CALCULATION!D32</f>
        <v/>
      </c>
      <c r="E5" s="61" t="str">
        <f aca="false">CALCULATION!E32</f>
        <v/>
      </c>
      <c r="F5" s="62" t="str">
        <f aca="false">CALCULATION!F32</f>
        <v/>
      </c>
    </row>
    <row r="6" customFormat="false" ht="15" hidden="false" customHeight="false" outlineLevel="0" collapsed="false">
      <c r="A6" s="60" t="str">
        <f aca="false">CALCULATION!A33</f>
        <v/>
      </c>
      <c r="B6" s="60" t="str">
        <f aca="false">CALCULATION!B33</f>
        <v/>
      </c>
      <c r="C6" s="60" t="str">
        <f aca="false">CALCULATION!C33</f>
        <v/>
      </c>
      <c r="D6" s="60" t="str">
        <f aca="false">CALCULATION!D33</f>
        <v/>
      </c>
      <c r="E6" s="61" t="str">
        <f aca="false">CALCULATION!E33</f>
        <v/>
      </c>
      <c r="F6" s="62" t="str">
        <f aca="false">CALCULATION!F33</f>
        <v/>
      </c>
    </row>
    <row r="7" customFormat="false" ht="15" hidden="false" customHeight="true" outlineLevel="0" collapsed="false">
      <c r="A7" s="60" t="str">
        <f aca="false">CALCULATION!A34</f>
        <v/>
      </c>
      <c r="B7" s="60" t="str">
        <f aca="false">CALCULATION!B34</f>
        <v/>
      </c>
      <c r="C7" s="60" t="str">
        <f aca="false">CALCULATION!C34</f>
        <v/>
      </c>
      <c r="D7" s="60" t="str">
        <f aca="false">CALCULATION!D34</f>
        <v/>
      </c>
      <c r="E7" s="61" t="str">
        <f aca="false">CALCULATION!E34</f>
        <v/>
      </c>
      <c r="F7" s="62" t="str">
        <f aca="false">CALCULATION!F34</f>
        <v/>
      </c>
    </row>
    <row r="8" customFormat="false" ht="15" hidden="false" customHeight="true" outlineLevel="0" collapsed="false">
      <c r="A8" s="60" t="str">
        <f aca="false">CALCULATION!A35</f>
        <v/>
      </c>
      <c r="B8" s="60" t="str">
        <f aca="false">CALCULATION!B35</f>
        <v/>
      </c>
      <c r="C8" s="60" t="str">
        <f aca="false">CALCULATION!C35</f>
        <v/>
      </c>
      <c r="D8" s="60" t="str">
        <f aca="false">CALCULATION!D35</f>
        <v/>
      </c>
      <c r="E8" s="61" t="str">
        <f aca="false">CALCULATION!E35</f>
        <v/>
      </c>
      <c r="F8" s="62" t="str">
        <f aca="false">CALCULATION!F35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LibreOffice/25.8.3.2$Linux_X86_64 LibreOffice_project/580$Build-2</Application>
  <AppVersion>15.0000</AppVersion>
  <Company>SS&amp;C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2025-02-05T13:36:13Z</dcterms:created>
  <dc:creator>Rafay Ahmed</dc:creator>
  <dc:description/>
  <dc:language>en-US</dc:language>
  <cp:lastModifiedBy/>
  <dcterms:modified xsi:type="dcterms:W3CDTF">2025-11-19T04:04:18Z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