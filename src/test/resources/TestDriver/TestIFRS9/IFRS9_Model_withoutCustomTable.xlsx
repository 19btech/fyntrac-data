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IFRS9_Collateral\TestIFRS9\"/>
    </mc:Choice>
  </mc:AlternateContent>
  <xr:revisionPtr revIDLastSave="0" documentId="13_ncr:1_{92B64042-8271-465D-B5E9-EDDB6F829521}" xr6:coauthVersionLast="47" xr6:coauthVersionMax="47" xr10:uidLastSave="{00000000-0000-0000-0000-000000000000}"/>
  <bookViews>
    <workbookView xWindow="-120" yWindow="-120" windowWidth="29040" windowHeight="17520" activeTab="2" xr2:uid="{5E1CAB26-E67F-4F6B-9DAC-E456956C15F1}"/>
  </bookViews>
  <sheets>
    <sheet name="xxJOB" sheetId="8" r:id="rId1"/>
    <sheet name="LD" sheetId="5" r:id="rId2"/>
    <sheet name="xxRL" sheetId="11" r:id="rId3"/>
    <sheet name="xxCOL" sheetId="12" r:id="rId4"/>
    <sheet name="Calculation" sheetId="3" r:id="rId5"/>
    <sheet name="o_Transaction" sheetId="6" r:id="rId6"/>
    <sheet name="EXPECTED" sheetId="7" r:id="rId7"/>
    <sheet name="Sheet1" sheetId="10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A17" i="3"/>
  <c r="C13" i="3"/>
  <c r="C12" i="3"/>
  <c r="C11" i="3"/>
  <c r="C10" i="3"/>
  <c r="B1" i="3"/>
  <c r="K6" i="3" l="1"/>
  <c r="E95" i="3" s="1"/>
  <c r="J6" i="3"/>
  <c r="I6" i="3"/>
  <c r="H6" i="3"/>
  <c r="G6" i="3"/>
  <c r="F6" i="3"/>
  <c r="E6" i="3"/>
  <c r="B6" i="3"/>
  <c r="A6" i="3"/>
  <c r="D6" i="3"/>
  <c r="F27" i="3"/>
  <c r="M6" i="3"/>
  <c r="B30" i="3" s="1"/>
  <c r="A41" i="3"/>
  <c r="B41" i="3" s="1"/>
  <c r="K6" i="10"/>
  <c r="K7" i="10"/>
  <c r="I23" i="10"/>
  <c r="I22" i="10"/>
  <c r="I21" i="10"/>
  <c r="I20" i="10"/>
  <c r="H23" i="10"/>
  <c r="H22" i="10"/>
  <c r="H21" i="10"/>
  <c r="H20" i="10"/>
  <c r="G23" i="10"/>
  <c r="G22" i="10"/>
  <c r="G21" i="10"/>
  <c r="G20" i="10"/>
  <c r="F23" i="10"/>
  <c r="F22" i="10"/>
  <c r="F21" i="10"/>
  <c r="F20" i="10"/>
  <c r="E23" i="10"/>
  <c r="E22" i="10"/>
  <c r="E21" i="10"/>
  <c r="E20" i="10"/>
  <c r="C23" i="10"/>
  <c r="C22" i="10"/>
  <c r="C21" i="10"/>
  <c r="C20" i="10"/>
  <c r="B20" i="10"/>
  <c r="B21" i="10"/>
  <c r="B22" i="10"/>
  <c r="B23" i="10"/>
  <c r="A21" i="10"/>
  <c r="D21" i="10" s="1"/>
  <c r="B15" i="10"/>
  <c r="B16" i="10"/>
  <c r="B17" i="10" s="1"/>
  <c r="B18" i="10" s="1"/>
  <c r="L6" i="3"/>
  <c r="F26" i="3" l="1"/>
  <c r="E51" i="3"/>
  <c r="E83" i="3"/>
  <c r="E47" i="3"/>
  <c r="E59" i="3"/>
  <c r="E87" i="3"/>
  <c r="E98" i="3"/>
  <c r="F28" i="3"/>
  <c r="A42" i="3"/>
  <c r="A43" i="3" s="1"/>
  <c r="E52" i="3"/>
  <c r="E88" i="3"/>
  <c r="E58" i="3"/>
  <c r="E94" i="3"/>
  <c r="F21" i="3"/>
  <c r="F2" i="6" s="1"/>
  <c r="E63" i="3"/>
  <c r="E99" i="3"/>
  <c r="E64" i="3"/>
  <c r="E100" i="3"/>
  <c r="E70" i="3"/>
  <c r="E71" i="3"/>
  <c r="A21" i="3"/>
  <c r="B21" i="3" s="1"/>
  <c r="B2" i="6" s="1"/>
  <c r="E75" i="3"/>
  <c r="C21" i="3"/>
  <c r="E40" i="3"/>
  <c r="E76" i="3"/>
  <c r="D21" i="3"/>
  <c r="D2" i="6" s="1"/>
  <c r="E46" i="3"/>
  <c r="E82" i="3"/>
  <c r="E41" i="3"/>
  <c r="E53" i="3"/>
  <c r="E65" i="3"/>
  <c r="E77" i="3"/>
  <c r="E89" i="3"/>
  <c r="E101" i="3"/>
  <c r="E42" i="3"/>
  <c r="E54" i="3"/>
  <c r="E66" i="3"/>
  <c r="E78" i="3"/>
  <c r="E90" i="3"/>
  <c r="E102" i="3"/>
  <c r="E43" i="3"/>
  <c r="E55" i="3"/>
  <c r="E67" i="3"/>
  <c r="E79" i="3"/>
  <c r="E91" i="3"/>
  <c r="E44" i="3"/>
  <c r="E56" i="3"/>
  <c r="E68" i="3"/>
  <c r="E80" i="3"/>
  <c r="E92" i="3"/>
  <c r="E45" i="3"/>
  <c r="E57" i="3"/>
  <c r="E69" i="3"/>
  <c r="E81" i="3"/>
  <c r="E93" i="3"/>
  <c r="E48" i="3"/>
  <c r="E60" i="3"/>
  <c r="E72" i="3"/>
  <c r="E84" i="3"/>
  <c r="E96" i="3"/>
  <c r="E49" i="3"/>
  <c r="E61" i="3"/>
  <c r="E73" i="3"/>
  <c r="E85" i="3"/>
  <c r="E97" i="3"/>
  <c r="E50" i="3"/>
  <c r="E62" i="3"/>
  <c r="E74" i="3"/>
  <c r="E86" i="3"/>
  <c r="C41" i="3"/>
  <c r="A44" i="3"/>
  <c r="B43" i="3"/>
  <c r="B42" i="3"/>
  <c r="B40" i="3"/>
  <c r="C40" i="3" s="1"/>
  <c r="A22" i="10"/>
  <c r="D20" i="10"/>
  <c r="C6" i="3"/>
  <c r="C2" i="6"/>
  <c r="F29" i="3" l="1"/>
  <c r="B28" i="3" s="1"/>
  <c r="C43" i="3"/>
  <c r="C42" i="3"/>
  <c r="B44" i="3"/>
  <c r="A45" i="3"/>
  <c r="A23" i="10"/>
  <c r="A2" i="6"/>
  <c r="E35" i="3"/>
  <c r="G40" i="3" s="1"/>
  <c r="H40" i="3" s="1"/>
  <c r="A35" i="3"/>
  <c r="D41" i="3"/>
  <c r="F41" i="3" l="1"/>
  <c r="I41" i="3" s="1"/>
  <c r="F43" i="3"/>
  <c r="I43" i="3" s="1"/>
  <c r="G41" i="3"/>
  <c r="H41" i="3" s="1"/>
  <c r="F42" i="3"/>
  <c r="I42" i="3" s="1"/>
  <c r="F40" i="3"/>
  <c r="I40" i="3" s="1"/>
  <c r="D42" i="3"/>
  <c r="G42" i="3"/>
  <c r="H42" i="3" s="1"/>
  <c r="C44" i="3"/>
  <c r="F44" i="3"/>
  <c r="I44" i="3" s="1"/>
  <c r="D43" i="3"/>
  <c r="G43" i="3"/>
  <c r="D40" i="3"/>
  <c r="A46" i="3"/>
  <c r="B45" i="3"/>
  <c r="B35" i="3"/>
  <c r="C35" i="3" s="1"/>
  <c r="D35" i="3" s="1"/>
  <c r="K8" i="10"/>
  <c r="D22" i="10"/>
  <c r="D23" i="10"/>
  <c r="J42" i="3" l="1"/>
  <c r="K42" i="3" s="1"/>
  <c r="J41" i="3"/>
  <c r="K41" i="3" s="1"/>
  <c r="J40" i="3"/>
  <c r="K40" i="3" s="1"/>
  <c r="H43" i="3"/>
  <c r="J43" i="3" s="1"/>
  <c r="K43" i="3" s="1"/>
  <c r="C45" i="3"/>
  <c r="F45" i="3"/>
  <c r="I45" i="3" s="1"/>
  <c r="D44" i="3"/>
  <c r="G44" i="3"/>
  <c r="A47" i="3"/>
  <c r="B46" i="3"/>
  <c r="H44" i="3" l="1"/>
  <c r="J44" i="3" s="1"/>
  <c r="K44" i="3" s="1"/>
  <c r="C46" i="3"/>
  <c r="F46" i="3"/>
  <c r="I46" i="3" s="1"/>
  <c r="D45" i="3"/>
  <c r="G45" i="3"/>
  <c r="A48" i="3"/>
  <c r="B47" i="3"/>
  <c r="H45" i="3" l="1"/>
  <c r="J45" i="3" s="1"/>
  <c r="K45" i="3" s="1"/>
  <c r="D46" i="3"/>
  <c r="G46" i="3"/>
  <c r="H46" i="3" s="1"/>
  <c r="J46" i="3" s="1"/>
  <c r="C47" i="3"/>
  <c r="F47" i="3"/>
  <c r="I47" i="3" s="1"/>
  <c r="B48" i="3"/>
  <c r="A49" i="3"/>
  <c r="K46" i="3" l="1"/>
  <c r="C48" i="3"/>
  <c r="F48" i="3"/>
  <c r="I48" i="3" s="1"/>
  <c r="D47" i="3"/>
  <c r="G47" i="3"/>
  <c r="H47" i="3" s="1"/>
  <c r="J47" i="3" s="1"/>
  <c r="A50" i="3"/>
  <c r="B49" i="3"/>
  <c r="K47" i="3" l="1"/>
  <c r="C49" i="3"/>
  <c r="F49" i="3"/>
  <c r="I49" i="3" s="1"/>
  <c r="D48" i="3"/>
  <c r="G48" i="3"/>
  <c r="H48" i="3" s="1"/>
  <c r="J48" i="3" s="1"/>
  <c r="A51" i="3"/>
  <c r="B50" i="3"/>
  <c r="K48" i="3" l="1"/>
  <c r="C50" i="3"/>
  <c r="F50" i="3"/>
  <c r="I50" i="3" s="1"/>
  <c r="D49" i="3"/>
  <c r="G49" i="3"/>
  <c r="H49" i="3" s="1"/>
  <c r="J49" i="3" s="1"/>
  <c r="A52" i="3"/>
  <c r="B51" i="3"/>
  <c r="C51" i="3" l="1"/>
  <c r="F51" i="3"/>
  <c r="I51" i="3" s="1"/>
  <c r="K49" i="3"/>
  <c r="D50" i="3"/>
  <c r="G50" i="3"/>
  <c r="H50" i="3" s="1"/>
  <c r="J50" i="3" s="1"/>
  <c r="B52" i="3"/>
  <c r="A53" i="3"/>
  <c r="K50" i="3" l="1"/>
  <c r="C52" i="3"/>
  <c r="F52" i="3"/>
  <c r="I52" i="3" s="1"/>
  <c r="D51" i="3"/>
  <c r="G51" i="3"/>
  <c r="H51" i="3" s="1"/>
  <c r="J51" i="3" s="1"/>
  <c r="A54" i="3"/>
  <c r="B53" i="3"/>
  <c r="C53" i="3" l="1"/>
  <c r="F53" i="3"/>
  <c r="I53" i="3" s="1"/>
  <c r="K51" i="3"/>
  <c r="B26" i="3" s="1"/>
  <c r="B29" i="3" s="1"/>
  <c r="D52" i="3"/>
  <c r="G52" i="3"/>
  <c r="H52" i="3" s="1"/>
  <c r="J52" i="3" s="1"/>
  <c r="A55" i="3"/>
  <c r="B54" i="3"/>
  <c r="B31" i="3" l="1"/>
  <c r="E21" i="3" s="1"/>
  <c r="E2" i="6" s="1"/>
  <c r="K52" i="3"/>
  <c r="D53" i="3"/>
  <c r="G53" i="3"/>
  <c r="H53" i="3" s="1"/>
  <c r="J53" i="3" s="1"/>
  <c r="C54" i="3"/>
  <c r="F54" i="3"/>
  <c r="I54" i="3" s="1"/>
  <c r="A56" i="3"/>
  <c r="B55" i="3"/>
  <c r="K53" i="3" l="1"/>
  <c r="C55" i="3"/>
  <c r="F55" i="3"/>
  <c r="I55" i="3" s="1"/>
  <c r="D54" i="3"/>
  <c r="G54" i="3"/>
  <c r="B56" i="3"/>
  <c r="A57" i="3"/>
  <c r="H54" i="3" l="1"/>
  <c r="J54" i="3" s="1"/>
  <c r="K54" i="3" s="1"/>
  <c r="C56" i="3"/>
  <c r="F56" i="3"/>
  <c r="I56" i="3" s="1"/>
  <c r="D55" i="3"/>
  <c r="G55" i="3"/>
  <c r="B57" i="3"/>
  <c r="A58" i="3"/>
  <c r="H55" i="3" l="1"/>
  <c r="J55" i="3" s="1"/>
  <c r="K55" i="3" s="1"/>
  <c r="C57" i="3"/>
  <c r="F57" i="3"/>
  <c r="I57" i="3" s="1"/>
  <c r="D56" i="3"/>
  <c r="G56" i="3"/>
  <c r="H56" i="3" s="1"/>
  <c r="J56" i="3" s="1"/>
  <c r="A59" i="3"/>
  <c r="B58" i="3"/>
  <c r="K56" i="3" l="1"/>
  <c r="C58" i="3"/>
  <c r="F58" i="3"/>
  <c r="I58" i="3" s="1"/>
  <c r="D57" i="3"/>
  <c r="G57" i="3"/>
  <c r="A60" i="3"/>
  <c r="B59" i="3"/>
  <c r="H57" i="3" l="1"/>
  <c r="J57" i="3" s="1"/>
  <c r="K57" i="3" s="1"/>
  <c r="C59" i="3"/>
  <c r="F59" i="3"/>
  <c r="I59" i="3" s="1"/>
  <c r="D58" i="3"/>
  <c r="G58" i="3"/>
  <c r="H58" i="3" s="1"/>
  <c r="J58" i="3" s="1"/>
  <c r="B60" i="3"/>
  <c r="A61" i="3"/>
  <c r="K58" i="3" l="1"/>
  <c r="C60" i="3"/>
  <c r="F60" i="3"/>
  <c r="I60" i="3" s="1"/>
  <c r="D59" i="3"/>
  <c r="G59" i="3"/>
  <c r="B61" i="3"/>
  <c r="A62" i="3"/>
  <c r="H59" i="3" l="1"/>
  <c r="J59" i="3" s="1"/>
  <c r="K59" i="3" s="1"/>
  <c r="D60" i="3"/>
  <c r="G60" i="3"/>
  <c r="C61" i="3"/>
  <c r="F61" i="3"/>
  <c r="I61" i="3" s="1"/>
  <c r="A63" i="3"/>
  <c r="B62" i="3"/>
  <c r="H60" i="3" l="1"/>
  <c r="J60" i="3" s="1"/>
  <c r="K60" i="3" s="1"/>
  <c r="D61" i="3"/>
  <c r="G61" i="3"/>
  <c r="H61" i="3" s="1"/>
  <c r="J61" i="3" s="1"/>
  <c r="C62" i="3"/>
  <c r="F62" i="3"/>
  <c r="I62" i="3" s="1"/>
  <c r="A64" i="3"/>
  <c r="B63" i="3"/>
  <c r="C63" i="3" l="1"/>
  <c r="F63" i="3"/>
  <c r="I63" i="3" s="1"/>
  <c r="D62" i="3"/>
  <c r="G62" i="3"/>
  <c r="K61" i="3"/>
  <c r="B64" i="3"/>
  <c r="A65" i="3"/>
  <c r="H62" i="3" l="1"/>
  <c r="J62" i="3" s="1"/>
  <c r="K62" i="3" s="1"/>
  <c r="C64" i="3"/>
  <c r="F64" i="3"/>
  <c r="I64" i="3" s="1"/>
  <c r="D63" i="3"/>
  <c r="G63" i="3"/>
  <c r="H63" i="3" s="1"/>
  <c r="J63" i="3" s="1"/>
  <c r="A66" i="3"/>
  <c r="B65" i="3"/>
  <c r="K63" i="3" l="1"/>
  <c r="C65" i="3"/>
  <c r="F65" i="3"/>
  <c r="I65" i="3" s="1"/>
  <c r="D64" i="3"/>
  <c r="G64" i="3"/>
  <c r="A67" i="3"/>
  <c r="B66" i="3"/>
  <c r="H64" i="3" l="1"/>
  <c r="J64" i="3" s="1"/>
  <c r="K64" i="3" s="1"/>
  <c r="C66" i="3"/>
  <c r="F66" i="3"/>
  <c r="I66" i="3" s="1"/>
  <c r="D65" i="3"/>
  <c r="G65" i="3"/>
  <c r="A68" i="3"/>
  <c r="B67" i="3"/>
  <c r="H65" i="3" l="1"/>
  <c r="J65" i="3" s="1"/>
  <c r="K65" i="3" s="1"/>
  <c r="C67" i="3"/>
  <c r="F67" i="3"/>
  <c r="I67" i="3" s="1"/>
  <c r="D66" i="3"/>
  <c r="G66" i="3"/>
  <c r="B68" i="3"/>
  <c r="A69" i="3"/>
  <c r="H66" i="3" l="1"/>
  <c r="J66" i="3" s="1"/>
  <c r="K66" i="3" s="1"/>
  <c r="C68" i="3"/>
  <c r="F68" i="3"/>
  <c r="I68" i="3" s="1"/>
  <c r="D67" i="3"/>
  <c r="G67" i="3"/>
  <c r="B69" i="3"/>
  <c r="A70" i="3"/>
  <c r="H67" i="3" l="1"/>
  <c r="J67" i="3" s="1"/>
  <c r="K67" i="3" s="1"/>
  <c r="C69" i="3"/>
  <c r="F69" i="3"/>
  <c r="I69" i="3" s="1"/>
  <c r="G68" i="3"/>
  <c r="H68" i="3" s="1"/>
  <c r="J68" i="3" s="1"/>
  <c r="D68" i="3"/>
  <c r="A71" i="3"/>
  <c r="B70" i="3"/>
  <c r="C70" i="3" l="1"/>
  <c r="F70" i="3"/>
  <c r="I70" i="3" s="1"/>
  <c r="K68" i="3"/>
  <c r="G69" i="3"/>
  <c r="H69" i="3" s="1"/>
  <c r="J69" i="3" s="1"/>
  <c r="D69" i="3"/>
  <c r="A72" i="3"/>
  <c r="B71" i="3"/>
  <c r="C71" i="3" l="1"/>
  <c r="F71" i="3"/>
  <c r="I71" i="3" s="1"/>
  <c r="K69" i="3"/>
  <c r="G70" i="3"/>
  <c r="H70" i="3" s="1"/>
  <c r="J70" i="3" s="1"/>
  <c r="D70" i="3"/>
  <c r="B72" i="3"/>
  <c r="A73" i="3"/>
  <c r="K70" i="3" l="1"/>
  <c r="C72" i="3"/>
  <c r="F72" i="3"/>
  <c r="I72" i="3" s="1"/>
  <c r="D71" i="3"/>
  <c r="G71" i="3"/>
  <c r="H71" i="3" s="1"/>
  <c r="J71" i="3" s="1"/>
  <c r="A74" i="3"/>
  <c r="B73" i="3"/>
  <c r="K71" i="3" l="1"/>
  <c r="C73" i="3"/>
  <c r="F73" i="3"/>
  <c r="I73" i="3" s="1"/>
  <c r="D72" i="3"/>
  <c r="G72" i="3"/>
  <c r="H72" i="3" s="1"/>
  <c r="J72" i="3" s="1"/>
  <c r="A75" i="3"/>
  <c r="B74" i="3"/>
  <c r="K72" i="3" l="1"/>
  <c r="C74" i="3"/>
  <c r="F74" i="3"/>
  <c r="I74" i="3" s="1"/>
  <c r="D73" i="3"/>
  <c r="G73" i="3"/>
  <c r="A76" i="3"/>
  <c r="B75" i="3"/>
  <c r="H73" i="3" l="1"/>
  <c r="J73" i="3" s="1"/>
  <c r="K73" i="3" s="1"/>
  <c r="C75" i="3"/>
  <c r="F75" i="3"/>
  <c r="I75" i="3" s="1"/>
  <c r="D74" i="3"/>
  <c r="G74" i="3"/>
  <c r="H74" i="3" s="1"/>
  <c r="J74" i="3" s="1"/>
  <c r="B76" i="3"/>
  <c r="A77" i="3"/>
  <c r="K74" i="3" l="1"/>
  <c r="C76" i="3"/>
  <c r="F76" i="3"/>
  <c r="I76" i="3" s="1"/>
  <c r="D75" i="3"/>
  <c r="G75" i="3"/>
  <c r="H75" i="3" s="1"/>
  <c r="J75" i="3" s="1"/>
  <c r="B77" i="3"/>
  <c r="A78" i="3"/>
  <c r="K75" i="3" l="1"/>
  <c r="C77" i="3"/>
  <c r="F77" i="3"/>
  <c r="I77" i="3" s="1"/>
  <c r="D76" i="3"/>
  <c r="G76" i="3"/>
  <c r="H76" i="3" s="1"/>
  <c r="J76" i="3" s="1"/>
  <c r="A79" i="3"/>
  <c r="B78" i="3"/>
  <c r="C78" i="3" l="1"/>
  <c r="F78" i="3"/>
  <c r="I78" i="3" s="1"/>
  <c r="K76" i="3"/>
  <c r="D77" i="3"/>
  <c r="G77" i="3"/>
  <c r="A80" i="3"/>
  <c r="B79" i="3"/>
  <c r="H77" i="3" l="1"/>
  <c r="J77" i="3" s="1"/>
  <c r="K77" i="3" s="1"/>
  <c r="C79" i="3"/>
  <c r="F79" i="3"/>
  <c r="I79" i="3" s="1"/>
  <c r="D78" i="3"/>
  <c r="G78" i="3"/>
  <c r="H78" i="3" s="1"/>
  <c r="J78" i="3" s="1"/>
  <c r="B80" i="3"/>
  <c r="A81" i="3"/>
  <c r="K78" i="3" l="1"/>
  <c r="C80" i="3"/>
  <c r="F80" i="3"/>
  <c r="I80" i="3" s="1"/>
  <c r="D79" i="3"/>
  <c r="G79" i="3"/>
  <c r="H79" i="3" s="1"/>
  <c r="J79" i="3" s="1"/>
  <c r="A82" i="3"/>
  <c r="B81" i="3"/>
  <c r="K79" i="3" l="1"/>
  <c r="C81" i="3"/>
  <c r="F81" i="3"/>
  <c r="I81" i="3" s="1"/>
  <c r="D80" i="3"/>
  <c r="G80" i="3"/>
  <c r="A83" i="3"/>
  <c r="B82" i="3"/>
  <c r="H80" i="3" l="1"/>
  <c r="J80" i="3" s="1"/>
  <c r="K80" i="3" s="1"/>
  <c r="C82" i="3"/>
  <c r="F82" i="3"/>
  <c r="I82" i="3" s="1"/>
  <c r="D81" i="3"/>
  <c r="G81" i="3"/>
  <c r="H81" i="3" s="1"/>
  <c r="J81" i="3" s="1"/>
  <c r="A84" i="3"/>
  <c r="B83" i="3"/>
  <c r="K81" i="3" l="1"/>
  <c r="C83" i="3"/>
  <c r="F83" i="3"/>
  <c r="I83" i="3" s="1"/>
  <c r="D82" i="3"/>
  <c r="G82" i="3"/>
  <c r="H82" i="3" s="1"/>
  <c r="J82" i="3" s="1"/>
  <c r="B84" i="3"/>
  <c r="A85" i="3"/>
  <c r="C84" i="3" l="1"/>
  <c r="F84" i="3"/>
  <c r="I84" i="3" s="1"/>
  <c r="K82" i="3"/>
  <c r="D83" i="3"/>
  <c r="G83" i="3"/>
  <c r="A86" i="3"/>
  <c r="B85" i="3"/>
  <c r="H83" i="3" l="1"/>
  <c r="J83" i="3" s="1"/>
  <c r="K83" i="3" s="1"/>
  <c r="C85" i="3"/>
  <c r="F85" i="3"/>
  <c r="I85" i="3" s="1"/>
  <c r="D84" i="3"/>
  <c r="G84" i="3"/>
  <c r="A87" i="3"/>
  <c r="A88" i="3" s="1"/>
  <c r="B86" i="3"/>
  <c r="H84" i="3" l="1"/>
  <c r="J84" i="3" s="1"/>
  <c r="K84" i="3" s="1"/>
  <c r="B88" i="3"/>
  <c r="A89" i="3"/>
  <c r="C86" i="3"/>
  <c r="F86" i="3"/>
  <c r="I86" i="3" s="1"/>
  <c r="D85" i="3"/>
  <c r="G85" i="3"/>
  <c r="H85" i="3" s="1"/>
  <c r="J85" i="3" s="1"/>
  <c r="B87" i="3"/>
  <c r="K85" i="3" l="1"/>
  <c r="B89" i="3"/>
  <c r="A90" i="3"/>
  <c r="C88" i="3"/>
  <c r="F88" i="3"/>
  <c r="C87" i="3"/>
  <c r="F87" i="3"/>
  <c r="I87" i="3" s="1"/>
  <c r="D86" i="3"/>
  <c r="G86" i="3"/>
  <c r="H86" i="3" l="1"/>
  <c r="J86" i="3" s="1"/>
  <c r="K86" i="3" s="1"/>
  <c r="I88" i="3"/>
  <c r="G88" i="3"/>
  <c r="D88" i="3"/>
  <c r="B90" i="3"/>
  <c r="A91" i="3"/>
  <c r="C89" i="3"/>
  <c r="F89" i="3"/>
  <c r="I89" i="3" s="1"/>
  <c r="D87" i="3"/>
  <c r="G87" i="3"/>
  <c r="H87" i="3" s="1"/>
  <c r="J87" i="3" s="1"/>
  <c r="H88" i="3" l="1"/>
  <c r="J88" i="3" s="1"/>
  <c r="K88" i="3" s="1"/>
  <c r="D89" i="3"/>
  <c r="G89" i="3"/>
  <c r="C90" i="3"/>
  <c r="F90" i="3"/>
  <c r="B91" i="3"/>
  <c r="A92" i="3"/>
  <c r="K87" i="3"/>
  <c r="H89" i="3" l="1"/>
  <c r="J89" i="3" s="1"/>
  <c r="K89" i="3" s="1"/>
  <c r="B92" i="3"/>
  <c r="A93" i="3"/>
  <c r="I90" i="3"/>
  <c r="C91" i="3"/>
  <c r="F91" i="3"/>
  <c r="I91" i="3" s="1"/>
  <c r="G90" i="3"/>
  <c r="H90" i="3" s="1"/>
  <c r="D90" i="3"/>
  <c r="J90" i="3" l="1"/>
  <c r="K90" i="3" s="1"/>
  <c r="B93" i="3"/>
  <c r="A94" i="3"/>
  <c r="D91" i="3"/>
  <c r="G91" i="3"/>
  <c r="C92" i="3"/>
  <c r="F92" i="3"/>
  <c r="I92" i="3" s="1"/>
  <c r="H91" i="3" l="1"/>
  <c r="J91" i="3" s="1"/>
  <c r="K91" i="3" s="1"/>
  <c r="D92" i="3"/>
  <c r="G92" i="3"/>
  <c r="H92" i="3" s="1"/>
  <c r="J92" i="3" s="1"/>
  <c r="A95" i="3"/>
  <c r="B94" i="3"/>
  <c r="C93" i="3"/>
  <c r="F93" i="3"/>
  <c r="I93" i="3" s="1"/>
  <c r="D93" i="3" l="1"/>
  <c r="G93" i="3"/>
  <c r="H93" i="3" s="1"/>
  <c r="J93" i="3" s="1"/>
  <c r="C94" i="3"/>
  <c r="F94" i="3"/>
  <c r="I94" i="3" s="1"/>
  <c r="B95" i="3"/>
  <c r="A96" i="3"/>
  <c r="K92" i="3"/>
  <c r="K93" i="3" l="1"/>
  <c r="B96" i="3"/>
  <c r="A97" i="3"/>
  <c r="D94" i="3"/>
  <c r="G94" i="3"/>
  <c r="H94" i="3" s="1"/>
  <c r="J94" i="3" s="1"/>
  <c r="C95" i="3"/>
  <c r="F95" i="3"/>
  <c r="I95" i="3" s="1"/>
  <c r="A98" i="3" l="1"/>
  <c r="B97" i="3"/>
  <c r="C96" i="3"/>
  <c r="F96" i="3"/>
  <c r="I96" i="3" s="1"/>
  <c r="G95" i="3"/>
  <c r="H95" i="3" s="1"/>
  <c r="J95" i="3" s="1"/>
  <c r="D95" i="3"/>
  <c r="K94" i="3"/>
  <c r="K95" i="3" l="1"/>
  <c r="D96" i="3"/>
  <c r="G96" i="3"/>
  <c r="H96" i="3" s="1"/>
  <c r="J96" i="3" s="1"/>
  <c r="C97" i="3"/>
  <c r="F97" i="3"/>
  <c r="B98" i="3"/>
  <c r="A99" i="3"/>
  <c r="K96" i="3" l="1"/>
  <c r="C98" i="3"/>
  <c r="F98" i="3"/>
  <c r="I97" i="3"/>
  <c r="G97" i="3"/>
  <c r="H97" i="3" s="1"/>
  <c r="D97" i="3"/>
  <c r="B99" i="3"/>
  <c r="A100" i="3"/>
  <c r="J97" i="3" l="1"/>
  <c r="K97" i="3" s="1"/>
  <c r="I98" i="3"/>
  <c r="C99" i="3"/>
  <c r="F99" i="3"/>
  <c r="D98" i="3"/>
  <c r="G98" i="3"/>
  <c r="H98" i="3" s="1"/>
  <c r="B100" i="3"/>
  <c r="A101" i="3"/>
  <c r="J98" i="3" l="1"/>
  <c r="K98" i="3" s="1"/>
  <c r="I99" i="3"/>
  <c r="C100" i="3"/>
  <c r="F100" i="3"/>
  <c r="G99" i="3"/>
  <c r="H99" i="3" s="1"/>
  <c r="D99" i="3"/>
  <c r="B101" i="3"/>
  <c r="A102" i="3"/>
  <c r="B102" i="3" s="1"/>
  <c r="J99" i="3" l="1"/>
  <c r="K99" i="3" s="1"/>
  <c r="C101" i="3"/>
  <c r="F101" i="3"/>
  <c r="I101" i="3" s="1"/>
  <c r="I100" i="3"/>
  <c r="D100" i="3"/>
  <c r="G100" i="3"/>
  <c r="H100" i="3" s="1"/>
  <c r="C102" i="3"/>
  <c r="F102" i="3"/>
  <c r="J100" i="3" l="1"/>
  <c r="K100" i="3" s="1"/>
  <c r="G102" i="3"/>
  <c r="D102" i="3"/>
  <c r="G101" i="3"/>
  <c r="H101" i="3" s="1"/>
  <c r="J101" i="3" s="1"/>
  <c r="D101" i="3"/>
  <c r="I102" i="3"/>
  <c r="H102" i="3" l="1"/>
  <c r="J102" i="3" s="1"/>
  <c r="K102" i="3" s="1"/>
  <c r="K101" i="3"/>
  <c r="B27" i="3" l="1"/>
</calcChain>
</file>

<file path=xl/sharedStrings.xml><?xml version="1.0" encoding="utf-8"?>
<sst xmlns="http://schemas.openxmlformats.org/spreadsheetml/2006/main" count="260" uniqueCount="148">
  <si>
    <t>Name</t>
  </si>
  <si>
    <t>Annual PD</t>
  </si>
  <si>
    <t>Risk Level 1</t>
  </si>
  <si>
    <t>Low</t>
  </si>
  <si>
    <t>Risk Level 2</t>
  </si>
  <si>
    <t>Medium</t>
  </si>
  <si>
    <t>Risk Level 3</t>
  </si>
  <si>
    <t>High</t>
  </si>
  <si>
    <t>Risk Level 4</t>
  </si>
  <si>
    <t>Default</t>
  </si>
  <si>
    <t>Loan ID</t>
  </si>
  <si>
    <t>Borrower</t>
  </si>
  <si>
    <t>Contract Rate</t>
  </si>
  <si>
    <t>Origination Date</t>
  </si>
  <si>
    <t>Maturity Date</t>
  </si>
  <si>
    <t>Risk Level at Origination</t>
  </si>
  <si>
    <t>Latest Risk Level</t>
  </si>
  <si>
    <t>Days Past Due</t>
  </si>
  <si>
    <t>Days to Maturity</t>
  </si>
  <si>
    <t>Months to Maturity</t>
  </si>
  <si>
    <t>Years to Maturity</t>
  </si>
  <si>
    <t>Avg Discount Factor for Stage 2</t>
  </si>
  <si>
    <t>Risk Level Number at Origination</t>
  </si>
  <si>
    <t>Current Risk Level Number</t>
  </si>
  <si>
    <t>Risk Level Movement</t>
  </si>
  <si>
    <t>Expected Collateral Recovery</t>
  </si>
  <si>
    <t>IFRS 9 Stage</t>
  </si>
  <si>
    <t>PD for Period</t>
  </si>
  <si>
    <t>Loss Given Default</t>
  </si>
  <si>
    <t>Expected Credit Loss (ECL)</t>
  </si>
  <si>
    <t>Alpha Ltd.</t>
  </si>
  <si>
    <t>Beta Corp</t>
  </si>
  <si>
    <t>Gamma Ltd</t>
  </si>
  <si>
    <t>Delta PLC</t>
  </si>
  <si>
    <t>Epsilon Ltd</t>
  </si>
  <si>
    <t>Zeta Corp</t>
  </si>
  <si>
    <t>Eta Ltd</t>
  </si>
  <si>
    <t>L001</t>
  </si>
  <si>
    <t>L002</t>
  </si>
  <si>
    <t>L003</t>
  </si>
  <si>
    <t>L004</t>
  </si>
  <si>
    <t>L005</t>
  </si>
  <si>
    <t>L006</t>
  </si>
  <si>
    <t>L007</t>
  </si>
  <si>
    <t>Original Loan Amount</t>
  </si>
  <si>
    <t>Current Loan Balance</t>
  </si>
  <si>
    <t>Collateral Value</t>
  </si>
  <si>
    <t>EstimationDate</t>
  </si>
  <si>
    <t>ExtimationDate</t>
  </si>
  <si>
    <t>ATTRIBUTE_BORROWER_CURRENT</t>
  </si>
  <si>
    <t>ATTRIBUTE_CONTRACT_RATE_CURRENT</t>
  </si>
  <si>
    <t>ATTRIBUTE_ORIGINATION_DATE_CURRENT</t>
  </si>
  <si>
    <t>ATTRIBUTE_MATURITY_DATE_CURRENT</t>
  </si>
  <si>
    <t>ATTRIBUTE_RISK_LEVEL_AT_ORIGINATION_CURRENT</t>
  </si>
  <si>
    <t>ATTRIBUTE_LATEST_RISK_LEVEL_CURRENT</t>
  </si>
  <si>
    <t>ATTRIBUTE_ORIGINAL_LOAN_AMOUNT_CURRENT</t>
  </si>
  <si>
    <t>ATTRIBUTE_CURRENT_LOAN_BALANCE_CURRENT</t>
  </si>
  <si>
    <t>ATTRIBUTE_COLLATERAL_VALUE_CURRENT</t>
  </si>
  <si>
    <t>ATTRIBUTE_DAYS_PAST_DUE_CURRENT</t>
  </si>
  <si>
    <t>PostingDate</t>
  </si>
  <si>
    <t>EffectiveDate</t>
  </si>
  <si>
    <t>InstrumentId</t>
  </si>
  <si>
    <t>AttributeId</t>
  </si>
  <si>
    <t>TransactionDate</t>
  </si>
  <si>
    <t>Transactiontype</t>
  </si>
  <si>
    <t>Amount</t>
  </si>
  <si>
    <t>Attributeid</t>
  </si>
  <si>
    <t>TransactionName</t>
  </si>
  <si>
    <t>CollateralHaircut</t>
  </si>
  <si>
    <t>CollateralRecoveryFees</t>
  </si>
  <si>
    <t>RiskLevel</t>
  </si>
  <si>
    <t>AnnualPD</t>
  </si>
  <si>
    <t>Stage 1</t>
  </si>
  <si>
    <t>Stage 2</t>
  </si>
  <si>
    <t>Stage 3</t>
  </si>
  <si>
    <t>ExecutionDate</t>
  </si>
  <si>
    <t>Explanation</t>
  </si>
  <si>
    <t>Loss Given Default (LGD)</t>
  </si>
  <si>
    <t>Label</t>
  </si>
  <si>
    <t>Value / Example</t>
  </si>
  <si>
    <t>Notes</t>
  </si>
  <si>
    <t>Unique loan identifier</t>
  </si>
  <si>
    <t>Format as Date</t>
  </si>
  <si>
    <t>Reporting Date</t>
  </si>
  <si>
    <t>Calculation “as of” date</t>
  </si>
  <si>
    <t>Contract Rate (EIR)</t>
  </si>
  <si>
    <t>Effective Interest Rate (8%)</t>
  </si>
  <si>
    <t>Exposure at Reporting Date</t>
  </si>
  <si>
    <t>Market value of collateral</t>
  </si>
  <si>
    <t>Collateral Haircut</t>
  </si>
  <si>
    <t>30% haircut</t>
  </si>
  <si>
    <t>Collateral Recovery Fees</t>
  </si>
  <si>
    <t>5% recovery cost</t>
  </si>
  <si>
    <t>Days loan is overdue</t>
  </si>
  <si>
    <t>Text (Low, Medium, High)</t>
  </si>
  <si>
    <t>Current Risk Level</t>
  </si>
  <si>
    <t>Annual PD (Current Risk)</t>
  </si>
  <si>
    <t>Lookup PD based on current risk rating</t>
  </si>
  <si>
    <t>Calculate Risk Movement &amp; Stage</t>
  </si>
  <si>
    <t>Risk Level Number (Origination)</t>
  </si>
  <si>
    <t>Numeric risk level at origination</t>
  </si>
  <si>
    <t>Risk Level Number (Current)</t>
  </si>
  <si>
    <t>Numeric risk level currently</t>
  </si>
  <si>
    <t>Risk Movement</t>
  </si>
  <si>
    <t>Change in risk level number</t>
  </si>
  <si>
    <t>Stage based on days past due and risk movement</t>
  </si>
  <si>
    <t>Month Number</t>
  </si>
  <si>
    <t>Period End Date</t>
  </si>
  <si>
    <t>Calculate Exposure at Default (EAD)</t>
  </si>
  <si>
    <t>Calculate Periodic Probability of Default (PD)</t>
  </si>
  <si>
    <t>Calculate Loss Given Default (LGD)</t>
  </si>
  <si>
    <t>Calculate Discount Factor</t>
  </si>
  <si>
    <t>Expected Loss (EL)</t>
  </si>
  <si>
    <t>Discounted Expected Loss</t>
  </si>
  <si>
    <t>Formula</t>
  </si>
  <si>
    <t>Total ECL Stage 1</t>
  </si>
  <si>
    <t>Use 12-month PD only (assuming period 1 is 12 months; adjust if monthly)</t>
  </si>
  <si>
    <t>Total ECL Stage 2 &amp; 3</t>
  </si>
  <si>
    <t>Sum discounted losses over all periods (2 years here)</t>
  </si>
  <si>
    <t>Final ECL</t>
  </si>
  <si>
    <t>Choose based on IFRS 9 Stage</t>
  </si>
  <si>
    <t>Create Time Buckets Table (Monthly Periods)</t>
  </si>
  <si>
    <t>Loan Detail</t>
  </si>
  <si>
    <t>Risk Level</t>
  </si>
  <si>
    <t>Level</t>
  </si>
  <si>
    <t>Collateral Recovery</t>
  </si>
  <si>
    <t>Transactions</t>
  </si>
  <si>
    <t>Discount Factor</t>
  </si>
  <si>
    <t>Exposure at Default (EAD)</t>
  </si>
  <si>
    <t>Periodic Probability of Default (PD)</t>
  </si>
  <si>
    <t>ECL Balance</t>
  </si>
  <si>
    <t>Stage</t>
  </si>
  <si>
    <t>Expected Credit Loss Calculation ( All Stages)</t>
  </si>
  <si>
    <t>Stage Wise ECL</t>
  </si>
  <si>
    <t>Prior ECL</t>
  </si>
  <si>
    <t>Prior Period ECL</t>
  </si>
  <si>
    <t>Increase or Decrease on Re-estimation</t>
  </si>
  <si>
    <t>BALANCES_ENDINGBALANCE_ECL</t>
  </si>
  <si>
    <t>Total ECL Stage 2</t>
  </si>
  <si>
    <t>Total ECL Stage 3</t>
  </si>
  <si>
    <t>Cummulative PD</t>
  </si>
  <si>
    <t>Years to Period</t>
  </si>
  <si>
    <t>Shortfall</t>
  </si>
  <si>
    <t>Years To Recovery</t>
  </si>
  <si>
    <t>ECL Stage 3 (Discounted Shortfall)</t>
  </si>
  <si>
    <t>Stage 3 Calculation - cash-shortfall method (collateral only</t>
  </si>
  <si>
    <t>Sum discounted losses over all periods</t>
  </si>
  <si>
    <t>Cash-shortfall method (collateral only), discounted to reporting date using EIR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</si>
</sst>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&quot;$&quot;#,##0.0000_);[Red]\(&quot;$&quot;#,##0.0000\)"/>
    <numFmt numFmtId="167" formatCode="0.000000"/>
    <numFmt numFmtId="168" formatCode="0.000000000"/>
    <numFmt numFmtId="169" formatCode="0.000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0" fontId="0" fillId="3" borderId="1" xfId="0" applyNumberFormat="1" applyFill="1" applyBorder="1"/>
    <xf numFmtId="1" fontId="0" fillId="0" borderId="1" xfId="0" applyNumberFormat="1" applyBorder="1"/>
    <xf numFmtId="0" fontId="0" fillId="0" borderId="1" xfId="0" applyBorder="1"/>
    <xf numFmtId="164" fontId="0" fillId="4" borderId="1" xfId="0" applyNumberFormat="1" applyFill="1" applyBorder="1"/>
    <xf numFmtId="40" fontId="0" fillId="0" borderId="1" xfId="0" applyNumberFormat="1" applyBorder="1"/>
    <xf numFmtId="10" fontId="0" fillId="0" borderId="1" xfId="0" applyNumberFormat="1" applyBorder="1"/>
    <xf numFmtId="0" fontId="1" fillId="0" borderId="0" xfId="0" applyFont="1"/>
    <xf numFmtId="0" fontId="1" fillId="0" borderId="0" xfId="0" applyFont="1" applyAlignment="1">
      <alignment vertical="center"/>
    </xf>
    <xf numFmtId="0" fontId="1" fillId="5" borderId="0" xfId="0" applyFont="1" applyFill="1"/>
    <xf numFmtId="2" fontId="0" fillId="0" borderId="0" xfId="0" applyNumberFormat="1" applyAlignment="1">
      <alignment vertical="center"/>
    </xf>
    <xf numFmtId="2" fontId="0" fillId="0" borderId="0" xfId="0" applyNumberFormat="1"/>
    <xf numFmtId="165" fontId="0" fillId="0" borderId="0" xfId="0" applyNumberFormat="1" applyAlignment="1">
      <alignment vertical="center"/>
    </xf>
    <xf numFmtId="0" fontId="3" fillId="2" borderId="2" xfId="1" applyFont="1" applyFill="1" applyBorder="1"/>
    <xf numFmtId="14" fontId="0" fillId="0" borderId="1" xfId="0" applyNumberFormat="1" applyBorder="1"/>
    <xf numFmtId="166" fontId="0" fillId="0" borderId="1" xfId="0" applyNumberFormat="1" applyBorder="1"/>
    <xf numFmtId="0" fontId="3" fillId="2" borderId="1" xfId="1" applyFont="1" applyFill="1" applyBorder="1"/>
    <xf numFmtId="1" fontId="0" fillId="0" borderId="0" xfId="0" applyNumberFormat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/>
    </xf>
    <xf numFmtId="15" fontId="0" fillId="3" borderId="0" xfId="0" applyNumberFormat="1" applyFill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/>
    </xf>
    <xf numFmtId="167" fontId="0" fillId="0" borderId="0" xfId="0" applyNumberFormat="1"/>
    <xf numFmtId="168" fontId="0" fillId="0" borderId="0" xfId="0" applyNumberFormat="1"/>
    <xf numFmtId="167" fontId="0" fillId="0" borderId="1" xfId="0" applyNumberFormat="1" applyBorder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NumberFormat="1"/>
    <xf numFmtId="169" fontId="0" fillId="0" borderId="1" xfId="0" applyNumberFormat="1" applyBorder="1"/>
    <xf numFmtId="14" fontId="0" fillId="3" borderId="1" xfId="0" applyNumberFormat="1" applyFill="1" applyBorder="1" applyAlignment="1">
      <alignment vertical="center" wrapText="1"/>
    </xf>
    <xf numFmtId="2" fontId="0" fillId="3" borderId="1" xfId="0" applyNumberFormat="1" applyFill="1" applyBorder="1"/>
    <xf numFmtId="0" fontId="0" fillId="5" borderId="1" xfId="0" applyFill="1" applyBorder="1"/>
    <xf numFmtId="0" fontId="0" fillId="5" borderId="0" xfId="0" applyFill="1"/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A3493F2B-8C2C-4DE8-A97B-F9E50647B3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7E62-2A73-4886-A0BD-3CF05777133D}">
  <sheetPr>
    <tabColor rgb="FFFFFF00"/>
  </sheetPr>
  <dimension ref="A1:A2"/>
  <sheetViews>
    <sheetView workbookViewId="0">
      <selection activeCell="A2" sqref="A2"/>
    </sheetView>
  </sheetViews>
  <sheetFormatPr defaultRowHeight="15"/>
  <cols>
    <col min="1" max="1" width="9.7109375" bestFit="1" customWidth="1"/>
  </cols>
  <sheetData>
    <row r="1" spans="1:1">
      <c r="A1" s="13" t="s">
        <v>75</v>
      </c>
    </row>
    <row r="2" spans="1:1">
      <c r="A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5953-BE02-4A30-A25D-7A20FCF08D71}">
  <sheetPr>
    <tabColor rgb="FFFFFF00"/>
  </sheetPr>
  <dimension ref="A1:O2"/>
  <sheetViews>
    <sheetView workbookViewId="0">
      <selection activeCell="C25" sqref="C25"/>
    </sheetView>
  </sheetViews>
  <sheetFormatPr defaultRowHeight="1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2" bestFit="1" customWidth="1"/>
    <col min="6" max="6" width="36.7109375" bestFit="1" customWidth="1"/>
    <col min="7" max="7" width="39.7109375" bestFit="1" customWidth="1"/>
    <col min="8" max="8" width="36.7109375" bestFit="1" customWidth="1"/>
    <col min="9" max="9" width="48.5703125" bestFit="1" customWidth="1"/>
    <col min="10" max="10" width="38.85546875" bestFit="1" customWidth="1"/>
    <col min="11" max="11" width="46.28515625" bestFit="1" customWidth="1"/>
    <col min="12" max="12" width="45.42578125" bestFit="1" customWidth="1"/>
    <col min="13" max="13" width="39.5703125" bestFit="1" customWidth="1"/>
    <col min="14" max="14" width="36.5703125" bestFit="1" customWidth="1"/>
    <col min="15" max="15" width="31.140625" bestFit="1" customWidth="1"/>
  </cols>
  <sheetData>
    <row r="1" spans="1:15">
      <c r="A1" s="15" t="s">
        <v>59</v>
      </c>
      <c r="B1" s="15" t="s">
        <v>60</v>
      </c>
      <c r="C1" s="15" t="s">
        <v>61</v>
      </c>
      <c r="D1" s="15" t="s">
        <v>62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137</v>
      </c>
    </row>
    <row r="2" spans="1:15">
      <c r="A2" s="3"/>
      <c r="B2" s="3"/>
      <c r="C2" s="3"/>
      <c r="E2" s="9"/>
      <c r="F2" s="9"/>
      <c r="G2" s="20"/>
      <c r="H2" s="20"/>
      <c r="I2" s="9"/>
      <c r="J2" s="9"/>
      <c r="K2" s="9"/>
      <c r="L2" s="9"/>
      <c r="M2" s="9"/>
      <c r="N2" s="9"/>
      <c r="O2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1646-DE74-4EA3-8939-59F6F4DA5B04}">
  <sheetPr>
    <tabColor rgb="FFFFFF00"/>
  </sheetPr>
  <dimension ref="A1:C5"/>
  <sheetViews>
    <sheetView tabSelected="1" workbookViewId="0">
      <selection activeCell="B1" sqref="B1"/>
    </sheetView>
  </sheetViews>
  <sheetFormatPr defaultRowHeight="15"/>
  <cols>
    <col min="1" max="1" width="52.85546875" customWidth="1"/>
    <col min="2" max="2" width="34.140625" customWidth="1"/>
    <col min="6" max="6" width="9.7109375" bestFit="1" customWidth="1"/>
  </cols>
  <sheetData>
    <row r="1" spans="1:3">
      <c r="A1" s="2" t="s">
        <v>70</v>
      </c>
      <c r="B1" s="2" t="s">
        <v>0</v>
      </c>
      <c r="C1" s="2" t="s">
        <v>71</v>
      </c>
    </row>
    <row r="2" spans="1:3">
      <c r="A2" s="1" t="s">
        <v>2</v>
      </c>
      <c r="B2" s="1" t="s">
        <v>3</v>
      </c>
      <c r="C2" s="18">
        <v>5.0000000000000001E-3</v>
      </c>
    </row>
    <row r="3" spans="1:3">
      <c r="A3" s="1" t="s">
        <v>4</v>
      </c>
      <c r="B3" s="1" t="s">
        <v>5</v>
      </c>
      <c r="C3" s="18">
        <v>0.03</v>
      </c>
    </row>
    <row r="4" spans="1:3">
      <c r="A4" s="1" t="s">
        <v>6</v>
      </c>
      <c r="B4" s="1" t="s">
        <v>7</v>
      </c>
      <c r="C4" s="18">
        <v>0.1</v>
      </c>
    </row>
    <row r="5" spans="1:3">
      <c r="A5" s="1" t="s">
        <v>8</v>
      </c>
      <c r="B5" s="1" t="s">
        <v>9</v>
      </c>
      <c r="C5" s="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95FE-FB88-4231-92F0-5EC9BE2A033C}">
  <sheetPr>
    <tabColor rgb="FFFFFF00"/>
  </sheetPr>
  <dimension ref="A1:F3"/>
  <sheetViews>
    <sheetView workbookViewId="0">
      <selection activeCell="B1" sqref="B1"/>
    </sheetView>
  </sheetViews>
  <sheetFormatPr defaultRowHeight="15"/>
  <cols>
    <col min="1" max="1" width="14.7109375" bestFit="1" customWidth="1"/>
    <col min="2" max="2" width="16.42578125" bestFit="1" customWidth="1"/>
    <col min="3" max="3" width="23.140625" bestFit="1" customWidth="1"/>
  </cols>
  <sheetData>
    <row r="1" spans="1:6">
      <c r="A1" s="14" t="s">
        <v>68</v>
      </c>
      <c r="B1" s="14" t="s">
        <v>69</v>
      </c>
      <c r="F1" s="2"/>
    </row>
    <row r="2" spans="1:6">
      <c r="A2" s="16">
        <v>0.3</v>
      </c>
      <c r="B2" s="16">
        <v>0.05</v>
      </c>
    </row>
    <row r="3" spans="1:6">
      <c r="B3" s="17"/>
      <c r="C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0C9C-84AE-4A88-996A-98C6D8AA4B4A}">
  <sheetPr>
    <tabColor rgb="FFFFC000"/>
  </sheetPr>
  <dimension ref="A1:M102"/>
  <sheetViews>
    <sheetView workbookViewId="0">
      <selection activeCell="B29" sqref="B29"/>
    </sheetView>
  </sheetViews>
  <sheetFormatPr defaultRowHeight="15"/>
  <cols>
    <col min="1" max="1" width="19.140625" bestFit="1" customWidth="1"/>
    <col min="2" max="2" width="28.7109375" customWidth="1"/>
    <col min="3" max="3" width="67.7109375" bestFit="1" customWidth="1"/>
    <col min="4" max="4" width="28.7109375" customWidth="1"/>
    <col min="5" max="5" width="40.42578125" customWidth="1"/>
    <col min="6" max="6" width="24.140625" bestFit="1" customWidth="1"/>
    <col min="7" max="7" width="32.7109375" bestFit="1" customWidth="1"/>
    <col min="8" max="8" width="23.28515625" bestFit="1" customWidth="1"/>
    <col min="9" max="9" width="24.42578125" bestFit="1" customWidth="1"/>
    <col min="10" max="10" width="24.140625" bestFit="1" customWidth="1"/>
    <col min="11" max="11" width="21.28515625" customWidth="1"/>
    <col min="12" max="12" width="17.7109375" bestFit="1" customWidth="1"/>
    <col min="13" max="13" width="24.42578125" bestFit="1" customWidth="1"/>
    <col min="14" max="14" width="16.42578125" bestFit="1" customWidth="1"/>
    <col min="15" max="15" width="28.5703125" bestFit="1" customWidth="1"/>
    <col min="16" max="16" width="30.7109375" bestFit="1" customWidth="1"/>
    <col min="17" max="17" width="25" bestFit="1" customWidth="1"/>
    <col min="18" max="18" width="20.28515625" bestFit="1" customWidth="1"/>
    <col min="19" max="19" width="27.28515625" bestFit="1" customWidth="1"/>
    <col min="20" max="20" width="11.42578125" bestFit="1" customWidth="1"/>
    <col min="21" max="21" width="10.140625" bestFit="1" customWidth="1"/>
    <col min="22" max="22" width="12.7109375" bestFit="1" customWidth="1"/>
    <col min="23" max="23" width="17.7109375" bestFit="1" customWidth="1"/>
    <col min="24" max="24" width="24.42578125" bestFit="1" customWidth="1"/>
  </cols>
  <sheetData>
    <row r="1" spans="1:13">
      <c r="A1" s="13" t="s">
        <v>47</v>
      </c>
      <c r="B1" s="3">
        <f>LD!A2</f>
        <v>0</v>
      </c>
    </row>
    <row r="3" spans="1:13">
      <c r="A3" s="13" t="s">
        <v>122</v>
      </c>
    </row>
    <row r="4" spans="1:13">
      <c r="A4" s="13"/>
    </row>
    <row r="5" spans="1:13">
      <c r="A5" s="4" t="s">
        <v>10</v>
      </c>
      <c r="B5" s="4" t="s">
        <v>66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44</v>
      </c>
      <c r="J5" s="4" t="s">
        <v>45</v>
      </c>
      <c r="K5" s="4" t="s">
        <v>46</v>
      </c>
      <c r="L5" s="4" t="s">
        <v>17</v>
      </c>
      <c r="M5" s="4" t="s">
        <v>130</v>
      </c>
    </row>
    <row r="6" spans="1:13">
      <c r="A6" s="42">
        <f>LD!C2</f>
        <v>0</v>
      </c>
      <c r="B6" s="5">
        <f>LD!D2</f>
        <v>0</v>
      </c>
      <c r="C6" s="5">
        <f>LD!E2</f>
        <v>0</v>
      </c>
      <c r="D6" s="5">
        <f>LD!F2</f>
        <v>0</v>
      </c>
      <c r="E6" s="6">
        <f>LD!G2</f>
        <v>0</v>
      </c>
      <c r="F6" s="6">
        <f>LD!H2</f>
        <v>0</v>
      </c>
      <c r="G6" s="5">
        <f>LD!I2</f>
        <v>0</v>
      </c>
      <c r="H6" s="5">
        <f>LD!J2</f>
        <v>0</v>
      </c>
      <c r="I6" s="7">
        <f>LD!K2</f>
        <v>0</v>
      </c>
      <c r="J6" s="7">
        <f>LD!L2</f>
        <v>0</v>
      </c>
      <c r="K6" s="7">
        <f>LD!M2</f>
        <v>0</v>
      </c>
      <c r="L6" s="7">
        <f>LD!N2</f>
        <v>0</v>
      </c>
      <c r="M6" s="7">
        <f>LD!O2</f>
        <v>0</v>
      </c>
    </row>
    <row r="8" spans="1:13">
      <c r="A8" s="13" t="s">
        <v>123</v>
      </c>
    </row>
    <row r="9" spans="1:13">
      <c r="A9" s="4" t="s">
        <v>124</v>
      </c>
      <c r="B9" s="4" t="s">
        <v>0</v>
      </c>
      <c r="C9" s="4" t="s">
        <v>71</v>
      </c>
    </row>
    <row r="10" spans="1:13">
      <c r="A10" s="5" t="s">
        <v>2</v>
      </c>
      <c r="B10" s="5" t="s">
        <v>3</v>
      </c>
      <c r="C10" s="5">
        <f>VLOOKUP(B10,xxRL!$B$2:$C$5,2,FALSE)</f>
        <v>5.0000000000000001E-3</v>
      </c>
    </row>
    <row r="11" spans="1:13">
      <c r="A11" s="5" t="s">
        <v>4</v>
      </c>
      <c r="B11" s="5" t="s">
        <v>5</v>
      </c>
      <c r="C11" s="5">
        <f>VLOOKUP(B11,xxRL!$B$2:$C$5,2,FALSE)</f>
        <v>0.03</v>
      </c>
    </row>
    <row r="12" spans="1:13">
      <c r="A12" s="5" t="s">
        <v>6</v>
      </c>
      <c r="B12" s="5" t="s">
        <v>7</v>
      </c>
      <c r="C12" s="5">
        <f>VLOOKUP(B12,xxRL!$B$2:$C$5,2,FALSE)</f>
        <v>0.1</v>
      </c>
    </row>
    <row r="13" spans="1:13">
      <c r="A13" s="5" t="s">
        <v>8</v>
      </c>
      <c r="B13" s="5" t="s">
        <v>9</v>
      </c>
      <c r="C13" s="5">
        <f>VLOOKUP(B13,xxRL!$B$2:$C$5,2,FALSE)</f>
        <v>1</v>
      </c>
    </row>
    <row r="15" spans="1:13">
      <c r="A15" s="14" t="s">
        <v>125</v>
      </c>
    </row>
    <row r="16" spans="1:13">
      <c r="A16" s="4" t="s">
        <v>68</v>
      </c>
      <c r="B16" s="4" t="s">
        <v>69</v>
      </c>
    </row>
    <row r="17" spans="1:13">
      <c r="A17" s="43">
        <f>xxCOL!A2</f>
        <v>0.3</v>
      </c>
      <c r="B17" s="43">
        <f>xxCOL!B2</f>
        <v>0.05</v>
      </c>
    </row>
    <row r="18" spans="1:13" ht="15.75" thickBot="1"/>
    <row r="19" spans="1:13" ht="15.75" thickBot="1">
      <c r="A19" s="46" t="s">
        <v>126</v>
      </c>
      <c r="B19" s="47"/>
      <c r="C19" s="47"/>
      <c r="D19" s="47"/>
      <c r="E19" s="47"/>
      <c r="F19" s="48"/>
    </row>
    <row r="20" spans="1:13">
      <c r="A20" s="19" t="s">
        <v>59</v>
      </c>
      <c r="B20" s="19" t="s">
        <v>63</v>
      </c>
      <c r="C20" s="19" t="s">
        <v>61</v>
      </c>
      <c r="D20" s="19" t="s">
        <v>64</v>
      </c>
      <c r="E20" s="19" t="s">
        <v>65</v>
      </c>
      <c r="F20" s="19" t="s">
        <v>62</v>
      </c>
    </row>
    <row r="21" spans="1:13">
      <c r="A21" s="20" t="str">
        <f>IF(A6=0,"",B1)</f>
        <v/>
      </c>
      <c r="B21" s="20" t="str">
        <f>A21</f>
        <v/>
      </c>
      <c r="C21" s="8" t="str">
        <f>IF(A6=0,"",A6)</f>
        <v/>
      </c>
      <c r="D21" s="9" t="str">
        <f>IF(A6=0,"","EXPECTED_CREDIT_LOSS")</f>
        <v/>
      </c>
      <c r="E21" s="21" t="str">
        <f>IF(A6=0,"",B31)</f>
        <v/>
      </c>
      <c r="F21" s="8" t="str">
        <f>IF(A6=0,"",B6)</f>
        <v/>
      </c>
    </row>
    <row r="22" spans="1:13" ht="15.75" thickBot="1"/>
    <row r="23" spans="1:13" ht="19.5" thickBot="1">
      <c r="A23" s="49" t="s">
        <v>132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1"/>
    </row>
    <row r="25" spans="1:13">
      <c r="A25" s="22" t="s">
        <v>131</v>
      </c>
      <c r="B25" s="22" t="s">
        <v>114</v>
      </c>
      <c r="C25" s="22" t="s">
        <v>76</v>
      </c>
      <c r="E25" s="52" t="s">
        <v>145</v>
      </c>
      <c r="F25" s="52"/>
      <c r="G25" s="52"/>
    </row>
    <row r="26" spans="1:13">
      <c r="A26" s="37" t="s">
        <v>115</v>
      </c>
      <c r="B26" s="38">
        <f>SUM(K40:K51)</f>
        <v>0</v>
      </c>
      <c r="C26" s="37" t="s">
        <v>116</v>
      </c>
      <c r="E26" s="9" t="s">
        <v>142</v>
      </c>
      <c r="F26" s="9">
        <f>J6-IFERROR($K$6*(1-$A$17-$B$17),0)</f>
        <v>0</v>
      </c>
      <c r="G26" s="9"/>
    </row>
    <row r="27" spans="1:13">
      <c r="A27" s="37" t="s">
        <v>138</v>
      </c>
      <c r="B27" s="38">
        <f>ROUND(SUM(K40:K102),4)</f>
        <v>0</v>
      </c>
      <c r="C27" s="37" t="s">
        <v>146</v>
      </c>
      <c r="E27" s="9" t="s">
        <v>143</v>
      </c>
      <c r="F27" s="9">
        <f>ROUND(IF((F6-B1)&lt;0,0,F6-B1)/365,6)</f>
        <v>0</v>
      </c>
      <c r="G27" s="9"/>
    </row>
    <row r="28" spans="1:13">
      <c r="A28" s="37" t="s">
        <v>139</v>
      </c>
      <c r="B28" s="38">
        <f>F29</f>
        <v>0</v>
      </c>
      <c r="C28" s="37" t="s">
        <v>147</v>
      </c>
      <c r="E28" s="9" t="s">
        <v>127</v>
      </c>
      <c r="F28" s="9">
        <f>ROUND(1/(1+D6)^F27,6)</f>
        <v>1</v>
      </c>
      <c r="G28" s="9"/>
    </row>
    <row r="29" spans="1:13">
      <c r="A29" s="37" t="s">
        <v>133</v>
      </c>
      <c r="B29" s="38">
        <f>IF(B1&gt;F6,0,IF($D$35="Stage 1",B26,IF($D$35="Stage 2",B27,B28)))</f>
        <v>0</v>
      </c>
      <c r="C29" s="37" t="s">
        <v>120</v>
      </c>
      <c r="E29" s="9" t="s">
        <v>144</v>
      </c>
      <c r="F29" s="9">
        <f>F26*F28</f>
        <v>0</v>
      </c>
      <c r="G29" s="9"/>
    </row>
    <row r="30" spans="1:13">
      <c r="A30" s="39" t="s">
        <v>134</v>
      </c>
      <c r="B30" s="11">
        <f>M6</f>
        <v>0</v>
      </c>
      <c r="C30" s="9" t="s">
        <v>135</v>
      </c>
    </row>
    <row r="31" spans="1:13">
      <c r="A31" s="39" t="s">
        <v>119</v>
      </c>
      <c r="B31" s="11">
        <f>B29-B30</f>
        <v>0</v>
      </c>
      <c r="C31" s="9" t="s">
        <v>136</v>
      </c>
    </row>
    <row r="33" spans="1:11">
      <c r="A33" s="13" t="s">
        <v>98</v>
      </c>
    </row>
    <row r="34" spans="1:11">
      <c r="A34" s="4" t="s">
        <v>22</v>
      </c>
      <c r="B34" s="4" t="s">
        <v>23</v>
      </c>
      <c r="C34" s="4" t="s">
        <v>24</v>
      </c>
      <c r="D34" s="4" t="s">
        <v>26</v>
      </c>
      <c r="E34" s="4" t="s">
        <v>1</v>
      </c>
    </row>
    <row r="35" spans="1:11">
      <c r="A35" s="9">
        <f>IF(G6="Low",1,IF(G6="Medium",2,IF(G6="High",3,4)))</f>
        <v>4</v>
      </c>
      <c r="B35" s="9">
        <f>IF(H6="Low",1,IF(H6="Medium",2,IF(H6="High",3,4)))</f>
        <v>4</v>
      </c>
      <c r="C35" s="9">
        <f>B35-A35</f>
        <v>0</v>
      </c>
      <c r="D35" s="9" t="str">
        <f>IF(AND(L6&lt;31,C35&lt;2),"Stage 1",IF(AND(L6&lt;91,C35&lt;3),"Stage 2","Stage 3"))</f>
        <v>Stage 1</v>
      </c>
      <c r="E35" s="12">
        <f>IFERROR(VLOOKUP(H6,$B$10:$C$13,2,FALSE),0)</f>
        <v>0</v>
      </c>
    </row>
    <row r="37" spans="1:11">
      <c r="A37" s="13" t="s">
        <v>121</v>
      </c>
    </row>
    <row r="39" spans="1:11">
      <c r="A39" s="4" t="s">
        <v>106</v>
      </c>
      <c r="B39" s="4" t="s">
        <v>107</v>
      </c>
      <c r="C39" s="4" t="s">
        <v>141</v>
      </c>
      <c r="D39" s="4" t="s">
        <v>127</v>
      </c>
      <c r="E39" s="4" t="s">
        <v>25</v>
      </c>
      <c r="F39" s="4" t="s">
        <v>128</v>
      </c>
      <c r="G39" s="4" t="s">
        <v>140</v>
      </c>
      <c r="H39" s="4" t="s">
        <v>129</v>
      </c>
      <c r="I39" s="4" t="s">
        <v>77</v>
      </c>
      <c r="J39" s="4" t="s">
        <v>29</v>
      </c>
      <c r="K39" s="4" t="s">
        <v>113</v>
      </c>
    </row>
    <row r="40" spans="1:11">
      <c r="A40" s="8">
        <v>1</v>
      </c>
      <c r="B40" s="20">
        <f>IFERROR(EOMONTH($B$1, A40),0)</f>
        <v>59</v>
      </c>
      <c r="C40" s="25">
        <f>ROUND(MAX(0, (B40 - $B$1)/365),5)</f>
        <v>0.16164000000000001</v>
      </c>
      <c r="D40" s="10">
        <f t="shared" ref="D40:D71" si="0">ROUND(1 / (1 + $D$6) ^ C40,6)</f>
        <v>1</v>
      </c>
      <c r="E40" s="11">
        <f>IFERROR($K$6*(1-$A$17-$B$17),0)</f>
        <v>0</v>
      </c>
      <c r="F40" s="9">
        <f t="shared" ref="F40:F71" si="1">IF(B40 &gt; $F$6, 0, $J$6)</f>
        <v>0</v>
      </c>
      <c r="G40" s="41">
        <f>ROUND(1 - (1 - $E$35) ^ C40,10)</f>
        <v>0</v>
      </c>
      <c r="H40" s="41">
        <f t="shared" ref="H40:H71" si="2">IF(A40=1,G40,G40-G39)</f>
        <v>0</v>
      </c>
      <c r="I40" s="12">
        <f t="shared" ref="I40:I71" si="3">ROUND(IF(F40=0, 1, 1 - (E40) / F40),4)</f>
        <v>1</v>
      </c>
      <c r="J40" s="9">
        <f>ROUND(F40 * H40 * I40,4)</f>
        <v>0</v>
      </c>
      <c r="K40" s="9">
        <f t="shared" ref="K40:K71" si="4">ROUND(J40 * D40,4)</f>
        <v>0</v>
      </c>
    </row>
    <row r="41" spans="1:11">
      <c r="A41" s="8">
        <f>A40+1</f>
        <v>2</v>
      </c>
      <c r="B41" s="20">
        <f>IFERROR(EOMONTH($B$1, A41),0)</f>
        <v>91</v>
      </c>
      <c r="C41" s="25">
        <f>ROUND(MAX(0, (B41 - $B$1)/365),4)</f>
        <v>0.24929999999999999</v>
      </c>
      <c r="D41" s="10">
        <f t="shared" si="0"/>
        <v>1</v>
      </c>
      <c r="E41" s="11">
        <f t="shared" ref="E41:E102" si="5">IFERROR($K$6*(1-$A$17-$B$17),0)</f>
        <v>0</v>
      </c>
      <c r="F41" s="9">
        <f t="shared" si="1"/>
        <v>0</v>
      </c>
      <c r="G41" s="41">
        <f t="shared" ref="G41:G72" si="6">ROUND(1 - (1 - $E$35) ^ C41,6)</f>
        <v>0</v>
      </c>
      <c r="H41" s="41">
        <f t="shared" si="2"/>
        <v>0</v>
      </c>
      <c r="I41" s="12">
        <f t="shared" si="3"/>
        <v>1</v>
      </c>
      <c r="J41" s="9">
        <f t="shared" ref="J41:J102" si="7">ROUND(F41 * H41 * I41,4)</f>
        <v>0</v>
      </c>
      <c r="K41" s="9">
        <f t="shared" si="4"/>
        <v>0</v>
      </c>
    </row>
    <row r="42" spans="1:11">
      <c r="A42" s="8">
        <f t="shared" ref="A42:A87" si="8">A41+1</f>
        <v>3</v>
      </c>
      <c r="B42" s="20">
        <f t="shared" ref="B42:B102" si="9">IFERROR(EOMONTH($B$1, A42),0)</f>
        <v>121</v>
      </c>
      <c r="C42" s="25">
        <f t="shared" ref="C42:C102" si="10">ROUND(MAX(0, (B42 - $B$1)/365),4)</f>
        <v>0.33150000000000002</v>
      </c>
      <c r="D42" s="10">
        <f t="shared" si="0"/>
        <v>1</v>
      </c>
      <c r="E42" s="11">
        <f t="shared" si="5"/>
        <v>0</v>
      </c>
      <c r="F42" s="9">
        <f t="shared" si="1"/>
        <v>0</v>
      </c>
      <c r="G42" s="36">
        <f t="shared" si="6"/>
        <v>0</v>
      </c>
      <c r="H42" s="41">
        <f t="shared" si="2"/>
        <v>0</v>
      </c>
      <c r="I42" s="12">
        <f t="shared" si="3"/>
        <v>1</v>
      </c>
      <c r="J42" s="9">
        <f t="shared" si="7"/>
        <v>0</v>
      </c>
      <c r="K42" s="9">
        <f t="shared" si="4"/>
        <v>0</v>
      </c>
    </row>
    <row r="43" spans="1:11">
      <c r="A43" s="8">
        <f t="shared" si="8"/>
        <v>4</v>
      </c>
      <c r="B43" s="20">
        <f t="shared" si="9"/>
        <v>152</v>
      </c>
      <c r="C43" s="25">
        <f t="shared" si="10"/>
        <v>0.41639999999999999</v>
      </c>
      <c r="D43" s="10">
        <f t="shared" si="0"/>
        <v>1</v>
      </c>
      <c r="E43" s="11">
        <f t="shared" si="5"/>
        <v>0</v>
      </c>
      <c r="F43" s="9">
        <f t="shared" si="1"/>
        <v>0</v>
      </c>
      <c r="G43" s="36">
        <f t="shared" si="6"/>
        <v>0</v>
      </c>
      <c r="H43" s="41">
        <f t="shared" si="2"/>
        <v>0</v>
      </c>
      <c r="I43" s="12">
        <f t="shared" si="3"/>
        <v>1</v>
      </c>
      <c r="J43" s="9">
        <f t="shared" si="7"/>
        <v>0</v>
      </c>
      <c r="K43" s="9">
        <f t="shared" si="4"/>
        <v>0</v>
      </c>
    </row>
    <row r="44" spans="1:11">
      <c r="A44" s="8">
        <f t="shared" si="8"/>
        <v>5</v>
      </c>
      <c r="B44" s="20">
        <f t="shared" si="9"/>
        <v>182</v>
      </c>
      <c r="C44" s="25">
        <f t="shared" si="10"/>
        <v>0.49859999999999999</v>
      </c>
      <c r="D44" s="10">
        <f t="shared" si="0"/>
        <v>1</v>
      </c>
      <c r="E44" s="11">
        <f t="shared" si="5"/>
        <v>0</v>
      </c>
      <c r="F44" s="9">
        <f t="shared" si="1"/>
        <v>0</v>
      </c>
      <c r="G44" s="36">
        <f t="shared" si="6"/>
        <v>0</v>
      </c>
      <c r="H44" s="41">
        <f t="shared" si="2"/>
        <v>0</v>
      </c>
      <c r="I44" s="12">
        <f t="shared" si="3"/>
        <v>1</v>
      </c>
      <c r="J44" s="9">
        <f t="shared" si="7"/>
        <v>0</v>
      </c>
      <c r="K44" s="9">
        <f t="shared" si="4"/>
        <v>0</v>
      </c>
    </row>
    <row r="45" spans="1:11">
      <c r="A45" s="8">
        <f t="shared" si="8"/>
        <v>6</v>
      </c>
      <c r="B45" s="20">
        <f t="shared" si="9"/>
        <v>213</v>
      </c>
      <c r="C45" s="25">
        <f t="shared" si="10"/>
        <v>0.58360000000000001</v>
      </c>
      <c r="D45" s="10">
        <f t="shared" si="0"/>
        <v>1</v>
      </c>
      <c r="E45" s="11">
        <f t="shared" si="5"/>
        <v>0</v>
      </c>
      <c r="F45" s="9">
        <f t="shared" si="1"/>
        <v>0</v>
      </c>
      <c r="G45" s="36">
        <f t="shared" si="6"/>
        <v>0</v>
      </c>
      <c r="H45" s="41">
        <f t="shared" si="2"/>
        <v>0</v>
      </c>
      <c r="I45" s="12">
        <f t="shared" si="3"/>
        <v>1</v>
      </c>
      <c r="J45" s="9">
        <f t="shared" si="7"/>
        <v>0</v>
      </c>
      <c r="K45" s="9">
        <f t="shared" si="4"/>
        <v>0</v>
      </c>
    </row>
    <row r="46" spans="1:11">
      <c r="A46" s="8">
        <f t="shared" si="8"/>
        <v>7</v>
      </c>
      <c r="B46" s="20">
        <f t="shared" si="9"/>
        <v>244</v>
      </c>
      <c r="C46" s="25">
        <f t="shared" si="10"/>
        <v>0.66849999999999998</v>
      </c>
      <c r="D46" s="10">
        <f t="shared" si="0"/>
        <v>1</v>
      </c>
      <c r="E46" s="11">
        <f t="shared" si="5"/>
        <v>0</v>
      </c>
      <c r="F46" s="9">
        <f t="shared" si="1"/>
        <v>0</v>
      </c>
      <c r="G46" s="36">
        <f t="shared" si="6"/>
        <v>0</v>
      </c>
      <c r="H46" s="41">
        <f t="shared" si="2"/>
        <v>0</v>
      </c>
      <c r="I46" s="12">
        <f t="shared" si="3"/>
        <v>1</v>
      </c>
      <c r="J46" s="9">
        <f t="shared" si="7"/>
        <v>0</v>
      </c>
      <c r="K46" s="9">
        <f t="shared" si="4"/>
        <v>0</v>
      </c>
    </row>
    <row r="47" spans="1:11">
      <c r="A47" s="8">
        <f t="shared" si="8"/>
        <v>8</v>
      </c>
      <c r="B47" s="20">
        <f t="shared" si="9"/>
        <v>274</v>
      </c>
      <c r="C47" s="25">
        <f t="shared" si="10"/>
        <v>0.75070000000000003</v>
      </c>
      <c r="D47" s="10">
        <f t="shared" si="0"/>
        <v>1</v>
      </c>
      <c r="E47" s="11">
        <f t="shared" si="5"/>
        <v>0</v>
      </c>
      <c r="F47" s="9">
        <f t="shared" si="1"/>
        <v>0</v>
      </c>
      <c r="G47" s="36">
        <f t="shared" si="6"/>
        <v>0</v>
      </c>
      <c r="H47" s="41">
        <f t="shared" si="2"/>
        <v>0</v>
      </c>
      <c r="I47" s="12">
        <f t="shared" si="3"/>
        <v>1</v>
      </c>
      <c r="J47" s="9">
        <f t="shared" si="7"/>
        <v>0</v>
      </c>
      <c r="K47" s="9">
        <f t="shared" si="4"/>
        <v>0</v>
      </c>
    </row>
    <row r="48" spans="1:11">
      <c r="A48" s="8">
        <f t="shared" si="8"/>
        <v>9</v>
      </c>
      <c r="B48" s="20">
        <f t="shared" si="9"/>
        <v>305</v>
      </c>
      <c r="C48" s="25">
        <f t="shared" si="10"/>
        <v>0.83560000000000001</v>
      </c>
      <c r="D48" s="10">
        <f t="shared" si="0"/>
        <v>1</v>
      </c>
      <c r="E48" s="11">
        <f t="shared" si="5"/>
        <v>0</v>
      </c>
      <c r="F48" s="9">
        <f t="shared" si="1"/>
        <v>0</v>
      </c>
      <c r="G48" s="36">
        <f t="shared" si="6"/>
        <v>0</v>
      </c>
      <c r="H48" s="41">
        <f t="shared" si="2"/>
        <v>0</v>
      </c>
      <c r="I48" s="12">
        <f t="shared" si="3"/>
        <v>1</v>
      </c>
      <c r="J48" s="9">
        <f t="shared" si="7"/>
        <v>0</v>
      </c>
      <c r="K48" s="9">
        <f t="shared" si="4"/>
        <v>0</v>
      </c>
    </row>
    <row r="49" spans="1:11">
      <c r="A49" s="8">
        <f t="shared" si="8"/>
        <v>10</v>
      </c>
      <c r="B49" s="20">
        <f t="shared" si="9"/>
        <v>335</v>
      </c>
      <c r="C49" s="25">
        <f t="shared" si="10"/>
        <v>0.91779999999999995</v>
      </c>
      <c r="D49" s="10">
        <f t="shared" si="0"/>
        <v>1</v>
      </c>
      <c r="E49" s="11">
        <f t="shared" si="5"/>
        <v>0</v>
      </c>
      <c r="F49" s="9">
        <f t="shared" si="1"/>
        <v>0</v>
      </c>
      <c r="G49" s="36">
        <f t="shared" si="6"/>
        <v>0</v>
      </c>
      <c r="H49" s="41">
        <f t="shared" si="2"/>
        <v>0</v>
      </c>
      <c r="I49" s="12">
        <f t="shared" si="3"/>
        <v>1</v>
      </c>
      <c r="J49" s="9">
        <f t="shared" si="7"/>
        <v>0</v>
      </c>
      <c r="K49" s="9">
        <f t="shared" si="4"/>
        <v>0</v>
      </c>
    </row>
    <row r="50" spans="1:11">
      <c r="A50" s="8">
        <f t="shared" si="8"/>
        <v>11</v>
      </c>
      <c r="B50" s="20">
        <f t="shared" si="9"/>
        <v>366</v>
      </c>
      <c r="C50" s="25">
        <f t="shared" si="10"/>
        <v>1.0026999999999999</v>
      </c>
      <c r="D50" s="10">
        <f t="shared" si="0"/>
        <v>1</v>
      </c>
      <c r="E50" s="11">
        <f t="shared" si="5"/>
        <v>0</v>
      </c>
      <c r="F50" s="9">
        <f t="shared" si="1"/>
        <v>0</v>
      </c>
      <c r="G50" s="36">
        <f t="shared" si="6"/>
        <v>0</v>
      </c>
      <c r="H50" s="41">
        <f t="shared" si="2"/>
        <v>0</v>
      </c>
      <c r="I50" s="12">
        <f t="shared" si="3"/>
        <v>1</v>
      </c>
      <c r="J50" s="9">
        <f t="shared" si="7"/>
        <v>0</v>
      </c>
      <c r="K50" s="9">
        <f t="shared" si="4"/>
        <v>0</v>
      </c>
    </row>
    <row r="51" spans="1:11">
      <c r="A51" s="8">
        <f t="shared" si="8"/>
        <v>12</v>
      </c>
      <c r="B51" s="20">
        <f t="shared" si="9"/>
        <v>397</v>
      </c>
      <c r="C51" s="25">
        <f t="shared" si="10"/>
        <v>1.0876999999999999</v>
      </c>
      <c r="D51" s="10">
        <f t="shared" si="0"/>
        <v>1</v>
      </c>
      <c r="E51" s="11">
        <f t="shared" si="5"/>
        <v>0</v>
      </c>
      <c r="F51" s="9">
        <f t="shared" si="1"/>
        <v>0</v>
      </c>
      <c r="G51" s="36">
        <f t="shared" si="6"/>
        <v>0</v>
      </c>
      <c r="H51" s="41">
        <f t="shared" si="2"/>
        <v>0</v>
      </c>
      <c r="I51" s="12">
        <f t="shared" si="3"/>
        <v>1</v>
      </c>
      <c r="J51" s="9">
        <f t="shared" si="7"/>
        <v>0</v>
      </c>
      <c r="K51" s="9">
        <f t="shared" si="4"/>
        <v>0</v>
      </c>
    </row>
    <row r="52" spans="1:11">
      <c r="A52" s="8">
        <f t="shared" si="8"/>
        <v>13</v>
      </c>
      <c r="B52" s="20">
        <f t="shared" si="9"/>
        <v>425</v>
      </c>
      <c r="C52" s="25">
        <f t="shared" si="10"/>
        <v>1.1644000000000001</v>
      </c>
      <c r="D52" s="10">
        <f t="shared" si="0"/>
        <v>1</v>
      </c>
      <c r="E52" s="11">
        <f t="shared" si="5"/>
        <v>0</v>
      </c>
      <c r="F52" s="9">
        <f t="shared" si="1"/>
        <v>0</v>
      </c>
      <c r="G52" s="36">
        <f t="shared" si="6"/>
        <v>0</v>
      </c>
      <c r="H52" s="41">
        <f t="shared" si="2"/>
        <v>0</v>
      </c>
      <c r="I52" s="12">
        <f t="shared" si="3"/>
        <v>1</v>
      </c>
      <c r="J52" s="9">
        <f t="shared" si="7"/>
        <v>0</v>
      </c>
      <c r="K52" s="9">
        <f t="shared" si="4"/>
        <v>0</v>
      </c>
    </row>
    <row r="53" spans="1:11">
      <c r="A53" s="8">
        <f t="shared" si="8"/>
        <v>14</v>
      </c>
      <c r="B53" s="20">
        <f t="shared" si="9"/>
        <v>456</v>
      </c>
      <c r="C53" s="25">
        <f t="shared" si="10"/>
        <v>1.2493000000000001</v>
      </c>
      <c r="D53" s="10">
        <f t="shared" si="0"/>
        <v>1</v>
      </c>
      <c r="E53" s="11">
        <f t="shared" si="5"/>
        <v>0</v>
      </c>
      <c r="F53" s="9">
        <f t="shared" si="1"/>
        <v>0</v>
      </c>
      <c r="G53" s="36">
        <f t="shared" si="6"/>
        <v>0</v>
      </c>
      <c r="H53" s="41">
        <f t="shared" si="2"/>
        <v>0</v>
      </c>
      <c r="I53" s="12">
        <f t="shared" si="3"/>
        <v>1</v>
      </c>
      <c r="J53" s="9">
        <f t="shared" si="7"/>
        <v>0</v>
      </c>
      <c r="K53" s="9">
        <f t="shared" si="4"/>
        <v>0</v>
      </c>
    </row>
    <row r="54" spans="1:11">
      <c r="A54" s="8">
        <f t="shared" si="8"/>
        <v>15</v>
      </c>
      <c r="B54" s="20">
        <f t="shared" si="9"/>
        <v>486</v>
      </c>
      <c r="C54" s="25">
        <f t="shared" si="10"/>
        <v>1.3314999999999999</v>
      </c>
      <c r="D54" s="10">
        <f t="shared" si="0"/>
        <v>1</v>
      </c>
      <c r="E54" s="11">
        <f t="shared" si="5"/>
        <v>0</v>
      </c>
      <c r="F54" s="9">
        <f t="shared" si="1"/>
        <v>0</v>
      </c>
      <c r="G54" s="36">
        <f t="shared" si="6"/>
        <v>0</v>
      </c>
      <c r="H54" s="41">
        <f t="shared" si="2"/>
        <v>0</v>
      </c>
      <c r="I54" s="12">
        <f t="shared" si="3"/>
        <v>1</v>
      </c>
      <c r="J54" s="9">
        <f t="shared" si="7"/>
        <v>0</v>
      </c>
      <c r="K54" s="9">
        <f t="shared" si="4"/>
        <v>0</v>
      </c>
    </row>
    <row r="55" spans="1:11">
      <c r="A55" s="8">
        <f t="shared" si="8"/>
        <v>16</v>
      </c>
      <c r="B55" s="20">
        <f t="shared" si="9"/>
        <v>517</v>
      </c>
      <c r="C55" s="25">
        <f t="shared" si="10"/>
        <v>1.4164000000000001</v>
      </c>
      <c r="D55" s="10">
        <f t="shared" si="0"/>
        <v>1</v>
      </c>
      <c r="E55" s="11">
        <f t="shared" si="5"/>
        <v>0</v>
      </c>
      <c r="F55" s="9">
        <f t="shared" si="1"/>
        <v>0</v>
      </c>
      <c r="G55" s="36">
        <f t="shared" si="6"/>
        <v>0</v>
      </c>
      <c r="H55" s="41">
        <f t="shared" si="2"/>
        <v>0</v>
      </c>
      <c r="I55" s="12">
        <f t="shared" si="3"/>
        <v>1</v>
      </c>
      <c r="J55" s="9">
        <f t="shared" si="7"/>
        <v>0</v>
      </c>
      <c r="K55" s="9">
        <f t="shared" si="4"/>
        <v>0</v>
      </c>
    </row>
    <row r="56" spans="1:11">
      <c r="A56" s="8">
        <f t="shared" si="8"/>
        <v>17</v>
      </c>
      <c r="B56" s="20">
        <f t="shared" si="9"/>
        <v>547</v>
      </c>
      <c r="C56" s="25">
        <f t="shared" si="10"/>
        <v>1.4985999999999999</v>
      </c>
      <c r="D56" s="10">
        <f t="shared" si="0"/>
        <v>1</v>
      </c>
      <c r="E56" s="11">
        <f t="shared" si="5"/>
        <v>0</v>
      </c>
      <c r="F56" s="9">
        <f t="shared" si="1"/>
        <v>0</v>
      </c>
      <c r="G56" s="36">
        <f t="shared" si="6"/>
        <v>0</v>
      </c>
      <c r="H56" s="41">
        <f t="shared" si="2"/>
        <v>0</v>
      </c>
      <c r="I56" s="12">
        <f t="shared" si="3"/>
        <v>1</v>
      </c>
      <c r="J56" s="9">
        <f t="shared" si="7"/>
        <v>0</v>
      </c>
      <c r="K56" s="9">
        <f t="shared" si="4"/>
        <v>0</v>
      </c>
    </row>
    <row r="57" spans="1:11">
      <c r="A57" s="8">
        <f t="shared" si="8"/>
        <v>18</v>
      </c>
      <c r="B57" s="20">
        <f t="shared" si="9"/>
        <v>578</v>
      </c>
      <c r="C57" s="25">
        <f t="shared" si="10"/>
        <v>1.5835999999999999</v>
      </c>
      <c r="D57" s="10">
        <f t="shared" si="0"/>
        <v>1</v>
      </c>
      <c r="E57" s="11">
        <f t="shared" si="5"/>
        <v>0</v>
      </c>
      <c r="F57" s="9">
        <f t="shared" si="1"/>
        <v>0</v>
      </c>
      <c r="G57" s="36">
        <f t="shared" si="6"/>
        <v>0</v>
      </c>
      <c r="H57" s="41">
        <f t="shared" si="2"/>
        <v>0</v>
      </c>
      <c r="I57" s="12">
        <f t="shared" si="3"/>
        <v>1</v>
      </c>
      <c r="J57" s="9">
        <f t="shared" si="7"/>
        <v>0</v>
      </c>
      <c r="K57" s="9">
        <f t="shared" si="4"/>
        <v>0</v>
      </c>
    </row>
    <row r="58" spans="1:11">
      <c r="A58" s="8">
        <f t="shared" si="8"/>
        <v>19</v>
      </c>
      <c r="B58" s="20">
        <f t="shared" si="9"/>
        <v>609</v>
      </c>
      <c r="C58" s="25">
        <f t="shared" si="10"/>
        <v>1.6685000000000001</v>
      </c>
      <c r="D58" s="10">
        <f t="shared" si="0"/>
        <v>1</v>
      </c>
      <c r="E58" s="11">
        <f t="shared" si="5"/>
        <v>0</v>
      </c>
      <c r="F58" s="9">
        <f t="shared" si="1"/>
        <v>0</v>
      </c>
      <c r="G58" s="36">
        <f t="shared" si="6"/>
        <v>0</v>
      </c>
      <c r="H58" s="41">
        <f t="shared" si="2"/>
        <v>0</v>
      </c>
      <c r="I58" s="12">
        <f t="shared" si="3"/>
        <v>1</v>
      </c>
      <c r="J58" s="9">
        <f t="shared" si="7"/>
        <v>0</v>
      </c>
      <c r="K58" s="9">
        <f t="shared" si="4"/>
        <v>0</v>
      </c>
    </row>
    <row r="59" spans="1:11">
      <c r="A59" s="8">
        <f t="shared" si="8"/>
        <v>20</v>
      </c>
      <c r="B59" s="20">
        <f t="shared" si="9"/>
        <v>639</v>
      </c>
      <c r="C59" s="25">
        <f t="shared" si="10"/>
        <v>1.7506999999999999</v>
      </c>
      <c r="D59" s="10">
        <f t="shared" si="0"/>
        <v>1</v>
      </c>
      <c r="E59" s="11">
        <f t="shared" si="5"/>
        <v>0</v>
      </c>
      <c r="F59" s="9">
        <f t="shared" si="1"/>
        <v>0</v>
      </c>
      <c r="G59" s="36">
        <f t="shared" si="6"/>
        <v>0</v>
      </c>
      <c r="H59" s="41">
        <f t="shared" si="2"/>
        <v>0</v>
      </c>
      <c r="I59" s="12">
        <f t="shared" si="3"/>
        <v>1</v>
      </c>
      <c r="J59" s="9">
        <f t="shared" si="7"/>
        <v>0</v>
      </c>
      <c r="K59" s="9">
        <f t="shared" si="4"/>
        <v>0</v>
      </c>
    </row>
    <row r="60" spans="1:11">
      <c r="A60" s="8">
        <f t="shared" si="8"/>
        <v>21</v>
      </c>
      <c r="B60" s="20">
        <f t="shared" si="9"/>
        <v>670</v>
      </c>
      <c r="C60" s="25">
        <f t="shared" si="10"/>
        <v>1.8355999999999999</v>
      </c>
      <c r="D60" s="10">
        <f t="shared" si="0"/>
        <v>1</v>
      </c>
      <c r="E60" s="11">
        <f t="shared" si="5"/>
        <v>0</v>
      </c>
      <c r="F60" s="9">
        <f t="shared" si="1"/>
        <v>0</v>
      </c>
      <c r="G60" s="36">
        <f t="shared" si="6"/>
        <v>0</v>
      </c>
      <c r="H60" s="41">
        <f t="shared" si="2"/>
        <v>0</v>
      </c>
      <c r="I60" s="12">
        <f t="shared" si="3"/>
        <v>1</v>
      </c>
      <c r="J60" s="9">
        <f t="shared" si="7"/>
        <v>0</v>
      </c>
      <c r="K60" s="9">
        <f t="shared" si="4"/>
        <v>0</v>
      </c>
    </row>
    <row r="61" spans="1:11">
      <c r="A61" s="8">
        <f t="shared" si="8"/>
        <v>22</v>
      </c>
      <c r="B61" s="20">
        <f t="shared" si="9"/>
        <v>700</v>
      </c>
      <c r="C61" s="25">
        <f t="shared" si="10"/>
        <v>1.9177999999999999</v>
      </c>
      <c r="D61" s="10">
        <f t="shared" si="0"/>
        <v>1</v>
      </c>
      <c r="E61" s="11">
        <f t="shared" si="5"/>
        <v>0</v>
      </c>
      <c r="F61" s="9">
        <f t="shared" si="1"/>
        <v>0</v>
      </c>
      <c r="G61" s="36">
        <f t="shared" si="6"/>
        <v>0</v>
      </c>
      <c r="H61" s="41">
        <f t="shared" si="2"/>
        <v>0</v>
      </c>
      <c r="I61" s="12">
        <f t="shared" si="3"/>
        <v>1</v>
      </c>
      <c r="J61" s="9">
        <f t="shared" si="7"/>
        <v>0</v>
      </c>
      <c r="K61" s="9">
        <f t="shared" si="4"/>
        <v>0</v>
      </c>
    </row>
    <row r="62" spans="1:11">
      <c r="A62" s="8">
        <f t="shared" si="8"/>
        <v>23</v>
      </c>
      <c r="B62" s="20">
        <f t="shared" si="9"/>
        <v>731</v>
      </c>
      <c r="C62" s="25">
        <f t="shared" si="10"/>
        <v>2.0026999999999999</v>
      </c>
      <c r="D62" s="10">
        <f t="shared" si="0"/>
        <v>1</v>
      </c>
      <c r="E62" s="11">
        <f t="shared" si="5"/>
        <v>0</v>
      </c>
      <c r="F62" s="9">
        <f t="shared" si="1"/>
        <v>0</v>
      </c>
      <c r="G62" s="36">
        <f t="shared" si="6"/>
        <v>0</v>
      </c>
      <c r="H62" s="41">
        <f t="shared" si="2"/>
        <v>0</v>
      </c>
      <c r="I62" s="12">
        <f t="shared" si="3"/>
        <v>1</v>
      </c>
      <c r="J62" s="9">
        <f t="shared" si="7"/>
        <v>0</v>
      </c>
      <c r="K62" s="9">
        <f t="shared" si="4"/>
        <v>0</v>
      </c>
    </row>
    <row r="63" spans="1:11">
      <c r="A63" s="8">
        <f t="shared" si="8"/>
        <v>24</v>
      </c>
      <c r="B63" s="20">
        <f t="shared" si="9"/>
        <v>762</v>
      </c>
      <c r="C63" s="25">
        <f t="shared" si="10"/>
        <v>2.0876999999999999</v>
      </c>
      <c r="D63" s="10">
        <f t="shared" si="0"/>
        <v>1</v>
      </c>
      <c r="E63" s="11">
        <f t="shared" si="5"/>
        <v>0</v>
      </c>
      <c r="F63" s="9">
        <f t="shared" si="1"/>
        <v>0</v>
      </c>
      <c r="G63" s="36">
        <f t="shared" si="6"/>
        <v>0</v>
      </c>
      <c r="H63" s="41">
        <f t="shared" si="2"/>
        <v>0</v>
      </c>
      <c r="I63" s="12">
        <f t="shared" si="3"/>
        <v>1</v>
      </c>
      <c r="J63" s="9">
        <f t="shared" si="7"/>
        <v>0</v>
      </c>
      <c r="K63" s="9">
        <f t="shared" si="4"/>
        <v>0</v>
      </c>
    </row>
    <row r="64" spans="1:11">
      <c r="A64" s="8">
        <f t="shared" si="8"/>
        <v>25</v>
      </c>
      <c r="B64" s="20">
        <f t="shared" si="9"/>
        <v>790</v>
      </c>
      <c r="C64" s="25">
        <f t="shared" si="10"/>
        <v>2.1644000000000001</v>
      </c>
      <c r="D64" s="10">
        <f t="shared" si="0"/>
        <v>1</v>
      </c>
      <c r="E64" s="11">
        <f t="shared" si="5"/>
        <v>0</v>
      </c>
      <c r="F64" s="9">
        <f t="shared" si="1"/>
        <v>0</v>
      </c>
      <c r="G64" s="36">
        <f t="shared" si="6"/>
        <v>0</v>
      </c>
      <c r="H64" s="41">
        <f t="shared" si="2"/>
        <v>0</v>
      </c>
      <c r="I64" s="12">
        <f t="shared" si="3"/>
        <v>1</v>
      </c>
      <c r="J64" s="9">
        <f t="shared" si="7"/>
        <v>0</v>
      </c>
      <c r="K64" s="9">
        <f t="shared" si="4"/>
        <v>0</v>
      </c>
    </row>
    <row r="65" spans="1:11">
      <c r="A65" s="8">
        <f t="shared" si="8"/>
        <v>26</v>
      </c>
      <c r="B65" s="20">
        <f t="shared" si="9"/>
        <v>821</v>
      </c>
      <c r="C65" s="25">
        <f t="shared" si="10"/>
        <v>2.2492999999999999</v>
      </c>
      <c r="D65" s="10">
        <f t="shared" si="0"/>
        <v>1</v>
      </c>
      <c r="E65" s="11">
        <f t="shared" si="5"/>
        <v>0</v>
      </c>
      <c r="F65" s="9">
        <f t="shared" si="1"/>
        <v>0</v>
      </c>
      <c r="G65" s="36">
        <f t="shared" si="6"/>
        <v>0</v>
      </c>
      <c r="H65" s="41">
        <f t="shared" si="2"/>
        <v>0</v>
      </c>
      <c r="I65" s="12">
        <f t="shared" si="3"/>
        <v>1</v>
      </c>
      <c r="J65" s="9">
        <f t="shared" si="7"/>
        <v>0</v>
      </c>
      <c r="K65" s="9">
        <f t="shared" si="4"/>
        <v>0</v>
      </c>
    </row>
    <row r="66" spans="1:11">
      <c r="A66" s="8">
        <f t="shared" si="8"/>
        <v>27</v>
      </c>
      <c r="B66" s="20">
        <f t="shared" si="9"/>
        <v>851</v>
      </c>
      <c r="C66" s="25">
        <f t="shared" si="10"/>
        <v>2.3315000000000001</v>
      </c>
      <c r="D66" s="10">
        <f t="shared" si="0"/>
        <v>1</v>
      </c>
      <c r="E66" s="11">
        <f t="shared" si="5"/>
        <v>0</v>
      </c>
      <c r="F66" s="9">
        <f t="shared" si="1"/>
        <v>0</v>
      </c>
      <c r="G66" s="36">
        <f t="shared" si="6"/>
        <v>0</v>
      </c>
      <c r="H66" s="41">
        <f t="shared" si="2"/>
        <v>0</v>
      </c>
      <c r="I66" s="12">
        <f t="shared" si="3"/>
        <v>1</v>
      </c>
      <c r="J66" s="9">
        <f t="shared" si="7"/>
        <v>0</v>
      </c>
      <c r="K66" s="9">
        <f t="shared" si="4"/>
        <v>0</v>
      </c>
    </row>
    <row r="67" spans="1:11">
      <c r="A67" s="8">
        <f t="shared" si="8"/>
        <v>28</v>
      </c>
      <c r="B67" s="20">
        <f t="shared" si="9"/>
        <v>882</v>
      </c>
      <c r="C67" s="25">
        <f t="shared" si="10"/>
        <v>2.4163999999999999</v>
      </c>
      <c r="D67" s="10">
        <f t="shared" si="0"/>
        <v>1</v>
      </c>
      <c r="E67" s="11">
        <f t="shared" si="5"/>
        <v>0</v>
      </c>
      <c r="F67" s="9">
        <f t="shared" si="1"/>
        <v>0</v>
      </c>
      <c r="G67" s="36">
        <f t="shared" si="6"/>
        <v>0</v>
      </c>
      <c r="H67" s="41">
        <f t="shared" si="2"/>
        <v>0</v>
      </c>
      <c r="I67" s="12">
        <f t="shared" si="3"/>
        <v>1</v>
      </c>
      <c r="J67" s="9">
        <f t="shared" si="7"/>
        <v>0</v>
      </c>
      <c r="K67" s="9">
        <f t="shared" si="4"/>
        <v>0</v>
      </c>
    </row>
    <row r="68" spans="1:11">
      <c r="A68" s="8">
        <f t="shared" si="8"/>
        <v>29</v>
      </c>
      <c r="B68" s="20">
        <f t="shared" si="9"/>
        <v>912</v>
      </c>
      <c r="C68" s="25">
        <f t="shared" si="10"/>
        <v>2.4986000000000002</v>
      </c>
      <c r="D68" s="10">
        <f t="shared" si="0"/>
        <v>1</v>
      </c>
      <c r="E68" s="11">
        <f t="shared" si="5"/>
        <v>0</v>
      </c>
      <c r="F68" s="9">
        <f t="shared" si="1"/>
        <v>0</v>
      </c>
      <c r="G68" s="36">
        <f t="shared" si="6"/>
        <v>0</v>
      </c>
      <c r="H68" s="41">
        <f t="shared" si="2"/>
        <v>0</v>
      </c>
      <c r="I68" s="12">
        <f t="shared" si="3"/>
        <v>1</v>
      </c>
      <c r="J68" s="9">
        <f t="shared" si="7"/>
        <v>0</v>
      </c>
      <c r="K68" s="9">
        <f t="shared" si="4"/>
        <v>0</v>
      </c>
    </row>
    <row r="69" spans="1:11">
      <c r="A69" s="8">
        <f t="shared" si="8"/>
        <v>30</v>
      </c>
      <c r="B69" s="20">
        <f t="shared" si="9"/>
        <v>943</v>
      </c>
      <c r="C69" s="25">
        <f t="shared" si="10"/>
        <v>2.5836000000000001</v>
      </c>
      <c r="D69" s="10">
        <f t="shared" si="0"/>
        <v>1</v>
      </c>
      <c r="E69" s="11">
        <f t="shared" si="5"/>
        <v>0</v>
      </c>
      <c r="F69" s="9">
        <f t="shared" si="1"/>
        <v>0</v>
      </c>
      <c r="G69" s="36">
        <f t="shared" si="6"/>
        <v>0</v>
      </c>
      <c r="H69" s="41">
        <f t="shared" si="2"/>
        <v>0</v>
      </c>
      <c r="I69" s="12">
        <f t="shared" si="3"/>
        <v>1</v>
      </c>
      <c r="J69" s="9">
        <f t="shared" si="7"/>
        <v>0</v>
      </c>
      <c r="K69" s="9">
        <f t="shared" si="4"/>
        <v>0</v>
      </c>
    </row>
    <row r="70" spans="1:11">
      <c r="A70" s="8">
        <f t="shared" si="8"/>
        <v>31</v>
      </c>
      <c r="B70" s="20">
        <f t="shared" si="9"/>
        <v>974</v>
      </c>
      <c r="C70" s="25">
        <f t="shared" si="10"/>
        <v>2.6684999999999999</v>
      </c>
      <c r="D70" s="10">
        <f t="shared" si="0"/>
        <v>1</v>
      </c>
      <c r="E70" s="11">
        <f t="shared" si="5"/>
        <v>0</v>
      </c>
      <c r="F70" s="9">
        <f t="shared" si="1"/>
        <v>0</v>
      </c>
      <c r="G70" s="36">
        <f t="shared" si="6"/>
        <v>0</v>
      </c>
      <c r="H70" s="41">
        <f t="shared" si="2"/>
        <v>0</v>
      </c>
      <c r="I70" s="12">
        <f t="shared" si="3"/>
        <v>1</v>
      </c>
      <c r="J70" s="9">
        <f t="shared" si="7"/>
        <v>0</v>
      </c>
      <c r="K70" s="9">
        <f t="shared" si="4"/>
        <v>0</v>
      </c>
    </row>
    <row r="71" spans="1:11">
      <c r="A71" s="8">
        <f t="shared" si="8"/>
        <v>32</v>
      </c>
      <c r="B71" s="20">
        <f t="shared" si="9"/>
        <v>1004</v>
      </c>
      <c r="C71" s="25">
        <f t="shared" si="10"/>
        <v>2.7507000000000001</v>
      </c>
      <c r="D71" s="10">
        <f t="shared" si="0"/>
        <v>1</v>
      </c>
      <c r="E71" s="11">
        <f t="shared" si="5"/>
        <v>0</v>
      </c>
      <c r="F71" s="9">
        <f t="shared" si="1"/>
        <v>0</v>
      </c>
      <c r="G71" s="36">
        <f t="shared" si="6"/>
        <v>0</v>
      </c>
      <c r="H71" s="41">
        <f t="shared" si="2"/>
        <v>0</v>
      </c>
      <c r="I71" s="12">
        <f t="shared" si="3"/>
        <v>1</v>
      </c>
      <c r="J71" s="9">
        <f t="shared" si="7"/>
        <v>0</v>
      </c>
      <c r="K71" s="9">
        <f t="shared" si="4"/>
        <v>0</v>
      </c>
    </row>
    <row r="72" spans="1:11">
      <c r="A72" s="8">
        <f t="shared" si="8"/>
        <v>33</v>
      </c>
      <c r="B72" s="20">
        <f t="shared" si="9"/>
        <v>1035</v>
      </c>
      <c r="C72" s="25">
        <f t="shared" si="10"/>
        <v>2.8355999999999999</v>
      </c>
      <c r="D72" s="10">
        <f t="shared" ref="D72:D102" si="11">ROUND(1 / (1 + $D$6) ^ C72,6)</f>
        <v>1</v>
      </c>
      <c r="E72" s="11">
        <f t="shared" si="5"/>
        <v>0</v>
      </c>
      <c r="F72" s="9">
        <f t="shared" ref="F72:F102" si="12">IF(B72 &gt; $F$6, 0, $J$6)</f>
        <v>0</v>
      </c>
      <c r="G72" s="36">
        <f t="shared" si="6"/>
        <v>0</v>
      </c>
      <c r="H72" s="41">
        <f t="shared" ref="H72:H102" si="13">IF(A72=1,G72,G72-G71)</f>
        <v>0</v>
      </c>
      <c r="I72" s="12">
        <f t="shared" ref="I72:I102" si="14">ROUND(IF(F72=0, 1, 1 - (E72) / F72),4)</f>
        <v>1</v>
      </c>
      <c r="J72" s="9">
        <f t="shared" si="7"/>
        <v>0</v>
      </c>
      <c r="K72" s="9">
        <f t="shared" ref="K72:K102" si="15">ROUND(J72 * D72,4)</f>
        <v>0</v>
      </c>
    </row>
    <row r="73" spans="1:11">
      <c r="A73" s="8">
        <f t="shared" si="8"/>
        <v>34</v>
      </c>
      <c r="B73" s="20">
        <f t="shared" si="9"/>
        <v>1065</v>
      </c>
      <c r="C73" s="25">
        <f t="shared" si="10"/>
        <v>2.9178000000000002</v>
      </c>
      <c r="D73" s="10">
        <f t="shared" si="11"/>
        <v>1</v>
      </c>
      <c r="E73" s="11">
        <f t="shared" si="5"/>
        <v>0</v>
      </c>
      <c r="F73" s="9">
        <f t="shared" si="12"/>
        <v>0</v>
      </c>
      <c r="G73" s="36">
        <f t="shared" ref="G73:G102" si="16">ROUND(1 - (1 - $E$35) ^ C73,6)</f>
        <v>0</v>
      </c>
      <c r="H73" s="41">
        <f t="shared" si="13"/>
        <v>0</v>
      </c>
      <c r="I73" s="12">
        <f t="shared" si="14"/>
        <v>1</v>
      </c>
      <c r="J73" s="9">
        <f t="shared" si="7"/>
        <v>0</v>
      </c>
      <c r="K73" s="9">
        <f t="shared" si="15"/>
        <v>0</v>
      </c>
    </row>
    <row r="74" spans="1:11">
      <c r="A74" s="8">
        <f t="shared" si="8"/>
        <v>35</v>
      </c>
      <c r="B74" s="20">
        <f t="shared" si="9"/>
        <v>1096</v>
      </c>
      <c r="C74" s="25">
        <f t="shared" si="10"/>
        <v>3.0026999999999999</v>
      </c>
      <c r="D74" s="10">
        <f t="shared" si="11"/>
        <v>1</v>
      </c>
      <c r="E74" s="11">
        <f t="shared" si="5"/>
        <v>0</v>
      </c>
      <c r="F74" s="9">
        <f t="shared" si="12"/>
        <v>0</v>
      </c>
      <c r="G74" s="36">
        <f t="shared" si="16"/>
        <v>0</v>
      </c>
      <c r="H74" s="41">
        <f t="shared" si="13"/>
        <v>0</v>
      </c>
      <c r="I74" s="12">
        <f t="shared" si="14"/>
        <v>1</v>
      </c>
      <c r="J74" s="9">
        <f t="shared" si="7"/>
        <v>0</v>
      </c>
      <c r="K74" s="9">
        <f t="shared" si="15"/>
        <v>0</v>
      </c>
    </row>
    <row r="75" spans="1:11">
      <c r="A75" s="8">
        <f t="shared" si="8"/>
        <v>36</v>
      </c>
      <c r="B75" s="20">
        <f t="shared" si="9"/>
        <v>1127</v>
      </c>
      <c r="C75" s="25">
        <f t="shared" si="10"/>
        <v>3.0876999999999999</v>
      </c>
      <c r="D75" s="10">
        <f t="shared" si="11"/>
        <v>1</v>
      </c>
      <c r="E75" s="11">
        <f t="shared" si="5"/>
        <v>0</v>
      </c>
      <c r="F75" s="9">
        <f t="shared" si="12"/>
        <v>0</v>
      </c>
      <c r="G75" s="36">
        <f t="shared" si="16"/>
        <v>0</v>
      </c>
      <c r="H75" s="41">
        <f t="shared" si="13"/>
        <v>0</v>
      </c>
      <c r="I75" s="12">
        <f t="shared" si="14"/>
        <v>1</v>
      </c>
      <c r="J75" s="9">
        <f t="shared" si="7"/>
        <v>0</v>
      </c>
      <c r="K75" s="9">
        <f t="shared" si="15"/>
        <v>0</v>
      </c>
    </row>
    <row r="76" spans="1:11">
      <c r="A76" s="8">
        <f t="shared" si="8"/>
        <v>37</v>
      </c>
      <c r="B76" s="20">
        <f t="shared" si="9"/>
        <v>1155</v>
      </c>
      <c r="C76" s="25">
        <f t="shared" si="10"/>
        <v>3.1644000000000001</v>
      </c>
      <c r="D76" s="10">
        <f t="shared" si="11"/>
        <v>1</v>
      </c>
      <c r="E76" s="11">
        <f t="shared" si="5"/>
        <v>0</v>
      </c>
      <c r="F76" s="9">
        <f t="shared" si="12"/>
        <v>0</v>
      </c>
      <c r="G76" s="36">
        <f t="shared" si="16"/>
        <v>0</v>
      </c>
      <c r="H76" s="41">
        <f t="shared" si="13"/>
        <v>0</v>
      </c>
      <c r="I76" s="12">
        <f t="shared" si="14"/>
        <v>1</v>
      </c>
      <c r="J76" s="9">
        <f t="shared" si="7"/>
        <v>0</v>
      </c>
      <c r="K76" s="9">
        <f t="shared" si="15"/>
        <v>0</v>
      </c>
    </row>
    <row r="77" spans="1:11">
      <c r="A77" s="8">
        <f t="shared" si="8"/>
        <v>38</v>
      </c>
      <c r="B77" s="20">
        <f t="shared" si="9"/>
        <v>1186</v>
      </c>
      <c r="C77" s="25">
        <f t="shared" si="10"/>
        <v>3.2492999999999999</v>
      </c>
      <c r="D77" s="10">
        <f t="shared" si="11"/>
        <v>1</v>
      </c>
      <c r="E77" s="11">
        <f t="shared" si="5"/>
        <v>0</v>
      </c>
      <c r="F77" s="9">
        <f t="shared" si="12"/>
        <v>0</v>
      </c>
      <c r="G77" s="36">
        <f t="shared" si="16"/>
        <v>0</v>
      </c>
      <c r="H77" s="41">
        <f t="shared" si="13"/>
        <v>0</v>
      </c>
      <c r="I77" s="12">
        <f t="shared" si="14"/>
        <v>1</v>
      </c>
      <c r="J77" s="9">
        <f t="shared" si="7"/>
        <v>0</v>
      </c>
      <c r="K77" s="9">
        <f t="shared" si="15"/>
        <v>0</v>
      </c>
    </row>
    <row r="78" spans="1:11">
      <c r="A78" s="8">
        <f t="shared" si="8"/>
        <v>39</v>
      </c>
      <c r="B78" s="20">
        <f t="shared" si="9"/>
        <v>1216</v>
      </c>
      <c r="C78" s="25">
        <f t="shared" si="10"/>
        <v>3.3315000000000001</v>
      </c>
      <c r="D78" s="10">
        <f t="shared" si="11"/>
        <v>1</v>
      </c>
      <c r="E78" s="11">
        <f t="shared" si="5"/>
        <v>0</v>
      </c>
      <c r="F78" s="9">
        <f t="shared" si="12"/>
        <v>0</v>
      </c>
      <c r="G78" s="36">
        <f t="shared" si="16"/>
        <v>0</v>
      </c>
      <c r="H78" s="41">
        <f t="shared" si="13"/>
        <v>0</v>
      </c>
      <c r="I78" s="12">
        <f t="shared" si="14"/>
        <v>1</v>
      </c>
      <c r="J78" s="9">
        <f t="shared" si="7"/>
        <v>0</v>
      </c>
      <c r="K78" s="9">
        <f t="shared" si="15"/>
        <v>0</v>
      </c>
    </row>
    <row r="79" spans="1:11">
      <c r="A79" s="8">
        <f t="shared" si="8"/>
        <v>40</v>
      </c>
      <c r="B79" s="20">
        <f t="shared" si="9"/>
        <v>1247</v>
      </c>
      <c r="C79" s="25">
        <f t="shared" si="10"/>
        <v>3.4163999999999999</v>
      </c>
      <c r="D79" s="10">
        <f t="shared" si="11"/>
        <v>1</v>
      </c>
      <c r="E79" s="11">
        <f t="shared" si="5"/>
        <v>0</v>
      </c>
      <c r="F79" s="9">
        <f t="shared" si="12"/>
        <v>0</v>
      </c>
      <c r="G79" s="36">
        <f t="shared" si="16"/>
        <v>0</v>
      </c>
      <c r="H79" s="41">
        <f t="shared" si="13"/>
        <v>0</v>
      </c>
      <c r="I79" s="12">
        <f t="shared" si="14"/>
        <v>1</v>
      </c>
      <c r="J79" s="9">
        <f t="shared" si="7"/>
        <v>0</v>
      </c>
      <c r="K79" s="9">
        <f t="shared" si="15"/>
        <v>0</v>
      </c>
    </row>
    <row r="80" spans="1:11">
      <c r="A80" s="8">
        <f t="shared" si="8"/>
        <v>41</v>
      </c>
      <c r="B80" s="20">
        <f t="shared" si="9"/>
        <v>1277</v>
      </c>
      <c r="C80" s="25">
        <f t="shared" si="10"/>
        <v>3.4986000000000002</v>
      </c>
      <c r="D80" s="10">
        <f t="shared" si="11"/>
        <v>1</v>
      </c>
      <c r="E80" s="11">
        <f t="shared" si="5"/>
        <v>0</v>
      </c>
      <c r="F80" s="9">
        <f t="shared" si="12"/>
        <v>0</v>
      </c>
      <c r="G80" s="36">
        <f t="shared" si="16"/>
        <v>0</v>
      </c>
      <c r="H80" s="41">
        <f t="shared" si="13"/>
        <v>0</v>
      </c>
      <c r="I80" s="12">
        <f t="shared" si="14"/>
        <v>1</v>
      </c>
      <c r="J80" s="9">
        <f t="shared" si="7"/>
        <v>0</v>
      </c>
      <c r="K80" s="9">
        <f t="shared" si="15"/>
        <v>0</v>
      </c>
    </row>
    <row r="81" spans="1:11">
      <c r="A81" s="8">
        <f t="shared" si="8"/>
        <v>42</v>
      </c>
      <c r="B81" s="20">
        <f t="shared" si="9"/>
        <v>1308</v>
      </c>
      <c r="C81" s="25">
        <f t="shared" si="10"/>
        <v>3.5836000000000001</v>
      </c>
      <c r="D81" s="10">
        <f t="shared" si="11"/>
        <v>1</v>
      </c>
      <c r="E81" s="11">
        <f t="shared" si="5"/>
        <v>0</v>
      </c>
      <c r="F81" s="9">
        <f t="shared" si="12"/>
        <v>0</v>
      </c>
      <c r="G81" s="36">
        <f t="shared" si="16"/>
        <v>0</v>
      </c>
      <c r="H81" s="41">
        <f t="shared" si="13"/>
        <v>0</v>
      </c>
      <c r="I81" s="12">
        <f t="shared" si="14"/>
        <v>1</v>
      </c>
      <c r="J81" s="9">
        <f t="shared" si="7"/>
        <v>0</v>
      </c>
      <c r="K81" s="9">
        <f t="shared" si="15"/>
        <v>0</v>
      </c>
    </row>
    <row r="82" spans="1:11">
      <c r="A82" s="8">
        <f t="shared" si="8"/>
        <v>43</v>
      </c>
      <c r="B82" s="20">
        <f t="shared" si="9"/>
        <v>1339</v>
      </c>
      <c r="C82" s="25">
        <f t="shared" si="10"/>
        <v>3.6684999999999999</v>
      </c>
      <c r="D82" s="10">
        <f t="shared" si="11"/>
        <v>1</v>
      </c>
      <c r="E82" s="11">
        <f t="shared" si="5"/>
        <v>0</v>
      </c>
      <c r="F82" s="9">
        <f t="shared" si="12"/>
        <v>0</v>
      </c>
      <c r="G82" s="36">
        <f t="shared" si="16"/>
        <v>0</v>
      </c>
      <c r="H82" s="41">
        <f t="shared" si="13"/>
        <v>0</v>
      </c>
      <c r="I82" s="12">
        <f t="shared" si="14"/>
        <v>1</v>
      </c>
      <c r="J82" s="9">
        <f t="shared" si="7"/>
        <v>0</v>
      </c>
      <c r="K82" s="9">
        <f t="shared" si="15"/>
        <v>0</v>
      </c>
    </row>
    <row r="83" spans="1:11">
      <c r="A83" s="8">
        <f t="shared" si="8"/>
        <v>44</v>
      </c>
      <c r="B83" s="20">
        <f t="shared" si="9"/>
        <v>1369</v>
      </c>
      <c r="C83" s="25">
        <f t="shared" si="10"/>
        <v>3.7507000000000001</v>
      </c>
      <c r="D83" s="10">
        <f t="shared" si="11"/>
        <v>1</v>
      </c>
      <c r="E83" s="11">
        <f t="shared" si="5"/>
        <v>0</v>
      </c>
      <c r="F83" s="9">
        <f t="shared" si="12"/>
        <v>0</v>
      </c>
      <c r="G83" s="36">
        <f t="shared" si="16"/>
        <v>0</v>
      </c>
      <c r="H83" s="41">
        <f t="shared" si="13"/>
        <v>0</v>
      </c>
      <c r="I83" s="12">
        <f t="shared" si="14"/>
        <v>1</v>
      </c>
      <c r="J83" s="9">
        <f t="shared" si="7"/>
        <v>0</v>
      </c>
      <c r="K83" s="9">
        <f t="shared" si="15"/>
        <v>0</v>
      </c>
    </row>
    <row r="84" spans="1:11">
      <c r="A84" s="8">
        <f t="shared" si="8"/>
        <v>45</v>
      </c>
      <c r="B84" s="20">
        <f t="shared" si="9"/>
        <v>1400</v>
      </c>
      <c r="C84" s="25">
        <f t="shared" si="10"/>
        <v>3.8355999999999999</v>
      </c>
      <c r="D84" s="10">
        <f t="shared" si="11"/>
        <v>1</v>
      </c>
      <c r="E84" s="11">
        <f t="shared" si="5"/>
        <v>0</v>
      </c>
      <c r="F84" s="9">
        <f t="shared" si="12"/>
        <v>0</v>
      </c>
      <c r="G84" s="36">
        <f t="shared" si="16"/>
        <v>0</v>
      </c>
      <c r="H84" s="41">
        <f t="shared" si="13"/>
        <v>0</v>
      </c>
      <c r="I84" s="12">
        <f t="shared" si="14"/>
        <v>1</v>
      </c>
      <c r="J84" s="9">
        <f t="shared" si="7"/>
        <v>0</v>
      </c>
      <c r="K84" s="9">
        <f t="shared" si="15"/>
        <v>0</v>
      </c>
    </row>
    <row r="85" spans="1:11">
      <c r="A85" s="8">
        <f t="shared" si="8"/>
        <v>46</v>
      </c>
      <c r="B85" s="20">
        <f t="shared" si="9"/>
        <v>1430</v>
      </c>
      <c r="C85" s="25">
        <f t="shared" si="10"/>
        <v>3.9178000000000002</v>
      </c>
      <c r="D85" s="10">
        <f t="shared" si="11"/>
        <v>1</v>
      </c>
      <c r="E85" s="11">
        <f t="shared" si="5"/>
        <v>0</v>
      </c>
      <c r="F85" s="9">
        <f t="shared" si="12"/>
        <v>0</v>
      </c>
      <c r="G85" s="36">
        <f t="shared" si="16"/>
        <v>0</v>
      </c>
      <c r="H85" s="41">
        <f t="shared" si="13"/>
        <v>0</v>
      </c>
      <c r="I85" s="12">
        <f t="shared" si="14"/>
        <v>1</v>
      </c>
      <c r="J85" s="9">
        <f t="shared" si="7"/>
        <v>0</v>
      </c>
      <c r="K85" s="9">
        <f t="shared" si="15"/>
        <v>0</v>
      </c>
    </row>
    <row r="86" spans="1:11">
      <c r="A86" s="8">
        <f t="shared" si="8"/>
        <v>47</v>
      </c>
      <c r="B86" s="20">
        <f t="shared" si="9"/>
        <v>1461</v>
      </c>
      <c r="C86" s="25">
        <f t="shared" si="10"/>
        <v>4.0026999999999999</v>
      </c>
      <c r="D86" s="10">
        <f t="shared" si="11"/>
        <v>1</v>
      </c>
      <c r="E86" s="11">
        <f t="shared" si="5"/>
        <v>0</v>
      </c>
      <c r="F86" s="9">
        <f t="shared" si="12"/>
        <v>0</v>
      </c>
      <c r="G86" s="36">
        <f t="shared" si="16"/>
        <v>0</v>
      </c>
      <c r="H86" s="41">
        <f t="shared" si="13"/>
        <v>0</v>
      </c>
      <c r="I86" s="12">
        <f t="shared" si="14"/>
        <v>1</v>
      </c>
      <c r="J86" s="9">
        <f t="shared" si="7"/>
        <v>0</v>
      </c>
      <c r="K86" s="9">
        <f t="shared" si="15"/>
        <v>0</v>
      </c>
    </row>
    <row r="87" spans="1:11">
      <c r="A87" s="8">
        <f t="shared" si="8"/>
        <v>48</v>
      </c>
      <c r="B87" s="20">
        <f t="shared" si="9"/>
        <v>1492</v>
      </c>
      <c r="C87" s="25">
        <f t="shared" si="10"/>
        <v>4.0876999999999999</v>
      </c>
      <c r="D87" s="10">
        <f t="shared" si="11"/>
        <v>1</v>
      </c>
      <c r="E87" s="11">
        <f t="shared" si="5"/>
        <v>0</v>
      </c>
      <c r="F87" s="9">
        <f t="shared" si="12"/>
        <v>0</v>
      </c>
      <c r="G87" s="36">
        <f t="shared" si="16"/>
        <v>0</v>
      </c>
      <c r="H87" s="41">
        <f t="shared" si="13"/>
        <v>0</v>
      </c>
      <c r="I87" s="12">
        <f t="shared" si="14"/>
        <v>1</v>
      </c>
      <c r="J87" s="9">
        <f t="shared" si="7"/>
        <v>0</v>
      </c>
      <c r="K87" s="9">
        <f t="shared" si="15"/>
        <v>0</v>
      </c>
    </row>
    <row r="88" spans="1:11">
      <c r="A88" s="8">
        <f t="shared" ref="A88:A102" si="17">A87+1</f>
        <v>49</v>
      </c>
      <c r="B88" s="20">
        <f t="shared" si="9"/>
        <v>1521</v>
      </c>
      <c r="C88" s="25">
        <f t="shared" si="10"/>
        <v>4.1670999999999996</v>
      </c>
      <c r="D88" s="10">
        <f t="shared" si="11"/>
        <v>1</v>
      </c>
      <c r="E88" s="11">
        <f t="shared" si="5"/>
        <v>0</v>
      </c>
      <c r="F88" s="9">
        <f t="shared" si="12"/>
        <v>0</v>
      </c>
      <c r="G88" s="36">
        <f t="shared" si="16"/>
        <v>0</v>
      </c>
      <c r="H88" s="41">
        <f t="shared" si="13"/>
        <v>0</v>
      </c>
      <c r="I88" s="12">
        <f t="shared" si="14"/>
        <v>1</v>
      </c>
      <c r="J88" s="9">
        <f t="shared" si="7"/>
        <v>0</v>
      </c>
      <c r="K88" s="9">
        <f t="shared" si="15"/>
        <v>0</v>
      </c>
    </row>
    <row r="89" spans="1:11">
      <c r="A89" s="8">
        <f t="shared" si="17"/>
        <v>50</v>
      </c>
      <c r="B89" s="20">
        <f t="shared" si="9"/>
        <v>1552</v>
      </c>
      <c r="C89" s="25">
        <f t="shared" si="10"/>
        <v>4.2521000000000004</v>
      </c>
      <c r="D89" s="10">
        <f t="shared" si="11"/>
        <v>1</v>
      </c>
      <c r="E89" s="11">
        <f t="shared" si="5"/>
        <v>0</v>
      </c>
      <c r="F89" s="9">
        <f t="shared" si="12"/>
        <v>0</v>
      </c>
      <c r="G89" s="36">
        <f t="shared" si="16"/>
        <v>0</v>
      </c>
      <c r="H89" s="41">
        <f t="shared" si="13"/>
        <v>0</v>
      </c>
      <c r="I89" s="12">
        <f t="shared" si="14"/>
        <v>1</v>
      </c>
      <c r="J89" s="9">
        <f t="shared" si="7"/>
        <v>0</v>
      </c>
      <c r="K89" s="9">
        <f t="shared" si="15"/>
        <v>0</v>
      </c>
    </row>
    <row r="90" spans="1:11">
      <c r="A90" s="8">
        <f t="shared" si="17"/>
        <v>51</v>
      </c>
      <c r="B90" s="20">
        <f t="shared" si="9"/>
        <v>1582</v>
      </c>
      <c r="C90" s="25">
        <f t="shared" si="10"/>
        <v>4.3342000000000001</v>
      </c>
      <c r="D90" s="10">
        <f t="shared" si="11"/>
        <v>1</v>
      </c>
      <c r="E90" s="11">
        <f t="shared" si="5"/>
        <v>0</v>
      </c>
      <c r="F90" s="9">
        <f t="shared" si="12"/>
        <v>0</v>
      </c>
      <c r="G90" s="36">
        <f t="shared" si="16"/>
        <v>0</v>
      </c>
      <c r="H90" s="41">
        <f t="shared" si="13"/>
        <v>0</v>
      </c>
      <c r="I90" s="12">
        <f t="shared" si="14"/>
        <v>1</v>
      </c>
      <c r="J90" s="9">
        <f t="shared" si="7"/>
        <v>0</v>
      </c>
      <c r="K90" s="9">
        <f t="shared" si="15"/>
        <v>0</v>
      </c>
    </row>
    <row r="91" spans="1:11">
      <c r="A91" s="8">
        <f t="shared" si="17"/>
        <v>52</v>
      </c>
      <c r="B91" s="20">
        <f t="shared" si="9"/>
        <v>1613</v>
      </c>
      <c r="C91" s="25">
        <f t="shared" si="10"/>
        <v>4.4192</v>
      </c>
      <c r="D91" s="10">
        <f t="shared" si="11"/>
        <v>1</v>
      </c>
      <c r="E91" s="11">
        <f t="shared" si="5"/>
        <v>0</v>
      </c>
      <c r="F91" s="9">
        <f t="shared" si="12"/>
        <v>0</v>
      </c>
      <c r="G91" s="36">
        <f t="shared" si="16"/>
        <v>0</v>
      </c>
      <c r="H91" s="41">
        <f t="shared" si="13"/>
        <v>0</v>
      </c>
      <c r="I91" s="12">
        <f t="shared" si="14"/>
        <v>1</v>
      </c>
      <c r="J91" s="9">
        <f t="shared" si="7"/>
        <v>0</v>
      </c>
      <c r="K91" s="9">
        <f t="shared" si="15"/>
        <v>0</v>
      </c>
    </row>
    <row r="92" spans="1:11">
      <c r="A92" s="8">
        <f t="shared" si="17"/>
        <v>53</v>
      </c>
      <c r="B92" s="20">
        <f t="shared" si="9"/>
        <v>1643</v>
      </c>
      <c r="C92" s="25">
        <f t="shared" si="10"/>
        <v>4.5014000000000003</v>
      </c>
      <c r="D92" s="10">
        <f t="shared" si="11"/>
        <v>1</v>
      </c>
      <c r="E92" s="11">
        <f t="shared" si="5"/>
        <v>0</v>
      </c>
      <c r="F92" s="9">
        <f t="shared" si="12"/>
        <v>0</v>
      </c>
      <c r="G92" s="36">
        <f t="shared" si="16"/>
        <v>0</v>
      </c>
      <c r="H92" s="41">
        <f t="shared" si="13"/>
        <v>0</v>
      </c>
      <c r="I92" s="12">
        <f t="shared" si="14"/>
        <v>1</v>
      </c>
      <c r="J92" s="9">
        <f t="shared" si="7"/>
        <v>0</v>
      </c>
      <c r="K92" s="9">
        <f t="shared" si="15"/>
        <v>0</v>
      </c>
    </row>
    <row r="93" spans="1:11">
      <c r="A93" s="8">
        <f t="shared" si="17"/>
        <v>54</v>
      </c>
      <c r="B93" s="20">
        <f t="shared" si="9"/>
        <v>1674</v>
      </c>
      <c r="C93" s="25">
        <f t="shared" si="10"/>
        <v>4.5862999999999996</v>
      </c>
      <c r="D93" s="10">
        <f t="shared" si="11"/>
        <v>1</v>
      </c>
      <c r="E93" s="11">
        <f t="shared" si="5"/>
        <v>0</v>
      </c>
      <c r="F93" s="9">
        <f t="shared" si="12"/>
        <v>0</v>
      </c>
      <c r="G93" s="36">
        <f t="shared" si="16"/>
        <v>0</v>
      </c>
      <c r="H93" s="41">
        <f t="shared" si="13"/>
        <v>0</v>
      </c>
      <c r="I93" s="12">
        <f t="shared" si="14"/>
        <v>1</v>
      </c>
      <c r="J93" s="9">
        <f t="shared" si="7"/>
        <v>0</v>
      </c>
      <c r="K93" s="9">
        <f t="shared" si="15"/>
        <v>0</v>
      </c>
    </row>
    <row r="94" spans="1:11">
      <c r="A94" s="8">
        <f t="shared" si="17"/>
        <v>55</v>
      </c>
      <c r="B94" s="20">
        <f t="shared" si="9"/>
        <v>1705</v>
      </c>
      <c r="C94" s="25">
        <f t="shared" si="10"/>
        <v>4.6711999999999998</v>
      </c>
      <c r="D94" s="10">
        <f t="shared" si="11"/>
        <v>1</v>
      </c>
      <c r="E94" s="11">
        <f t="shared" si="5"/>
        <v>0</v>
      </c>
      <c r="F94" s="9">
        <f t="shared" si="12"/>
        <v>0</v>
      </c>
      <c r="G94" s="36">
        <f t="shared" si="16"/>
        <v>0</v>
      </c>
      <c r="H94" s="41">
        <f t="shared" si="13"/>
        <v>0</v>
      </c>
      <c r="I94" s="12">
        <f t="shared" si="14"/>
        <v>1</v>
      </c>
      <c r="J94" s="9">
        <f t="shared" si="7"/>
        <v>0</v>
      </c>
      <c r="K94" s="9">
        <f t="shared" si="15"/>
        <v>0</v>
      </c>
    </row>
    <row r="95" spans="1:11">
      <c r="A95" s="8">
        <f t="shared" si="17"/>
        <v>56</v>
      </c>
      <c r="B95" s="20">
        <f t="shared" si="9"/>
        <v>1735</v>
      </c>
      <c r="C95" s="25">
        <f t="shared" si="10"/>
        <v>4.7534000000000001</v>
      </c>
      <c r="D95" s="10">
        <f t="shared" si="11"/>
        <v>1</v>
      </c>
      <c r="E95" s="11">
        <f t="shared" si="5"/>
        <v>0</v>
      </c>
      <c r="F95" s="9">
        <f t="shared" si="12"/>
        <v>0</v>
      </c>
      <c r="G95" s="36">
        <f t="shared" si="16"/>
        <v>0</v>
      </c>
      <c r="H95" s="41">
        <f t="shared" si="13"/>
        <v>0</v>
      </c>
      <c r="I95" s="12">
        <f t="shared" si="14"/>
        <v>1</v>
      </c>
      <c r="J95" s="9">
        <f t="shared" si="7"/>
        <v>0</v>
      </c>
      <c r="K95" s="9">
        <f t="shared" si="15"/>
        <v>0</v>
      </c>
    </row>
    <row r="96" spans="1:11">
      <c r="A96" s="8">
        <f t="shared" si="17"/>
        <v>57</v>
      </c>
      <c r="B96" s="20">
        <f t="shared" si="9"/>
        <v>1766</v>
      </c>
      <c r="C96" s="25">
        <f t="shared" si="10"/>
        <v>4.8384</v>
      </c>
      <c r="D96" s="10">
        <f t="shared" si="11"/>
        <v>1</v>
      </c>
      <c r="E96" s="11">
        <f t="shared" si="5"/>
        <v>0</v>
      </c>
      <c r="F96" s="9">
        <f t="shared" si="12"/>
        <v>0</v>
      </c>
      <c r="G96" s="36">
        <f t="shared" si="16"/>
        <v>0</v>
      </c>
      <c r="H96" s="41">
        <f t="shared" si="13"/>
        <v>0</v>
      </c>
      <c r="I96" s="12">
        <f t="shared" si="14"/>
        <v>1</v>
      </c>
      <c r="J96" s="9">
        <f t="shared" si="7"/>
        <v>0</v>
      </c>
      <c r="K96" s="9">
        <f t="shared" si="15"/>
        <v>0</v>
      </c>
    </row>
    <row r="97" spans="1:11">
      <c r="A97" s="8">
        <f t="shared" si="17"/>
        <v>58</v>
      </c>
      <c r="B97" s="20">
        <f t="shared" si="9"/>
        <v>1796</v>
      </c>
      <c r="C97" s="25">
        <f t="shared" si="10"/>
        <v>4.9204999999999997</v>
      </c>
      <c r="D97" s="10">
        <f t="shared" si="11"/>
        <v>1</v>
      </c>
      <c r="E97" s="11">
        <f t="shared" si="5"/>
        <v>0</v>
      </c>
      <c r="F97" s="9">
        <f t="shared" si="12"/>
        <v>0</v>
      </c>
      <c r="G97" s="36">
        <f t="shared" si="16"/>
        <v>0</v>
      </c>
      <c r="H97" s="41">
        <f t="shared" si="13"/>
        <v>0</v>
      </c>
      <c r="I97" s="12">
        <f t="shared" si="14"/>
        <v>1</v>
      </c>
      <c r="J97" s="9">
        <f t="shared" si="7"/>
        <v>0</v>
      </c>
      <c r="K97" s="9">
        <f t="shared" si="15"/>
        <v>0</v>
      </c>
    </row>
    <row r="98" spans="1:11">
      <c r="A98" s="8">
        <f t="shared" si="17"/>
        <v>59</v>
      </c>
      <c r="B98" s="20">
        <f t="shared" si="9"/>
        <v>1827</v>
      </c>
      <c r="C98" s="25">
        <f t="shared" si="10"/>
        <v>5.0054999999999996</v>
      </c>
      <c r="D98" s="10">
        <f t="shared" si="11"/>
        <v>1</v>
      </c>
      <c r="E98" s="11">
        <f t="shared" si="5"/>
        <v>0</v>
      </c>
      <c r="F98" s="9">
        <f t="shared" si="12"/>
        <v>0</v>
      </c>
      <c r="G98" s="36">
        <f t="shared" si="16"/>
        <v>0</v>
      </c>
      <c r="H98" s="41">
        <f t="shared" si="13"/>
        <v>0</v>
      </c>
      <c r="I98" s="12">
        <f t="shared" si="14"/>
        <v>1</v>
      </c>
      <c r="J98" s="9">
        <f t="shared" si="7"/>
        <v>0</v>
      </c>
      <c r="K98" s="9">
        <f t="shared" si="15"/>
        <v>0</v>
      </c>
    </row>
    <row r="99" spans="1:11">
      <c r="A99" s="8">
        <f t="shared" si="17"/>
        <v>60</v>
      </c>
      <c r="B99" s="20">
        <f t="shared" si="9"/>
        <v>1858</v>
      </c>
      <c r="C99" s="25">
        <f t="shared" si="10"/>
        <v>5.0903999999999998</v>
      </c>
      <c r="D99" s="10">
        <f t="shared" si="11"/>
        <v>1</v>
      </c>
      <c r="E99" s="11">
        <f t="shared" si="5"/>
        <v>0</v>
      </c>
      <c r="F99" s="9">
        <f t="shared" si="12"/>
        <v>0</v>
      </c>
      <c r="G99" s="36">
        <f t="shared" si="16"/>
        <v>0</v>
      </c>
      <c r="H99" s="41">
        <f t="shared" si="13"/>
        <v>0</v>
      </c>
      <c r="I99" s="12">
        <f t="shared" si="14"/>
        <v>1</v>
      </c>
      <c r="J99" s="9">
        <f t="shared" si="7"/>
        <v>0</v>
      </c>
      <c r="K99" s="9">
        <f t="shared" si="15"/>
        <v>0</v>
      </c>
    </row>
    <row r="100" spans="1:11">
      <c r="A100" s="8">
        <f t="shared" si="17"/>
        <v>61</v>
      </c>
      <c r="B100" s="20">
        <f t="shared" si="9"/>
        <v>1886</v>
      </c>
      <c r="C100" s="25">
        <f t="shared" si="10"/>
        <v>5.1670999999999996</v>
      </c>
      <c r="D100" s="10">
        <f t="shared" si="11"/>
        <v>1</v>
      </c>
      <c r="E100" s="11">
        <f t="shared" si="5"/>
        <v>0</v>
      </c>
      <c r="F100" s="9">
        <f t="shared" si="12"/>
        <v>0</v>
      </c>
      <c r="G100" s="36">
        <f t="shared" si="16"/>
        <v>0</v>
      </c>
      <c r="H100" s="41">
        <f t="shared" si="13"/>
        <v>0</v>
      </c>
      <c r="I100" s="12">
        <f t="shared" si="14"/>
        <v>1</v>
      </c>
      <c r="J100" s="9">
        <f t="shared" si="7"/>
        <v>0</v>
      </c>
      <c r="K100" s="9">
        <f t="shared" si="15"/>
        <v>0</v>
      </c>
    </row>
    <row r="101" spans="1:11">
      <c r="A101" s="8">
        <f t="shared" si="17"/>
        <v>62</v>
      </c>
      <c r="B101" s="20">
        <f t="shared" si="9"/>
        <v>1917</v>
      </c>
      <c r="C101" s="25">
        <f t="shared" si="10"/>
        <v>5.2521000000000004</v>
      </c>
      <c r="D101" s="10">
        <f t="shared" si="11"/>
        <v>1</v>
      </c>
      <c r="E101" s="11">
        <f t="shared" si="5"/>
        <v>0</v>
      </c>
      <c r="F101" s="9">
        <f t="shared" si="12"/>
        <v>0</v>
      </c>
      <c r="G101" s="36">
        <f t="shared" si="16"/>
        <v>0</v>
      </c>
      <c r="H101" s="41">
        <f t="shared" si="13"/>
        <v>0</v>
      </c>
      <c r="I101" s="12">
        <f t="shared" si="14"/>
        <v>1</v>
      </c>
      <c r="J101" s="9">
        <f t="shared" si="7"/>
        <v>0</v>
      </c>
      <c r="K101" s="9">
        <f t="shared" si="15"/>
        <v>0</v>
      </c>
    </row>
    <row r="102" spans="1:11">
      <c r="A102" s="8">
        <f t="shared" si="17"/>
        <v>63</v>
      </c>
      <c r="B102" s="20">
        <f t="shared" si="9"/>
        <v>1947</v>
      </c>
      <c r="C102" s="25">
        <f t="shared" si="10"/>
        <v>5.3342000000000001</v>
      </c>
      <c r="D102" s="10">
        <f t="shared" si="11"/>
        <v>1</v>
      </c>
      <c r="E102" s="11">
        <f t="shared" si="5"/>
        <v>0</v>
      </c>
      <c r="F102" s="9">
        <f t="shared" si="12"/>
        <v>0</v>
      </c>
      <c r="G102" s="36">
        <f t="shared" si="16"/>
        <v>0</v>
      </c>
      <c r="H102" s="41">
        <f t="shared" si="13"/>
        <v>0</v>
      </c>
      <c r="I102" s="12">
        <f t="shared" si="14"/>
        <v>1</v>
      </c>
      <c r="J102" s="9">
        <f t="shared" si="7"/>
        <v>0</v>
      </c>
      <c r="K102" s="9">
        <f t="shared" si="15"/>
        <v>0</v>
      </c>
    </row>
  </sheetData>
  <mergeCells count="3">
    <mergeCell ref="A19:F19"/>
    <mergeCell ref="A23:M23"/>
    <mergeCell ref="E25:G2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4A47-5DD4-4497-9576-146F54F76627}">
  <sheetPr>
    <tabColor rgb="FF92D050"/>
  </sheetPr>
  <dimension ref="A1:F2"/>
  <sheetViews>
    <sheetView workbookViewId="0">
      <selection activeCell="D23" sqref="D23"/>
    </sheetView>
  </sheetViews>
  <sheetFormatPr defaultRowHeight="15"/>
  <cols>
    <col min="1" max="1" width="11.7109375" bestFit="1" customWidth="1"/>
    <col min="2" max="2" width="15.42578125" bestFit="1" customWidth="1"/>
    <col min="3" max="3" width="12.5703125" bestFit="1" customWidth="1"/>
    <col min="4" max="4" width="22.5703125" bestFit="1" customWidth="1"/>
    <col min="5" max="5" width="8.140625" bestFit="1" customWidth="1"/>
    <col min="6" max="6" width="10.85546875" bestFit="1" customWidth="1"/>
  </cols>
  <sheetData>
    <row r="1" spans="1:6">
      <c r="A1" s="19" t="s">
        <v>59</v>
      </c>
      <c r="B1" s="19" t="s">
        <v>63</v>
      </c>
      <c r="C1" s="19" t="s">
        <v>61</v>
      </c>
      <c r="D1" s="19" t="s">
        <v>67</v>
      </c>
      <c r="E1" s="19" t="s">
        <v>65</v>
      </c>
      <c r="F1" s="19" t="s">
        <v>62</v>
      </c>
    </row>
    <row r="2" spans="1:6">
      <c r="A2" s="3" t="str">
        <f>Calculation!A21</f>
        <v/>
      </c>
      <c r="B2" s="3" t="str">
        <f>Calculation!B21</f>
        <v/>
      </c>
      <c r="C2" s="40" t="str">
        <f>Calculation!C21</f>
        <v/>
      </c>
      <c r="D2" s="3" t="str">
        <f>Calculation!D21</f>
        <v/>
      </c>
      <c r="E2" s="17" t="str">
        <f>Calculation!E21</f>
        <v/>
      </c>
      <c r="F2" s="23" t="str">
        <f>Calculation!F21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2F32-C644-4A8F-81D7-110A8E808373}">
  <sheetPr>
    <tabColor rgb="FFFFC000"/>
  </sheetPr>
  <dimension ref="A1:X21"/>
  <sheetViews>
    <sheetView workbookViewId="0">
      <selection activeCell="N19" sqref="N19"/>
    </sheetView>
  </sheetViews>
  <sheetFormatPr defaultRowHeight="15"/>
  <cols>
    <col min="1" max="1" width="14.85546875" bestFit="1" customWidth="1"/>
    <col min="2" max="2" width="11.140625" bestFit="1" customWidth="1"/>
    <col min="3" max="3" width="8.42578125" bestFit="1" customWidth="1"/>
    <col min="4" max="4" width="9.7109375" bestFit="1" customWidth="1"/>
    <col min="20" max="20" width="28" customWidth="1"/>
  </cols>
  <sheetData>
    <row r="1" spans="1:24">
      <c r="A1" s="24" t="s">
        <v>10</v>
      </c>
      <c r="B1" s="24" t="s">
        <v>11</v>
      </c>
      <c r="C1" s="24" t="s">
        <v>12</v>
      </c>
      <c r="D1" s="24" t="s">
        <v>13</v>
      </c>
      <c r="E1" s="24" t="s">
        <v>14</v>
      </c>
      <c r="F1" s="24" t="s">
        <v>15</v>
      </c>
      <c r="G1" s="24" t="s">
        <v>16</v>
      </c>
      <c r="H1" s="24" t="s">
        <v>44</v>
      </c>
      <c r="I1" s="24" t="s">
        <v>45</v>
      </c>
      <c r="J1" s="24" t="s">
        <v>46</v>
      </c>
      <c r="K1" s="24" t="s">
        <v>17</v>
      </c>
      <c r="L1" s="24" t="s">
        <v>18</v>
      </c>
      <c r="M1" s="24" t="s">
        <v>19</v>
      </c>
      <c r="N1" s="24" t="s">
        <v>20</v>
      </c>
      <c r="O1" s="24" t="s">
        <v>21</v>
      </c>
      <c r="P1" s="24" t="s">
        <v>22</v>
      </c>
      <c r="Q1" s="24" t="s">
        <v>23</v>
      </c>
      <c r="R1" s="24" t="s">
        <v>24</v>
      </c>
      <c r="S1" s="24" t="s">
        <v>25</v>
      </c>
      <c r="T1" s="24" t="s">
        <v>26</v>
      </c>
      <c r="U1" s="24" t="s">
        <v>1</v>
      </c>
      <c r="V1" s="24" t="s">
        <v>27</v>
      </c>
      <c r="W1" s="24" t="s">
        <v>28</v>
      </c>
      <c r="X1" s="24" t="s">
        <v>29</v>
      </c>
    </row>
    <row r="2" spans="1:24">
      <c r="A2" s="9" t="s">
        <v>37</v>
      </c>
      <c r="B2" s="9" t="s">
        <v>30</v>
      </c>
      <c r="C2" s="9">
        <v>4.4999999999999998E-2</v>
      </c>
      <c r="D2" s="20">
        <v>44197</v>
      </c>
      <c r="E2" s="20">
        <v>46023</v>
      </c>
      <c r="F2" s="44" t="s">
        <v>3</v>
      </c>
      <c r="G2" s="44" t="s">
        <v>3</v>
      </c>
      <c r="H2" s="9">
        <v>500000</v>
      </c>
      <c r="I2" s="9">
        <v>300000</v>
      </c>
      <c r="J2" s="9">
        <v>200000</v>
      </c>
      <c r="K2" s="44">
        <v>0</v>
      </c>
      <c r="L2" s="9">
        <v>93</v>
      </c>
      <c r="M2" s="9">
        <v>3</v>
      </c>
      <c r="N2" s="9">
        <v>0.25479452054794521</v>
      </c>
      <c r="O2" s="9">
        <v>0.99439999999999995</v>
      </c>
      <c r="P2" s="9">
        <v>1</v>
      </c>
      <c r="Q2" s="9">
        <v>1</v>
      </c>
      <c r="R2" s="9">
        <v>0</v>
      </c>
      <c r="S2" s="9">
        <v>129999.99999999999</v>
      </c>
      <c r="T2" s="9" t="s">
        <v>72</v>
      </c>
      <c r="U2" s="9">
        <v>5.0000000000000001E-3</v>
      </c>
      <c r="V2" s="9">
        <v>1.2763529584627342E-3</v>
      </c>
      <c r="W2" s="9">
        <v>0.56666666666666665</v>
      </c>
      <c r="X2" s="9">
        <v>216.9800029386648</v>
      </c>
    </row>
    <row r="3" spans="1:24">
      <c r="A3" s="9" t="s">
        <v>38</v>
      </c>
      <c r="B3" s="9" t="s">
        <v>31</v>
      </c>
      <c r="C3" s="9">
        <v>0.06</v>
      </c>
      <c r="D3" s="20">
        <v>44621</v>
      </c>
      <c r="E3" s="20">
        <v>46447</v>
      </c>
      <c r="F3" s="44" t="s">
        <v>5</v>
      </c>
      <c r="G3" s="44" t="s">
        <v>5</v>
      </c>
      <c r="H3" s="9">
        <v>750000</v>
      </c>
      <c r="I3" s="9">
        <v>750000</v>
      </c>
      <c r="J3" s="9">
        <v>300000</v>
      </c>
      <c r="K3" s="44">
        <v>25</v>
      </c>
      <c r="L3" s="9">
        <v>517</v>
      </c>
      <c r="M3" s="9">
        <v>17</v>
      </c>
      <c r="N3" s="9">
        <v>1.4164383561643836</v>
      </c>
      <c r="O3" s="9">
        <v>0.96040000000000003</v>
      </c>
      <c r="P3" s="9">
        <v>2</v>
      </c>
      <c r="Q3" s="9">
        <v>2</v>
      </c>
      <c r="R3" s="9">
        <v>0</v>
      </c>
      <c r="S3" s="9">
        <v>194999.99999999997</v>
      </c>
      <c r="T3" s="9" t="s">
        <v>72</v>
      </c>
      <c r="U3" s="9">
        <v>0.03</v>
      </c>
      <c r="V3" s="9">
        <v>0.03</v>
      </c>
      <c r="W3" s="9">
        <v>0.74</v>
      </c>
      <c r="X3" s="9">
        <v>16650</v>
      </c>
    </row>
    <row r="4" spans="1:24">
      <c r="A4" s="9" t="s">
        <v>39</v>
      </c>
      <c r="B4" s="9" t="s">
        <v>32</v>
      </c>
      <c r="C4" s="9">
        <v>5.2000000000000005E-2</v>
      </c>
      <c r="D4" s="20">
        <v>43983</v>
      </c>
      <c r="E4" s="20">
        <v>45809</v>
      </c>
      <c r="F4" s="44" t="s">
        <v>3</v>
      </c>
      <c r="G4" s="44" t="s">
        <v>5</v>
      </c>
      <c r="H4" s="9">
        <v>250000</v>
      </c>
      <c r="I4" s="9">
        <v>100000</v>
      </c>
      <c r="J4" s="9">
        <v>80000</v>
      </c>
      <c r="K4" s="44">
        <v>40</v>
      </c>
      <c r="L4" s="9">
        <v>0</v>
      </c>
      <c r="M4" s="9">
        <v>0</v>
      </c>
      <c r="N4" s="9">
        <v>0</v>
      </c>
      <c r="O4" s="9">
        <v>1</v>
      </c>
      <c r="P4" s="9">
        <v>1</v>
      </c>
      <c r="Q4" s="9">
        <v>2</v>
      </c>
      <c r="R4" s="9">
        <v>1</v>
      </c>
      <c r="S4" s="9">
        <v>51999.999999999993</v>
      </c>
      <c r="T4" s="9" t="s">
        <v>73</v>
      </c>
      <c r="U4" s="9">
        <v>0.03</v>
      </c>
      <c r="V4" s="9">
        <v>0.03</v>
      </c>
      <c r="W4" s="9">
        <v>0.48000000000000009</v>
      </c>
      <c r="X4" s="9">
        <v>1440.0000000000002</v>
      </c>
    </row>
    <row r="5" spans="1:24">
      <c r="A5" s="9" t="s">
        <v>40</v>
      </c>
      <c r="B5" s="9" t="s">
        <v>33</v>
      </c>
      <c r="C5" s="9">
        <v>7.0000000000000007E-2</v>
      </c>
      <c r="D5" s="20">
        <v>43466</v>
      </c>
      <c r="E5" s="20">
        <v>45292</v>
      </c>
      <c r="F5" s="44" t="s">
        <v>5</v>
      </c>
      <c r="G5" s="44" t="s">
        <v>7</v>
      </c>
      <c r="H5" s="9">
        <v>2000000</v>
      </c>
      <c r="I5" s="9">
        <v>1000000</v>
      </c>
      <c r="J5" s="9">
        <v>400000</v>
      </c>
      <c r="K5" s="44">
        <v>65</v>
      </c>
      <c r="L5" s="9">
        <v>0</v>
      </c>
      <c r="M5" s="9">
        <v>0</v>
      </c>
      <c r="N5" s="9">
        <v>0</v>
      </c>
      <c r="O5" s="9">
        <v>1</v>
      </c>
      <c r="P5" s="9">
        <v>2</v>
      </c>
      <c r="Q5" s="9">
        <v>3</v>
      </c>
      <c r="R5" s="9">
        <v>1</v>
      </c>
      <c r="S5" s="9">
        <v>259999.99999999997</v>
      </c>
      <c r="T5" s="9" t="s">
        <v>73</v>
      </c>
      <c r="U5" s="9">
        <v>0.1</v>
      </c>
      <c r="V5" s="9">
        <v>0.1</v>
      </c>
      <c r="W5" s="9">
        <v>0.74</v>
      </c>
      <c r="X5" s="9">
        <v>74000</v>
      </c>
    </row>
    <row r="6" spans="1:24">
      <c r="A6" s="9" t="s">
        <v>41</v>
      </c>
      <c r="B6" s="9" t="s">
        <v>34</v>
      </c>
      <c r="C6" s="9">
        <v>0.04</v>
      </c>
      <c r="D6" s="20">
        <v>45047</v>
      </c>
      <c r="E6" s="20">
        <v>46874</v>
      </c>
      <c r="F6" s="44" t="s">
        <v>3</v>
      </c>
      <c r="G6" s="44" t="s">
        <v>3</v>
      </c>
      <c r="H6" s="9">
        <v>150000</v>
      </c>
      <c r="I6" s="9">
        <v>135000</v>
      </c>
      <c r="J6" s="9">
        <v>70000</v>
      </c>
      <c r="K6" s="44">
        <v>0</v>
      </c>
      <c r="L6" s="9">
        <v>944</v>
      </c>
      <c r="M6" s="9">
        <v>31</v>
      </c>
      <c r="N6" s="9">
        <v>2.5863013698630137</v>
      </c>
      <c r="O6" s="9">
        <v>0.95179999999999998</v>
      </c>
      <c r="P6" s="9">
        <v>1</v>
      </c>
      <c r="Q6" s="9">
        <v>1</v>
      </c>
      <c r="R6" s="9">
        <v>0</v>
      </c>
      <c r="S6" s="9">
        <v>45499.999999999993</v>
      </c>
      <c r="T6" s="9" t="s">
        <v>72</v>
      </c>
      <c r="U6" s="9">
        <v>5.0000000000000001E-3</v>
      </c>
      <c r="V6" s="9">
        <v>5.0000000000000001E-3</v>
      </c>
      <c r="W6" s="9">
        <v>0.66296296296296298</v>
      </c>
      <c r="X6" s="9">
        <v>447.5</v>
      </c>
    </row>
    <row r="7" spans="1:24">
      <c r="A7" s="9" t="s">
        <v>42</v>
      </c>
      <c r="B7" s="9" t="s">
        <v>35</v>
      </c>
      <c r="C7" s="9">
        <v>0.08</v>
      </c>
      <c r="D7" s="20">
        <v>44075</v>
      </c>
      <c r="E7" s="20">
        <v>45901</v>
      </c>
      <c r="F7" s="44" t="s">
        <v>7</v>
      </c>
      <c r="G7" s="44" t="s">
        <v>9</v>
      </c>
      <c r="H7" s="9">
        <v>800000</v>
      </c>
      <c r="I7" s="9">
        <v>600000</v>
      </c>
      <c r="J7" s="9">
        <v>200000</v>
      </c>
      <c r="K7" s="44">
        <v>120</v>
      </c>
      <c r="L7" s="9">
        <v>0</v>
      </c>
      <c r="M7" s="9">
        <v>0</v>
      </c>
      <c r="N7" s="9">
        <v>0</v>
      </c>
      <c r="O7" s="9">
        <v>1</v>
      </c>
      <c r="P7" s="9">
        <v>3</v>
      </c>
      <c r="Q7" s="9">
        <v>4</v>
      </c>
      <c r="R7" s="9">
        <v>1</v>
      </c>
      <c r="S7" s="9">
        <v>129999.99999999999</v>
      </c>
      <c r="T7" s="9" t="s">
        <v>74</v>
      </c>
      <c r="U7" s="9">
        <v>1</v>
      </c>
      <c r="V7" s="9">
        <v>1</v>
      </c>
      <c r="W7" s="9">
        <v>0.78333333333333333</v>
      </c>
      <c r="X7" s="9">
        <v>470000</v>
      </c>
    </row>
    <row r="8" spans="1:24">
      <c r="A8" s="9" t="s">
        <v>43</v>
      </c>
      <c r="B8" s="9" t="s">
        <v>36</v>
      </c>
      <c r="C8" s="9">
        <v>5.5E-2</v>
      </c>
      <c r="D8" s="20">
        <v>43191</v>
      </c>
      <c r="E8" s="20">
        <v>45017</v>
      </c>
      <c r="F8" s="44" t="s">
        <v>5</v>
      </c>
      <c r="G8" s="44" t="s">
        <v>9</v>
      </c>
      <c r="H8" s="9">
        <v>400000</v>
      </c>
      <c r="I8" s="9">
        <v>50000</v>
      </c>
      <c r="J8" s="9">
        <v>30000</v>
      </c>
      <c r="K8" s="44">
        <v>95</v>
      </c>
      <c r="L8" s="9">
        <v>0</v>
      </c>
      <c r="M8" s="9">
        <v>0</v>
      </c>
      <c r="N8" s="9">
        <v>0</v>
      </c>
      <c r="O8" s="9">
        <v>1</v>
      </c>
      <c r="P8" s="9">
        <v>2</v>
      </c>
      <c r="Q8" s="9">
        <v>4</v>
      </c>
      <c r="R8" s="9">
        <v>2</v>
      </c>
      <c r="S8" s="9">
        <v>19499.999999999996</v>
      </c>
      <c r="T8" s="9" t="s">
        <v>74</v>
      </c>
      <c r="U8" s="9">
        <v>1</v>
      </c>
      <c r="V8" s="9">
        <v>1</v>
      </c>
      <c r="W8" s="9">
        <v>0.6100000000000001</v>
      </c>
      <c r="X8" s="9">
        <v>30500.000000000004</v>
      </c>
    </row>
    <row r="9" spans="1:24">
      <c r="F9" s="45"/>
      <c r="G9" s="45"/>
      <c r="K9" s="45"/>
    </row>
    <row r="13" spans="1:24">
      <c r="A13" s="13" t="s">
        <v>48</v>
      </c>
      <c r="B13" s="2" t="s">
        <v>70</v>
      </c>
      <c r="C13" s="2" t="s">
        <v>0</v>
      </c>
      <c r="D13" s="2" t="s">
        <v>71</v>
      </c>
    </row>
    <row r="14" spans="1:24">
      <c r="A14" s="3">
        <v>45930</v>
      </c>
      <c r="B14" s="1" t="s">
        <v>2</v>
      </c>
      <c r="C14" s="1" t="s">
        <v>3</v>
      </c>
      <c r="D14" s="18">
        <v>5.0000000000000001E-3</v>
      </c>
    </row>
    <row r="15" spans="1:24">
      <c r="A15" s="3">
        <v>45930</v>
      </c>
      <c r="B15" s="1" t="s">
        <v>4</v>
      </c>
      <c r="C15" s="1" t="s">
        <v>5</v>
      </c>
      <c r="D15" s="18">
        <v>0.03</v>
      </c>
    </row>
    <row r="16" spans="1:24">
      <c r="A16" s="3">
        <v>45930</v>
      </c>
      <c r="B16" s="1" t="s">
        <v>6</v>
      </c>
      <c r="C16" s="1" t="s">
        <v>7</v>
      </c>
      <c r="D16" s="18">
        <v>0.1</v>
      </c>
    </row>
    <row r="17" spans="1:4">
      <c r="A17" s="3">
        <v>45930</v>
      </c>
      <c r="B17" s="1" t="s">
        <v>8</v>
      </c>
      <c r="C17" s="1" t="s">
        <v>9</v>
      </c>
      <c r="D17" s="18">
        <v>1</v>
      </c>
    </row>
    <row r="20" spans="1:4">
      <c r="A20" s="13" t="s">
        <v>47</v>
      </c>
      <c r="B20" s="14" t="s">
        <v>68</v>
      </c>
      <c r="C20" s="14" t="s">
        <v>69</v>
      </c>
    </row>
    <row r="21" spans="1:4">
      <c r="A21" s="3">
        <v>45930</v>
      </c>
      <c r="B21" s="16">
        <v>0.3</v>
      </c>
      <c r="C21" s="16">
        <v>0.05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8303-8885-4EFD-8B8B-E737B26B0BCC}">
  <dimension ref="A1:L25"/>
  <sheetViews>
    <sheetView topLeftCell="B1" workbookViewId="0">
      <selection activeCell="C22" sqref="C22"/>
    </sheetView>
  </sheetViews>
  <sheetFormatPr defaultRowHeight="15"/>
  <cols>
    <col min="1" max="1" width="25.42578125" customWidth="1"/>
    <col min="2" max="2" width="29.5703125" customWidth="1"/>
    <col min="3" max="3" width="39.28515625" customWidth="1"/>
    <col min="4" max="4" width="33" customWidth="1"/>
    <col min="5" max="5" width="25.85546875" customWidth="1"/>
    <col min="6" max="6" width="29.140625" customWidth="1"/>
    <col min="7" max="7" width="29.5703125" customWidth="1"/>
    <col min="10" max="10" width="28.42578125" customWidth="1"/>
  </cols>
  <sheetData>
    <row r="1" spans="1:12">
      <c r="A1" s="2" t="s">
        <v>78</v>
      </c>
      <c r="B1" s="2" t="s">
        <v>79</v>
      </c>
      <c r="C1" s="2" t="s">
        <v>80</v>
      </c>
    </row>
    <row r="2" spans="1:12">
      <c r="A2" s="28" t="s">
        <v>10</v>
      </c>
      <c r="B2" s="28" t="s">
        <v>37</v>
      </c>
      <c r="C2" s="28" t="s">
        <v>81</v>
      </c>
      <c r="F2" s="24" t="s">
        <v>10</v>
      </c>
      <c r="G2" s="9" t="s">
        <v>37</v>
      </c>
    </row>
    <row r="3" spans="1:12">
      <c r="A3" s="28" t="s">
        <v>13</v>
      </c>
      <c r="B3" s="29">
        <v>44197</v>
      </c>
      <c r="C3" s="28" t="s">
        <v>82</v>
      </c>
      <c r="F3" s="24" t="s">
        <v>11</v>
      </c>
      <c r="G3" s="9" t="s">
        <v>30</v>
      </c>
    </row>
    <row r="4" spans="1:12">
      <c r="A4" s="28" t="s">
        <v>14</v>
      </c>
      <c r="B4" s="29">
        <v>46023</v>
      </c>
      <c r="C4" s="28" t="s">
        <v>82</v>
      </c>
      <c r="F4" s="24" t="s">
        <v>12</v>
      </c>
      <c r="G4" s="9">
        <v>4.4999999999999998E-2</v>
      </c>
    </row>
    <row r="5" spans="1:12">
      <c r="A5" s="28" t="s">
        <v>83</v>
      </c>
      <c r="B5" s="29">
        <v>45930</v>
      </c>
      <c r="C5" s="28" t="s">
        <v>84</v>
      </c>
      <c r="F5" s="24" t="s">
        <v>13</v>
      </c>
      <c r="G5" s="20">
        <v>44197</v>
      </c>
      <c r="J5" s="2" t="s">
        <v>131</v>
      </c>
      <c r="K5" s="2" t="s">
        <v>114</v>
      </c>
      <c r="L5" s="2" t="s">
        <v>76</v>
      </c>
    </row>
    <row r="6" spans="1:12">
      <c r="A6" s="28" t="s">
        <v>85</v>
      </c>
      <c r="B6" s="28">
        <v>4.4999999999999998E-2</v>
      </c>
      <c r="C6" s="28" t="s">
        <v>86</v>
      </c>
      <c r="F6" s="24" t="s">
        <v>14</v>
      </c>
      <c r="G6" s="20">
        <v>46023</v>
      </c>
      <c r="J6" s="1" t="s">
        <v>115</v>
      </c>
      <c r="K6" s="33">
        <f>ROUND($B$7 * (1 - (1 - $B$14) ^ 1) * F20,4)</f>
        <v>850.05</v>
      </c>
      <c r="L6" s="1" t="s">
        <v>116</v>
      </c>
    </row>
    <row r="7" spans="1:12">
      <c r="A7" s="28" t="s">
        <v>45</v>
      </c>
      <c r="B7" s="28">
        <v>300000</v>
      </c>
      <c r="C7" s="28" t="s">
        <v>87</v>
      </c>
      <c r="F7" s="24" t="s">
        <v>15</v>
      </c>
      <c r="G7" s="9" t="s">
        <v>3</v>
      </c>
      <c r="J7" s="1" t="s">
        <v>117</v>
      </c>
      <c r="K7" s="33">
        <f>ROUND(SUM(I20:I43),4)</f>
        <v>425.59350000000001</v>
      </c>
      <c r="L7" s="1" t="s">
        <v>118</v>
      </c>
    </row>
    <row r="8" spans="1:12">
      <c r="A8" s="28" t="s">
        <v>46</v>
      </c>
      <c r="B8" s="28">
        <v>200000</v>
      </c>
      <c r="C8" s="28" t="s">
        <v>88</v>
      </c>
      <c r="F8" s="24" t="s">
        <v>16</v>
      </c>
      <c r="G8" s="9" t="s">
        <v>3</v>
      </c>
      <c r="J8" s="1" t="s">
        <v>119</v>
      </c>
      <c r="K8" s="33">
        <f>IF(B18="Stage 1",K6, K7)</f>
        <v>850.05</v>
      </c>
      <c r="L8" s="1" t="s">
        <v>120</v>
      </c>
    </row>
    <row r="9" spans="1:12">
      <c r="A9" s="28" t="s">
        <v>89</v>
      </c>
      <c r="B9" s="28">
        <v>0.3</v>
      </c>
      <c r="C9" s="28" t="s">
        <v>90</v>
      </c>
      <c r="F9" s="24" t="s">
        <v>44</v>
      </c>
      <c r="G9" s="9">
        <v>500000</v>
      </c>
    </row>
    <row r="10" spans="1:12">
      <c r="A10" s="28" t="s">
        <v>91</v>
      </c>
      <c r="B10" s="28">
        <v>0.05</v>
      </c>
      <c r="C10" s="28" t="s">
        <v>92</v>
      </c>
      <c r="F10" s="24" t="s">
        <v>45</v>
      </c>
      <c r="G10" s="9">
        <v>300000</v>
      </c>
    </row>
    <row r="11" spans="1:12">
      <c r="A11" s="28" t="s">
        <v>17</v>
      </c>
      <c r="B11" s="28">
        <v>0</v>
      </c>
      <c r="C11" s="28" t="s">
        <v>93</v>
      </c>
      <c r="F11" s="24" t="s">
        <v>46</v>
      </c>
      <c r="G11" s="9">
        <v>200000</v>
      </c>
    </row>
    <row r="12" spans="1:12">
      <c r="A12" s="28" t="s">
        <v>15</v>
      </c>
      <c r="B12" s="28" t="s">
        <v>3</v>
      </c>
      <c r="C12" s="28" t="s">
        <v>94</v>
      </c>
      <c r="F12" s="24" t="s">
        <v>17</v>
      </c>
      <c r="G12" s="9">
        <v>0</v>
      </c>
    </row>
    <row r="13" spans="1:12">
      <c r="A13" s="28" t="s">
        <v>95</v>
      </c>
      <c r="B13" s="28" t="s">
        <v>3</v>
      </c>
      <c r="C13" s="28" t="s">
        <v>94</v>
      </c>
    </row>
    <row r="14" spans="1:12">
      <c r="A14" s="28" t="s">
        <v>96</v>
      </c>
      <c r="B14" s="28">
        <v>5.0000000000000001E-3</v>
      </c>
      <c r="C14" s="28" t="s">
        <v>97</v>
      </c>
    </row>
    <row r="15" spans="1:12" ht="30">
      <c r="A15" s="27" t="s">
        <v>99</v>
      </c>
      <c r="B15" s="30">
        <f>IF(B12="Low",1,IF(B12="Medium",2,IF(B12="High",3,4)))</f>
        <v>1</v>
      </c>
      <c r="C15" s="27" t="s">
        <v>100</v>
      </c>
      <c r="D15" s="13" t="s">
        <v>98</v>
      </c>
    </row>
    <row r="16" spans="1:12" ht="30">
      <c r="A16" s="27" t="s">
        <v>101</v>
      </c>
      <c r="B16" s="30">
        <f>IF(B13="Low",1,IF(B13="Medium",2,IF(B13="High",3,4)))</f>
        <v>1</v>
      </c>
      <c r="C16" s="27" t="s">
        <v>102</v>
      </c>
    </row>
    <row r="17" spans="1:9">
      <c r="A17" s="27" t="s">
        <v>103</v>
      </c>
      <c r="B17" s="30">
        <f>B16 - B15</f>
        <v>0</v>
      </c>
      <c r="C17" s="27" t="s">
        <v>104</v>
      </c>
      <c r="D17" s="26"/>
      <c r="E17" s="26"/>
      <c r="F17" s="26"/>
    </row>
    <row r="18" spans="1:9" ht="30">
      <c r="A18" s="27" t="s">
        <v>26</v>
      </c>
      <c r="B18" s="30" t="str">
        <f>IF(AND(B11&lt;31,B17&lt;2),"Stage 1",IF(AND(B11&lt;91,B17&lt;3),"Stage 2","Stage 3"))</f>
        <v>Stage 1</v>
      </c>
      <c r="C18" s="27" t="s">
        <v>105</v>
      </c>
      <c r="D18" s="13" t="s">
        <v>121</v>
      </c>
    </row>
    <row r="19" spans="1:9" ht="60">
      <c r="A19" s="31" t="s">
        <v>106</v>
      </c>
      <c r="B19" s="31" t="s">
        <v>107</v>
      </c>
      <c r="C19" s="31" t="s">
        <v>20</v>
      </c>
      <c r="D19" s="27" t="s">
        <v>108</v>
      </c>
      <c r="E19" s="14" t="s">
        <v>109</v>
      </c>
      <c r="F19" s="31" t="s">
        <v>110</v>
      </c>
      <c r="G19" s="31" t="s">
        <v>111</v>
      </c>
      <c r="H19" s="31" t="s">
        <v>112</v>
      </c>
      <c r="I19" s="31" t="s">
        <v>113</v>
      </c>
    </row>
    <row r="20" spans="1:9">
      <c r="A20" s="27">
        <v>1</v>
      </c>
      <c r="B20" s="32">
        <f>EOMONTH($B$5, A20)</f>
        <v>45961</v>
      </c>
      <c r="C20" s="27">
        <f>ROUND(MAX(0, (B20 - $B$5)/365),4)</f>
        <v>8.4900000000000003E-2</v>
      </c>
      <c r="D20">
        <f>IF(B20 &gt; $B$4, 0, $B$7)</f>
        <v>300000</v>
      </c>
      <c r="E20" s="34">
        <f>ROUND(1 - (1 - $B$14) ^ C20,6)</f>
        <v>4.2499999999999998E-4</v>
      </c>
      <c r="F20">
        <f>ROUND(IF(D20=0, 1, 1 - (($B$8 * (1 - $B$9 - $B$10)) / D20)),4)</f>
        <v>0.56669999999999998</v>
      </c>
      <c r="G20" s="35">
        <f>ROUND(1 / (1 + $B$6) ^ C20,6)</f>
        <v>0.99626999999999999</v>
      </c>
      <c r="H20">
        <f>ROUND(D20 * E20 * F20,4)</f>
        <v>72.254300000000001</v>
      </c>
      <c r="I20">
        <f>ROUND(H20 * G20,4)</f>
        <v>71.984800000000007</v>
      </c>
    </row>
    <row r="21" spans="1:9">
      <c r="A21" s="27">
        <f>A20+1</f>
        <v>2</v>
      </c>
      <c r="B21" s="32">
        <f>EOMONTH($B$5, A21)</f>
        <v>45991</v>
      </c>
      <c r="C21" s="27">
        <f t="shared" ref="C21:C23" si="0">ROUND(MAX(0, (B21 - $B$5)/365),4)</f>
        <v>0.1671</v>
      </c>
      <c r="D21">
        <f>IF(B21 &gt; $B$4, 0, $B$7)</f>
        <v>300000</v>
      </c>
      <c r="E21" s="34">
        <f t="shared" ref="E21:E23" si="1">ROUND(1 - (1 - $B$14) ^ C21,6)</f>
        <v>8.3699999999999996E-4</v>
      </c>
      <c r="F21">
        <f t="shared" ref="F21:F23" si="2">ROUND(IF(D21=0, 1, 1 - (($B$8 * (1 - $B$9 - $B$10)) / D21)),4)</f>
        <v>0.56669999999999998</v>
      </c>
      <c r="G21" s="35">
        <f t="shared" ref="G21:G23" si="3">ROUND(1 / (1 + $B$6) ^ C21,6)</f>
        <v>0.992672</v>
      </c>
      <c r="H21">
        <f t="shared" ref="H21:H23" si="4">ROUND(D21 * E21 * F21,4)</f>
        <v>142.29839999999999</v>
      </c>
      <c r="I21">
        <f t="shared" ref="I21:I23" si="5">ROUND(H21 * G21,4)</f>
        <v>141.25559999999999</v>
      </c>
    </row>
    <row r="22" spans="1:9">
      <c r="A22" s="27">
        <f>A21+1</f>
        <v>3</v>
      </c>
      <c r="B22" s="32">
        <f>EOMONTH($B$5, A22)</f>
        <v>46022</v>
      </c>
      <c r="C22" s="27">
        <f t="shared" si="0"/>
        <v>0.25209999999999999</v>
      </c>
      <c r="D22">
        <f>IF(B22 &gt; $B$4, 0, $B$7)</f>
        <v>300000</v>
      </c>
      <c r="E22" s="34">
        <f t="shared" si="1"/>
        <v>1.263E-3</v>
      </c>
      <c r="F22">
        <f t="shared" si="2"/>
        <v>0.56669999999999998</v>
      </c>
      <c r="G22" s="35">
        <f t="shared" si="3"/>
        <v>0.98896499999999998</v>
      </c>
      <c r="H22">
        <f t="shared" si="4"/>
        <v>214.7226</v>
      </c>
      <c r="I22">
        <f t="shared" si="5"/>
        <v>212.35310000000001</v>
      </c>
    </row>
    <row r="23" spans="1:9">
      <c r="A23" s="27">
        <f>A22+1</f>
        <v>4</v>
      </c>
      <c r="B23" s="32">
        <f>EOMONTH($B$5, A23)</f>
        <v>46053</v>
      </c>
      <c r="C23" s="27">
        <f t="shared" si="0"/>
        <v>0.33700000000000002</v>
      </c>
      <c r="D23">
        <f>IF(B23 &gt; $B$4, 0, $B$7)</f>
        <v>0</v>
      </c>
      <c r="E23" s="34">
        <f t="shared" si="1"/>
        <v>1.688E-3</v>
      </c>
      <c r="F23">
        <f t="shared" si="2"/>
        <v>1</v>
      </c>
      <c r="G23" s="35">
        <f t="shared" si="3"/>
        <v>0.98527600000000004</v>
      </c>
      <c r="H23">
        <f t="shared" si="4"/>
        <v>0</v>
      </c>
      <c r="I23">
        <f t="shared" si="5"/>
        <v>0</v>
      </c>
    </row>
    <row r="24" spans="1:9">
      <c r="A24" s="27"/>
      <c r="B24" s="32"/>
      <c r="C24" s="27"/>
    </row>
    <row r="25" spans="1:9">
      <c r="A25" s="27"/>
      <c r="B25" s="32"/>
      <c r="C25" s="2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xxJOB</vt:lpstr>
      <vt:lpstr>LD</vt:lpstr>
      <vt:lpstr>xxRL</vt:lpstr>
      <vt:lpstr>xxCOL</vt:lpstr>
      <vt:lpstr>Calculation</vt:lpstr>
      <vt:lpstr>o_Transaction</vt:lpstr>
      <vt:lpstr>EXPECTED</vt:lpstr>
      <vt:lpstr>Sheet1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 Ahmed</dc:creator>
  <cp:lastModifiedBy>Rafay Ahmed</cp:lastModifiedBy>
  <dcterms:created xsi:type="dcterms:W3CDTF">2025-12-07T12:22:27Z</dcterms:created>
  <dcterms:modified xsi:type="dcterms:W3CDTF">2025-12-10T06:27:39Z</dcterms:modified>
</cp:coreProperties>
</file>