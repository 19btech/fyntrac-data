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1"/>
  </bookViews>
  <sheets>
    <sheet name="Test" sheetId="1" state="visible" r:id="rId1"/>
    <sheet name="O_TransactionActivity" sheetId="2" state="visible" r:id="rId2"/>
    <sheet name="O_Instrument" sheetId="3" state="visible" r:id="rId3"/>
    <sheet name="O_TransactionActivity2" sheetId="4" state="visible" r:id="rId4"/>
    <sheet name="O_Instrument2" sheetId="5" state="visible" r:id="rId5"/>
    <sheet name="O_TransactionActivity3" sheetId="6" state="visible" r:id="rId6"/>
    <sheet name="O_TransactionActivity5" sheetId="7" state="visible" r:id="rId7"/>
    <sheet name="O_TransactionActivity6" sheetId="8" state="visible" r:id="rId8"/>
    <sheet name="O_Instrument3" sheetId="9" state="visible" r:id="rId9"/>
    <sheet name="O_Instrument5" sheetId="10" state="visible" r:id="rId10"/>
    <sheet name="O_Instrument6" sheetId="11" state="visible" r:id="rId11"/>
    <sheet name="O_Metric" sheetId="12" state="visible" r:id="rId12"/>
  </sheets>
  <definedNames>
    <definedName name="_xlnm._FilterDatabase" localSheetId="1" hidden="1">O_TransactionActivity!$A$2:$J$4</definedName>
    <definedName name="_xlnm._FilterDatabase" localSheetId="2" hidden="1">O_Instrument!$A$2:$F$4</definedName>
    <definedName name="_xlnm._FilterDatabase" localSheetId="3" hidden="1">O_TransactionActivity2!$A$2:$J$4</definedName>
    <definedName name="_xlnm._FilterDatabase" localSheetId="4" hidden="1">O_Instrument2!$A$2:$F$4</definedName>
    <definedName name="_xlnm._FilterDatabase" localSheetId="5" hidden="1">O_TransactionActivity3!$A$2:$J$4</definedName>
    <definedName name="_xlnm._FilterDatabase" localSheetId="6" hidden="1">O_TransactionActivity5!$A$2:$J$4</definedName>
    <definedName name="_xlnm._FilterDatabase" localSheetId="7" hidden="1">O_TransactionActivity6!$A$2:$J$4</definedName>
    <definedName name="_xlnm._FilterDatabase" localSheetId="8" hidden="1">O_Instrument3!$A$2:$F$4</definedName>
    <definedName name="_xlnm._FilterDatabase" localSheetId="9" hidden="1">O_Instrument5!$A$2:$F$4</definedName>
    <definedName name="_xlnm._FilterDatabase" localSheetId="10" hidden="1">O_Instrument6!$A$2:$F$4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<sst xmlns="http://schemas.openxmlformats.org/spreadsheetml/2006/main" count="50" uniqueCount="50">
  <si>
    <t>Steps</t>
  </si>
  <si>
    <t>Type</t>
  </si>
  <si>
    <t>Input</t>
  </si>
  <si>
    <t>LOAD_REF_DATA</t>
  </si>
  <si>
    <t>FILE_UPLOAD</t>
  </si>
  <si>
    <t>TestIFRS9/RefData_Ifrs9_Col.xlsx</t>
  </si>
  <si>
    <t>EVENT_CONFIGURATION</t>
  </si>
  <si>
    <t>CONFIGURATION</t>
  </si>
  <si>
    <t>TestIFRS9/EventConfigurations.json</t>
  </si>
  <si>
    <t>MODEL_UPLOAD</t>
  </si>
  <si>
    <t>TestIFRS9/IFRS9_Model_withoutCustomTable.xlsx</t>
  </si>
  <si>
    <t>MODEL_CONFIGURATION</t>
  </si>
  <si>
    <t>ATTRIBUTE</t>
  </si>
  <si>
    <t>ACTIVITY_UPLOAD</t>
  </si>
  <si>
    <t>TestIFRS9/ActivityData.xlsx</t>
  </si>
  <si>
    <t>MODEL_EXECUTION</t>
  </si>
  <si>
    <t>EXECUTION</t>
  </si>
  <si>
    <t>TestIFRS9/ActivityDataD2.xlsx</t>
  </si>
  <si>
    <t>TransactionActivity</t>
  </si>
  <si>
    <t xml:space="preserve">{"instrumentId": "L001"}</t>
  </si>
  <si>
    <t xml:space="preserve">postingDate ASC</t>
  </si>
  <si>
    <t xml:space="preserve">attributeId ASC</t>
  </si>
  <si>
    <t xml:space="preserve">transactionName ASC</t>
  </si>
  <si>
    <t xml:space="preserve">source ASC</t>
  </si>
  <si>
    <t xml:space="preserve">effectiveDate ASC</t>
  </si>
  <si>
    <t>instrumentId</t>
  </si>
  <si>
    <t>amount</t>
  </si>
  <si>
    <t>originalPeriodId</t>
  </si>
  <si>
    <t>accountingPeriod.periodId</t>
  </si>
  <si>
    <t>isReplayable</t>
  </si>
  <si>
    <t>EXPECTED_CREDIT_LOSS</t>
  </si>
  <si>
    <t>MODEL</t>
  </si>
  <si>
    <t>L001</t>
  </si>
  <si>
    <t>InstrumentLevelLtd</t>
  </si>
  <si>
    <t xml:space="preserve">metricName ASC</t>
  </si>
  <si>
    <t xml:space="preserve">instrumentId ASC</t>
  </si>
  <si>
    <t>balance.activity</t>
  </si>
  <si>
    <t>balance.beginningBalance</t>
  </si>
  <si>
    <t>balance.endingBalance</t>
  </si>
  <si>
    <t>ECL</t>
  </si>
  <si>
    <t xml:space="preserve">{"instrumentId": "L002"}</t>
  </si>
  <si>
    <t>L002</t>
  </si>
  <si>
    <t xml:space="preserve">{"instrumentId": "L003"}</t>
  </si>
  <si>
    <t>L003</t>
  </si>
  <si>
    <t xml:space="preserve">{"instrumentId": "L005"}</t>
  </si>
  <si>
    <t>L005</t>
  </si>
  <si>
    <t xml:space="preserve">{"instrumentId": "L006"}</t>
  </si>
  <si>
    <t>L006</t>
  </si>
  <si>
    <t>MetricLevelLtd</t>
  </si>
  <si>
    <t>{}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</si>
</sst>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mm/dd/yy"/>
    <numFmt numFmtId="165" formatCode="#,##0.0000_);[Red]\(#,##0.0000\)"/>
    <numFmt numFmtId="166" formatCode="0.0000"/>
  </numFmts>
  <fonts count="4">
    <font>
      <sz val="10.000000"/>
      <color theme="1"/>
      <name val="Arial"/>
    </font>
    <font>
      <sz val="11.000000"/>
      <color theme="1"/>
      <name val="Calibri"/>
    </font>
    <font>
      <i/>
      <sz val="10.000000"/>
      <color rgb="FFC77DBB"/>
      <name val="Arial"/>
    </font>
    <font>
      <b/>
      <sz val="10.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  <fill>
      <patternFill patternType="solid">
        <f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18">
    <xf fontId="0" fillId="0" borderId="0" numFmtId="0" xfId="0"/>
    <xf fontId="0" fillId="0" borderId="0" numFmtId="0" xfId="0" applyProtection="1"/>
    <xf fontId="2" fillId="0" borderId="0" numFmtId="0" xfId="0" applyFont="1"/>
    <xf fontId="0" fillId="0" borderId="0" numFmtId="164" xfId="0" applyNumberFormat="1" applyProtection="1"/>
    <xf fontId="0" fillId="0" borderId="0" numFmtId="0" xfId="0" applyAlignment="1" applyProtection="1">
      <alignment wrapText="1"/>
    </xf>
    <xf fontId="1" fillId="0" borderId="0" numFmtId="0" xfId="0" applyFont="1"/>
    <xf fontId="1" fillId="0" borderId="0" numFmtId="0" xfId="0" applyFont="1" applyProtection="1"/>
    <xf fontId="3" fillId="2" borderId="1" numFmtId="0" xfId="0" applyFont="1" applyFill="1" applyBorder="1" applyProtection="1"/>
    <xf fontId="0" fillId="0" borderId="1" numFmtId="0" xfId="0" applyBorder="1" applyProtection="1"/>
    <xf fontId="0" fillId="0" borderId="1" numFmtId="165" xfId="0" applyNumberFormat="1" applyBorder="1" applyProtection="1"/>
    <xf fontId="0" fillId="0" borderId="1" numFmtId="0" xfId="0" applyBorder="1" applyProtection="1"/>
    <xf fontId="0" fillId="0" borderId="1" numFmtId="0" xfId="0" applyBorder="1"/>
    <xf fontId="0" fillId="0" borderId="1" numFmtId="166" xfId="0" applyNumberFormat="1" applyBorder="1" applyProtection="1"/>
    <xf fontId="0" fillId="0" borderId="1" numFmtId="166" xfId="0" applyNumberFormat="1" applyBorder="1"/>
    <xf fontId="0" fillId="0" borderId="0" numFmtId="0" xfId="0" applyProtection="1"/>
    <xf fontId="0" fillId="0" borderId="0" numFmtId="166" xfId="0" applyNumberFormat="1" applyProtection="1"/>
    <xf fontId="0" fillId="3" borderId="1" numFmtId="0" xfId="0" applyFill="1" applyBorder="1" applyProtection="1"/>
    <xf fontId="0" fillId="3" borderId="1" numFmtId="165" xfId="0" applyNumberFormat="1" applyFill="1" applyBorder="1" applyProtection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theme" Target="theme/theme1.xml"/><Relationship  Id="rId14" Type="http://schemas.openxmlformats.org/officeDocument/2006/relationships/sharedStrings" Target="sharedStrings.xml"/><Relationship  Id="rId15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C8" activeCellId="0" sqref="C8"/>
    </sheetView>
  </sheetViews>
  <sheetFormatPr defaultColWidth="11.5703125" defaultRowHeight="12.75" customHeight="1"/>
  <cols>
    <col customWidth="1" min="1" max="1" style="1" width="24.7109375"/>
    <col customWidth="1" min="2" max="2" style="1" width="20.140625"/>
    <col customWidth="1" min="3" max="3" style="1" width="42.7109375"/>
    <col customWidth="1" min="4" max="4" style="1" width="31.140625"/>
  </cols>
  <sheetData>
    <row r="1" ht="12.75" customHeight="1">
      <c r="A1" s="1" t="s">
        <v>0</v>
      </c>
      <c r="B1" s="1" t="s">
        <v>1</v>
      </c>
      <c r="C1" s="1" t="s">
        <v>2</v>
      </c>
    </row>
    <row r="2" ht="12.75" customHeight="1">
      <c r="A2" s="1" t="s">
        <v>3</v>
      </c>
      <c r="B2" s="1" t="s">
        <v>4</v>
      </c>
      <c r="C2" s="1" t="s">
        <v>5</v>
      </c>
    </row>
    <row r="3" ht="12.75" customHeight="1">
      <c r="A3" s="2" t="s">
        <v>6</v>
      </c>
      <c r="B3" s="1" t="s">
        <v>7</v>
      </c>
      <c r="C3" s="1" t="s">
        <v>8</v>
      </c>
    </row>
    <row r="4" ht="12.75" customHeight="1">
      <c r="A4" s="1" t="s">
        <v>9</v>
      </c>
      <c r="B4" s="1" t="s">
        <v>4</v>
      </c>
      <c r="C4" s="1" t="s">
        <v>10</v>
      </c>
    </row>
    <row r="5" ht="12.75" customHeight="1">
      <c r="A5" s="1" t="s">
        <v>11</v>
      </c>
      <c r="B5" s="1" t="s">
        <v>7</v>
      </c>
      <c r="C5" s="1" t="s">
        <v>12</v>
      </c>
    </row>
    <row r="6" ht="12.75" customHeight="1">
      <c r="A6" s="1" t="s">
        <v>13</v>
      </c>
      <c r="B6" s="1" t="s">
        <v>4</v>
      </c>
      <c r="C6" s="1" t="s">
        <v>14</v>
      </c>
    </row>
    <row r="7" ht="12.75" customHeight="1">
      <c r="A7" s="1" t="s">
        <v>15</v>
      </c>
      <c r="B7" s="1" t="s">
        <v>16</v>
      </c>
      <c r="C7" s="3">
        <v>45565</v>
      </c>
    </row>
    <row r="8" ht="12.75" customHeight="1">
      <c r="A8" s="1" t="s">
        <v>13</v>
      </c>
      <c r="B8" s="1" t="s">
        <v>4</v>
      </c>
      <c r="C8" s="1" t="s">
        <v>17</v>
      </c>
    </row>
    <row r="9" ht="12.75" customHeight="1">
      <c r="A9" s="1" t="s">
        <v>15</v>
      </c>
      <c r="B9" s="1" t="s">
        <v>16</v>
      </c>
      <c r="C9" s="3">
        <v>45657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1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G4" activeCellId="0" sqref="G4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18</v>
      </c>
      <c r="B1" s="5" t="s">
        <v>19</v>
      </c>
      <c r="G1" s="6"/>
    </row>
    <row r="2">
      <c r="A2" s="7" t="s">
        <v>20</v>
      </c>
      <c r="B2" s="7" t="s">
        <v>21</v>
      </c>
      <c r="C2" s="7" t="s">
        <v>22</v>
      </c>
      <c r="D2" s="7" t="s">
        <v>23</v>
      </c>
      <c r="E2" s="7" t="s">
        <v>24</v>
      </c>
      <c r="F2" s="7" t="s">
        <v>25</v>
      </c>
      <c r="G2" s="7" t="s">
        <v>26</v>
      </c>
      <c r="H2" s="7" t="s">
        <v>27</v>
      </c>
      <c r="I2" s="7" t="s">
        <v>28</v>
      </c>
      <c r="J2" s="7" t="s">
        <v>29</v>
      </c>
    </row>
    <row r="3">
      <c r="A3" s="8">
        <v>20240930</v>
      </c>
      <c r="B3" s="8">
        <v>1</v>
      </c>
      <c r="C3" s="8" t="s">
        <v>30</v>
      </c>
      <c r="D3" s="8" t="s">
        <v>31</v>
      </c>
      <c r="E3" s="8">
        <v>20240930</v>
      </c>
      <c r="F3" s="8" t="s">
        <v>32</v>
      </c>
      <c r="G3">
        <v>830.10310000000004</v>
      </c>
      <c r="H3" s="8">
        <v>202409</v>
      </c>
      <c r="I3" s="8">
        <v>202409</v>
      </c>
      <c r="J3" s="8">
        <v>0</v>
      </c>
    </row>
    <row r="4">
      <c r="A4" s="8">
        <v>20241231</v>
      </c>
      <c r="B4" s="8">
        <v>1</v>
      </c>
      <c r="C4" s="8" t="s">
        <v>30</v>
      </c>
      <c r="D4" s="8" t="s">
        <v>31</v>
      </c>
      <c r="E4" s="8">
        <v>20241231</v>
      </c>
      <c r="F4" s="8" t="s">
        <v>32</v>
      </c>
      <c r="G4" s="9">
        <v>-73.232600000000005</v>
      </c>
      <c r="H4" s="8">
        <v>202412</v>
      </c>
      <c r="I4" s="8">
        <v>202412</v>
      </c>
      <c r="J4" s="8">
        <v>0</v>
      </c>
    </row>
  </sheetData>
  <sortState ref="A3:J4">
    <sortCondition ref="A3:A4"/>
    <sortCondition ref="B3:B4"/>
    <sortCondition ref="C3:C4"/>
    <sortCondition ref="D3:D4"/>
    <sortCondition ref="E3:E4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E3" activeCellId="0" sqref="E3:F4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33</v>
      </c>
      <c r="B1" s="5" t="s">
        <v>19</v>
      </c>
    </row>
    <row r="2">
      <c r="A2" s="8" t="s">
        <v>20</v>
      </c>
      <c r="B2" s="8" t="s">
        <v>34</v>
      </c>
      <c r="C2" s="8" t="s">
        <v>35</v>
      </c>
      <c r="D2" s="8" t="s">
        <v>36</v>
      </c>
      <c r="E2" s="8" t="s">
        <v>37</v>
      </c>
      <c r="F2" s="8" t="s">
        <v>38</v>
      </c>
    </row>
    <row r="3">
      <c r="A3" s="8">
        <v>20240930</v>
      </c>
      <c r="B3" s="10" t="s">
        <v>39</v>
      </c>
      <c r="C3" s="8" t="s">
        <v>32</v>
      </c>
      <c r="D3" s="11">
        <f>O_TransactionActivity!G3</f>
        <v>830.10310000000004</v>
      </c>
      <c r="E3" s="12">
        <v>0</v>
      </c>
      <c r="F3" s="13">
        <f t="shared" ref="F3:F4" si="0">D3+E3</f>
        <v>830.10310000000004</v>
      </c>
    </row>
    <row r="4" ht="12.75" customHeight="1">
      <c r="A4" s="8">
        <v>20241231</v>
      </c>
      <c r="B4" s="10" t="s">
        <v>39</v>
      </c>
      <c r="C4" s="8" t="s">
        <v>32</v>
      </c>
      <c r="D4" s="11">
        <f>O_TransactionActivity!G4</f>
        <v>-73.232600000000005</v>
      </c>
      <c r="E4" s="11">
        <f>F3</f>
        <v>830.10310000000004</v>
      </c>
      <c r="F4" s="13">
        <f t="shared" si="0"/>
        <v>756.87049999999999</v>
      </c>
    </row>
  </sheetData>
  <sortState ref="A3:F4">
    <sortCondition ref="A3:A4"/>
    <sortCondition ref="B3:B4"/>
    <sortCondition ref="C3:C4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G3" activeCellId="0" sqref="G3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18</v>
      </c>
      <c r="B1" s="5" t="s">
        <v>40</v>
      </c>
      <c r="G1" s="6"/>
    </row>
    <row r="2">
      <c r="A2" s="7" t="s">
        <v>20</v>
      </c>
      <c r="B2" s="7" t="s">
        <v>21</v>
      </c>
      <c r="C2" s="7" t="s">
        <v>22</v>
      </c>
      <c r="D2" s="7" t="s">
        <v>23</v>
      </c>
      <c r="E2" s="7" t="s">
        <v>24</v>
      </c>
      <c r="F2" s="7" t="s">
        <v>25</v>
      </c>
      <c r="G2" s="7" t="s">
        <v>26</v>
      </c>
      <c r="H2" s="7" t="s">
        <v>27</v>
      </c>
      <c r="I2" s="7" t="s">
        <v>28</v>
      </c>
      <c r="J2" s="7" t="s">
        <v>29</v>
      </c>
    </row>
    <row r="3">
      <c r="A3" s="8">
        <v>20240930</v>
      </c>
      <c r="B3" s="8">
        <v>1</v>
      </c>
      <c r="C3" s="8" t="s">
        <v>30</v>
      </c>
      <c r="D3" s="8" t="s">
        <v>31</v>
      </c>
      <c r="E3" s="8">
        <v>20240930</v>
      </c>
      <c r="F3" s="8" t="s">
        <v>41</v>
      </c>
      <c r="G3">
        <v>16137.294699999999</v>
      </c>
      <c r="H3" s="8">
        <v>202409</v>
      </c>
      <c r="I3" s="8">
        <v>202409</v>
      </c>
      <c r="J3" s="8">
        <v>0</v>
      </c>
    </row>
    <row r="4">
      <c r="A4" s="8">
        <v>20241231</v>
      </c>
      <c r="B4" s="8">
        <v>1</v>
      </c>
      <c r="C4" s="8" t="s">
        <v>30</v>
      </c>
      <c r="D4" s="8" t="s">
        <v>31</v>
      </c>
      <c r="E4" s="8">
        <v>20241231</v>
      </c>
      <c r="F4" s="8" t="s">
        <v>41</v>
      </c>
      <c r="G4" s="9">
        <v>-436.00540000000001</v>
      </c>
      <c r="H4" s="8">
        <v>202412</v>
      </c>
      <c r="I4" s="8">
        <v>202412</v>
      </c>
      <c r="J4" s="8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D4" activeCellId="0" sqref="D4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33</v>
      </c>
      <c r="B1" s="5" t="s">
        <v>40</v>
      </c>
    </row>
    <row r="2">
      <c r="A2" s="1" t="s">
        <v>20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</row>
    <row r="3">
      <c r="A3" s="1">
        <v>20240930</v>
      </c>
      <c r="B3" s="14" t="s">
        <v>39</v>
      </c>
      <c r="C3" s="1" t="s">
        <v>41</v>
      </c>
      <c r="D3" s="15">
        <f>O_TransactionActivity2!G3</f>
        <v>16137.294699999999</v>
      </c>
      <c r="E3" s="12">
        <v>0</v>
      </c>
      <c r="F3" s="13">
        <f t="shared" ref="F3:F4" si="1">D3+E3</f>
        <v>16137.294699999999</v>
      </c>
    </row>
    <row r="4" ht="12.75" customHeight="1">
      <c r="A4" s="1">
        <v>20241231</v>
      </c>
      <c r="B4" s="14" t="s">
        <v>39</v>
      </c>
      <c r="C4" s="1" t="s">
        <v>41</v>
      </c>
      <c r="D4" s="15">
        <f>O_TransactionActivity2!G4</f>
        <v>-436.00540000000001</v>
      </c>
      <c r="E4" s="11">
        <f>F3</f>
        <v>16137.294699999999</v>
      </c>
      <c r="F4" s="13">
        <f t="shared" si="1"/>
        <v>15701.289299999999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G3" activeCellId="0" sqref="G3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18</v>
      </c>
      <c r="B1" s="5" t="s">
        <v>42</v>
      </c>
      <c r="G1" s="6"/>
    </row>
    <row r="2">
      <c r="A2" s="7" t="s">
        <v>20</v>
      </c>
      <c r="B2" s="7" t="s">
        <v>21</v>
      </c>
      <c r="C2" s="7" t="s">
        <v>22</v>
      </c>
      <c r="D2" s="7" t="s">
        <v>23</v>
      </c>
      <c r="E2" s="7" t="s">
        <v>24</v>
      </c>
      <c r="F2" s="7" t="s">
        <v>25</v>
      </c>
      <c r="G2" s="7" t="s">
        <v>26</v>
      </c>
      <c r="H2" s="7" t="s">
        <v>27</v>
      </c>
      <c r="I2" s="7" t="s">
        <v>28</v>
      </c>
      <c r="J2" s="7" t="s">
        <v>29</v>
      </c>
    </row>
    <row r="3">
      <c r="A3" s="8">
        <v>20240930</v>
      </c>
      <c r="B3" s="8">
        <v>1</v>
      </c>
      <c r="C3" s="8" t="s">
        <v>30</v>
      </c>
      <c r="D3" s="8" t="s">
        <v>31</v>
      </c>
      <c r="E3" s="8">
        <v>20240930</v>
      </c>
      <c r="F3" s="16" t="s">
        <v>43</v>
      </c>
      <c r="G3" s="17">
        <v>945.57389999999998</v>
      </c>
      <c r="H3" s="8">
        <v>202409</v>
      </c>
      <c r="I3" s="8">
        <v>202409</v>
      </c>
      <c r="J3" s="16">
        <v>0</v>
      </c>
    </row>
    <row r="4">
      <c r="A4" s="8">
        <v>20241231</v>
      </c>
      <c r="B4" s="8">
        <v>1</v>
      </c>
      <c r="C4" s="8" t="s">
        <v>30</v>
      </c>
      <c r="D4" s="8" t="s">
        <v>31</v>
      </c>
      <c r="E4" s="8">
        <v>20241231</v>
      </c>
      <c r="F4" s="16" t="s">
        <v>43</v>
      </c>
      <c r="G4" s="17">
        <v>-537.53749999999991</v>
      </c>
      <c r="H4" s="8">
        <v>202412</v>
      </c>
      <c r="I4" s="8">
        <v>202412</v>
      </c>
      <c r="J4" s="16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20" workbookViewId="0">
      <selection activeCell="G4" activeCellId="0" sqref="G4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4" t="s">
        <v>18</v>
      </c>
      <c r="B1" s="5" t="s">
        <v>44</v>
      </c>
      <c r="G1" s="6"/>
    </row>
    <row r="2">
      <c r="A2" s="7" t="s">
        <v>20</v>
      </c>
      <c r="B2" s="7" t="s">
        <v>21</v>
      </c>
      <c r="C2" s="7" t="s">
        <v>22</v>
      </c>
      <c r="D2" s="7" t="s">
        <v>23</v>
      </c>
      <c r="E2" s="7" t="s">
        <v>24</v>
      </c>
      <c r="F2" s="7" t="s">
        <v>25</v>
      </c>
      <c r="G2" s="7" t="s">
        <v>26</v>
      </c>
      <c r="H2" s="7" t="s">
        <v>27</v>
      </c>
      <c r="I2" s="7" t="s">
        <v>28</v>
      </c>
      <c r="J2" s="7" t="s">
        <v>29</v>
      </c>
    </row>
    <row r="3">
      <c r="A3" s="8">
        <v>20240930</v>
      </c>
      <c r="B3" s="8">
        <v>1</v>
      </c>
      <c r="C3" s="8" t="s">
        <v>30</v>
      </c>
      <c r="D3" s="8" t="s">
        <v>31</v>
      </c>
      <c r="E3" s="8">
        <v>20240930</v>
      </c>
      <c r="F3" s="16" t="s">
        <v>45</v>
      </c>
      <c r="G3">
        <v>438.15229999999997</v>
      </c>
      <c r="H3" s="8">
        <v>202409</v>
      </c>
      <c r="I3" s="8">
        <v>202409</v>
      </c>
      <c r="J3" s="16">
        <v>0</v>
      </c>
    </row>
    <row r="4">
      <c r="A4" s="8">
        <v>20241231</v>
      </c>
      <c r="B4" s="8">
        <v>1</v>
      </c>
      <c r="C4" s="8" t="s">
        <v>30</v>
      </c>
      <c r="D4" s="8" t="s">
        <v>31</v>
      </c>
      <c r="E4" s="8">
        <v>20241231</v>
      </c>
      <c r="F4" s="16" t="s">
        <v>45</v>
      </c>
      <c r="G4" s="17">
        <v>-73.47320000000002</v>
      </c>
      <c r="H4" s="8">
        <v>202412</v>
      </c>
      <c r="I4" s="8">
        <v>202412</v>
      </c>
      <c r="J4" s="16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G4" activeCellId="0" sqref="G4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4.25">
      <c r="A1" s="4" t="s">
        <v>18</v>
      </c>
      <c r="B1" s="5" t="s">
        <v>46</v>
      </c>
      <c r="G1" s="6"/>
    </row>
    <row r="2">
      <c r="A2" s="7" t="s">
        <v>20</v>
      </c>
      <c r="B2" s="7" t="s">
        <v>21</v>
      </c>
      <c r="C2" s="7" t="s">
        <v>22</v>
      </c>
      <c r="D2" s="7" t="s">
        <v>23</v>
      </c>
      <c r="E2" s="7" t="s">
        <v>24</v>
      </c>
      <c r="F2" s="7" t="s">
        <v>25</v>
      </c>
      <c r="G2" s="7" t="s">
        <v>26</v>
      </c>
      <c r="H2" s="7" t="s">
        <v>27</v>
      </c>
      <c r="I2" s="7" t="s">
        <v>28</v>
      </c>
      <c r="J2" s="7" t="s">
        <v>29</v>
      </c>
    </row>
    <row r="3">
      <c r="A3" s="8">
        <v>20240930</v>
      </c>
      <c r="B3" s="8">
        <v>1</v>
      </c>
      <c r="C3" s="8" t="s">
        <v>30</v>
      </c>
      <c r="D3" s="8" t="s">
        <v>31</v>
      </c>
      <c r="E3" s="8">
        <v>20240930</v>
      </c>
      <c r="F3" s="8" t="s">
        <v>47</v>
      </c>
      <c r="G3">
        <v>437854.35000000003</v>
      </c>
      <c r="H3" s="8">
        <v>202409</v>
      </c>
      <c r="I3" s="8">
        <v>202409</v>
      </c>
      <c r="J3" s="8">
        <v>0</v>
      </c>
    </row>
    <row r="4">
      <c r="A4" s="8">
        <v>20241231</v>
      </c>
      <c r="B4" s="8">
        <v>1</v>
      </c>
      <c r="C4" s="8" t="s">
        <v>30</v>
      </c>
      <c r="D4" s="8" t="s">
        <v>31</v>
      </c>
      <c r="E4" s="8">
        <v>20241231</v>
      </c>
      <c r="F4" s="8" t="s">
        <v>47</v>
      </c>
      <c r="G4" s="9">
        <v>-5671.2349999999997</v>
      </c>
      <c r="H4" s="8">
        <v>202412</v>
      </c>
      <c r="I4" s="8">
        <v>202412</v>
      </c>
      <c r="J4" s="8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D4" activeCellId="0" sqref="D4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33</v>
      </c>
      <c r="B1" s="5" t="s">
        <v>42</v>
      </c>
    </row>
    <row r="2">
      <c r="A2" s="1" t="s">
        <v>20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</row>
    <row r="3">
      <c r="A3" s="1">
        <v>20240930</v>
      </c>
      <c r="B3" s="14" t="s">
        <v>39</v>
      </c>
      <c r="C3" s="1" t="s">
        <v>43</v>
      </c>
      <c r="D3" s="15">
        <f>O_TransactionActivity3!G3</f>
        <v>945.57389999999998</v>
      </c>
      <c r="E3" s="12">
        <v>0</v>
      </c>
      <c r="F3" s="13">
        <f t="shared" ref="F3:F4" si="2">D3+E3</f>
        <v>945.57389999999998</v>
      </c>
    </row>
    <row r="4" ht="12.75" customHeight="1">
      <c r="A4" s="1">
        <v>20241231</v>
      </c>
      <c r="B4" s="14" t="s">
        <v>39</v>
      </c>
      <c r="C4" s="1" t="s">
        <v>43</v>
      </c>
      <c r="D4" s="15">
        <f>O_TransactionActivity3!G4</f>
        <v>-537.53749999999991</v>
      </c>
      <c r="E4" s="11">
        <f>F3</f>
        <v>945.57389999999998</v>
      </c>
      <c r="F4" s="13">
        <f t="shared" si="2"/>
        <v>408.03640000000007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D4" activeCellId="0" sqref="D4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4" t="s">
        <v>33</v>
      </c>
      <c r="B1" s="5" t="s">
        <v>44</v>
      </c>
    </row>
    <row r="2">
      <c r="A2" s="1" t="s">
        <v>20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</row>
    <row r="3" ht="12.75" customHeight="1">
      <c r="A3" s="1">
        <v>20240930</v>
      </c>
      <c r="B3" s="14" t="s">
        <v>39</v>
      </c>
      <c r="C3" s="1" t="s">
        <v>45</v>
      </c>
      <c r="D3">
        <f>O_TransactionActivity3!G3</f>
        <v>945.57389999999998</v>
      </c>
      <c r="E3" s="12">
        <v>0</v>
      </c>
      <c r="F3" s="13">
        <f t="shared" ref="F3:F4" si="3">D3+E3</f>
        <v>945.57389999999998</v>
      </c>
    </row>
    <row r="4" ht="12.75" customHeight="1">
      <c r="A4" s="1">
        <v>20241231</v>
      </c>
      <c r="B4" s="14" t="s">
        <v>39</v>
      </c>
      <c r="C4" s="1" t="s">
        <v>45</v>
      </c>
      <c r="D4">
        <f>O_TransactionActivity3!G4</f>
        <v>-537.53749999999991</v>
      </c>
      <c r="E4" s="11">
        <f>F3</f>
        <v>945.57389999999998</v>
      </c>
      <c r="F4" s="13">
        <f t="shared" si="3"/>
        <v>408.03640000000007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D4" activeCellId="0" sqref="D4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9.5703125"/>
    <col customWidth="1" min="5" max="6" style="1" width="23.5703125"/>
  </cols>
  <sheetData>
    <row r="1" ht="15">
      <c r="A1" s="4" t="s">
        <v>33</v>
      </c>
      <c r="B1" s="5" t="s">
        <v>46</v>
      </c>
    </row>
    <row r="2">
      <c r="A2" s="1" t="s">
        <v>20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</row>
    <row r="3">
      <c r="A3" s="1">
        <v>20240930</v>
      </c>
      <c r="B3" s="14" t="s">
        <v>39</v>
      </c>
      <c r="C3" s="1" t="s">
        <v>47</v>
      </c>
      <c r="D3">
        <f>O_TransactionActivity6!G3</f>
        <v>437854.35000000003</v>
      </c>
      <c r="E3" s="12">
        <v>0</v>
      </c>
      <c r="F3" s="13">
        <f t="shared" ref="F3:F4" si="4">D3+E3</f>
        <v>437854.35000000003</v>
      </c>
    </row>
    <row r="4" ht="12.75" customHeight="1">
      <c r="A4" s="1">
        <v>20241231</v>
      </c>
      <c r="B4" s="14" t="s">
        <v>39</v>
      </c>
      <c r="C4" s="1" t="s">
        <v>47</v>
      </c>
      <c r="D4" s="9">
        <f>O_TransactionActivity6!G4</f>
        <v>-5671.2349999999997</v>
      </c>
      <c r="E4" s="11">
        <f>F3</f>
        <v>437854.35000000003</v>
      </c>
      <c r="F4" s="13">
        <f t="shared" si="4"/>
        <v>432183.11500000005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23" activeCellId="0" sqref="B23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3.5703125"/>
    <col customWidth="1" min="4" max="5" style="1" width="24.85546875"/>
    <col customWidth="1" min="6" max="6" style="1" width="23.5703125"/>
    <col customWidth="1" min="7" max="7" style="1" width="21"/>
  </cols>
  <sheetData>
    <row r="1" ht="15">
      <c r="A1" s="4" t="s">
        <v>48</v>
      </c>
      <c r="B1" s="6" t="s">
        <v>49</v>
      </c>
    </row>
    <row r="2">
      <c r="A2" s="1" t="s">
        <v>20</v>
      </c>
      <c r="B2" s="1" t="s">
        <v>34</v>
      </c>
      <c r="C2" s="1" t="s">
        <v>37</v>
      </c>
      <c r="D2" s="1" t="s">
        <v>36</v>
      </c>
      <c r="E2" s="1" t="s">
        <v>38</v>
      </c>
    </row>
    <row r="3">
      <c r="A3" s="1">
        <v>20240930</v>
      </c>
      <c r="B3" s="14" t="s">
        <v>39</v>
      </c>
      <c r="C3" s="1">
        <v>0</v>
      </c>
      <c r="D3" s="1">
        <f>O_TransactionActivity6!G3+O_TransactionActivity5!G3+O_TransactionActivity3!G3+O_TransactionActivity2!G3+O_TransactionActivity!G3</f>
        <v>456205.4740000001</v>
      </c>
      <c r="E3" s="1">
        <f t="shared" ref="E3:E4" si="5">C3+D3</f>
        <v>456205.4740000001</v>
      </c>
    </row>
    <row r="4">
      <c r="A4" s="1">
        <v>20241231</v>
      </c>
      <c r="B4" s="14" t="s">
        <v>39</v>
      </c>
      <c r="C4" s="1">
        <f>E3</f>
        <v>456205.4740000001</v>
      </c>
      <c r="D4" s="1">
        <f>O_TransactionActivity6!G4+O_TransactionActivity5!G4+O_TransactionActivity3!G4+O_TransactionActivity2!G4+O_TransactionActivity!G4</f>
        <v>-6791.4836999999998</v>
      </c>
      <c r="E4" s="1">
        <f t="shared" si="5"/>
        <v>449413.99030000012</v>
      </c>
    </row>
  </sheetData>
  <sortState ref="A3:E4">
    <sortCondition ref="A3:A4"/>
    <sortCondition ref="B3:B4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ONLYOFFICE/9.2.0.100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147</cp:revision>
  <dcterms:created xsi:type="dcterms:W3CDTF">2025-06-10T09:23:35Z</dcterms:created>
  <dcterms:modified xsi:type="dcterms:W3CDTF">2025-12-12T21:52:10Z</dcterms:modified>
</cp:coreProperties>
</file>