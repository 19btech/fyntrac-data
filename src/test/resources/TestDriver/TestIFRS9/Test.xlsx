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IFRS9_Collateral\TestIFRS9\"/>
    </mc:Choice>
  </mc:AlternateContent>
  <xr:revisionPtr revIDLastSave="0" documentId="13_ncr:1_{29CE352B-5997-4828-A252-EEBEE0CADE86}" xr6:coauthVersionLast="47" xr6:coauthVersionMax="47" xr10:uidLastSave="{00000000-0000-0000-0000-000000000000}"/>
  <bookViews>
    <workbookView xWindow="2505" yWindow="2670" windowWidth="21600" windowHeight="11295" tabRatio="500" xr2:uid="{00000000-000D-0000-FFFF-FFFF00000000}"/>
  </bookViews>
  <sheets>
    <sheet name="Test" sheetId="1" r:id="rId1"/>
    <sheet name="O_TransactionActivity" sheetId="2" r:id="rId2"/>
    <sheet name="O_Instrument" sheetId="4" r:id="rId3"/>
    <sheet name="O_TransactionActivity2" sheetId="8" r:id="rId4"/>
    <sheet name="O_Instrument2" sheetId="16" r:id="rId5"/>
    <sheet name="O_TransactionActivity3" sheetId="9" r:id="rId6"/>
    <sheet name="O_TransactionActivity5" sheetId="11" r:id="rId7"/>
    <sheet name="O_TransactionActivity6" sheetId="10" r:id="rId8"/>
    <sheet name="O_Instrument3" sheetId="17" r:id="rId9"/>
    <sheet name="O_Instrument5" sheetId="19" r:id="rId10"/>
    <sheet name="O_Instrument6" sheetId="18" r:id="rId11"/>
    <sheet name="O_Metric" sheetId="5" r:id="rId12"/>
  </sheets>
  <definedNames>
    <definedName name="_xlnm._FilterDatabase" localSheetId="2" hidden="1">O_Instrument!$A$2:$F$4</definedName>
    <definedName name="_xlnm._FilterDatabase" localSheetId="4" hidden="1">O_Instrument2!$A$2:$F$4</definedName>
    <definedName name="_xlnm._FilterDatabase" localSheetId="8" hidden="1">O_Instrument3!$A$2:$F$4</definedName>
    <definedName name="_xlnm._FilterDatabase" localSheetId="9" hidden="1">O_Instrument5!$A$2:$F$4</definedName>
    <definedName name="_xlnm._FilterDatabase" localSheetId="10" hidden="1">O_Instrument6!$A$2:$F$4</definedName>
    <definedName name="_xlnm._FilterDatabase" localSheetId="1" hidden="1">O_TransactionActivity!$A$2:$J$4</definedName>
    <definedName name="_xlnm._FilterDatabase" localSheetId="3" hidden="1">O_TransactionActivity2!$A$2:$J$4</definedName>
    <definedName name="_xlnm._FilterDatabase" localSheetId="5" hidden="1">O_TransactionActivity3!$A$2:$J$4</definedName>
    <definedName name="_xlnm._FilterDatabase" localSheetId="6" hidden="1">O_TransactionActivity5!$A$2:$J$4</definedName>
    <definedName name="_xlnm._FilterDatabase" localSheetId="7" hidden="1">O_TransactionActivity6!$A$2:$J$4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4" i="5" l="1"/>
  <c r="D3" i="5"/>
  <c r="E3" i="5" s="1"/>
  <c r="C4" i="5" s="1"/>
  <c r="E4" i="5" s="1"/>
  <c r="F3" i="18"/>
  <c r="E4" i="18" s="1"/>
  <c r="F4" i="18" s="1"/>
  <c r="F3" i="19"/>
  <c r="E4" i="19" s="1"/>
  <c r="F4" i="19" s="1"/>
  <c r="F3" i="17"/>
  <c r="E4" i="17" s="1"/>
  <c r="F4" i="17" s="1"/>
  <c r="F4" i="16"/>
  <c r="E4" i="16"/>
  <c r="F3" i="16"/>
  <c r="F4" i="4"/>
</calcChain>
</file>

<file path=xl/sharedStrings.xml><?xml version="1.0" encoding="utf-8"?>
<sst xmlns="http://schemas.openxmlformats.org/spreadsheetml/2006/main" count="184" uniqueCount="49">
  <si>
    <t>Steps</t>
  </si>
  <si>
    <t>Type</t>
  </si>
  <si>
    <t>Input</t>
  </si>
  <si>
    <t>LOAD_REF_DATA</t>
  </si>
  <si>
    <t>FILE_UPLOAD</t>
  </si>
  <si>
    <t>EVENT_CONFIGURATION</t>
  </si>
  <si>
    <t>CONFIGURATION</t>
  </si>
  <si>
    <t>MODEL_UPLOAD</t>
  </si>
  <si>
    <t>MODEL_CONFIGURATION</t>
  </si>
  <si>
    <t>ATTRIBUTE</t>
  </si>
  <si>
    <t>ACTIVITY_UPLOAD</t>
  </si>
  <si>
    <t>MODEL_EXECUTION</t>
  </si>
  <si>
    <t>EXECUTION</t>
  </si>
  <si>
    <t>TransactionActivity</t>
  </si>
  <si>
    <t>postingDate ASC</t>
  </si>
  <si>
    <t>attributeId ASC</t>
  </si>
  <si>
    <t>transactionName ASC</t>
  </si>
  <si>
    <t>effectiveDate ASC</t>
  </si>
  <si>
    <t>instrumentId</t>
  </si>
  <si>
    <t>amount</t>
  </si>
  <si>
    <t>originalPeriodId</t>
  </si>
  <si>
    <t>accountingPeriod.periodId</t>
  </si>
  <si>
    <t>isReplayable</t>
  </si>
  <si>
    <t>MODEL</t>
  </si>
  <si>
    <t>metricName ASC</t>
  </si>
  <si>
    <t>balance.beginningBalance</t>
  </si>
  <si>
    <t>balance.activity</t>
  </si>
  <si>
    <t>balance.endingBalance</t>
  </si>
  <si>
    <t>InstrumentLevelLtd</t>
  </si>
  <si>
    <t>MetricLevelLtd</t>
  </si>
  <si>
    <t>{}</t>
  </si>
  <si>
    <t>instrumentId ASC</t>
  </si>
  <si>
    <t>TestIFRS9/RefData_Ifrs9_Col.xlsx</t>
  </si>
  <si>
    <t>TestIFRS9/IFRS9_Model_withoutCustomTable.xlsx</t>
  </si>
  <si>
    <t>TestIFRS9/ActivityData.xlsx</t>
  </si>
  <si>
    <t>TestIFRS9/ActivityDataD2.xlsx</t>
  </si>
  <si>
    <t>{"instrumentId": "L001"}</t>
  </si>
  <si>
    <t>L00urce ASC</t>
  </si>
  <si>
    <t>L001</t>
  </si>
  <si>
    <t>{"instrumentId": "L002"}</t>
  </si>
  <si>
    <t>L002</t>
  </si>
  <si>
    <t>{"instrumentId": "L003"}</t>
  </si>
  <si>
    <t>L003</t>
  </si>
  <si>
    <t>{"instrumentId": "L005"}</t>
  </si>
  <si>
    <t>L005</t>
  </si>
  <si>
    <t>EXPECTED_CREDIT_LOSS</t>
  </si>
  <si>
    <t>{"instrumentId": "L006"}</t>
  </si>
  <si>
    <t>L006</t>
  </si>
  <si>
    <t>TestIFRS9/EventConfigurations.json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</si>
</sst>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#,##0.0000_);[Red]\(#,##0.0000\)"/>
    <numFmt numFmtId="166" formatCode="0.0000"/>
  </numFmts>
  <fonts count="4" x14ac:knownFonts="1"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i/>
      <sz val="10"/>
      <color rgb="FFC77DBB"/>
      <name val="Arial"/>
      <family val="2"/>
      <charset val="1"/>
    </font>
    <font>
      <b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 applyProtection="1"/>
    <xf numFmtId="0" fontId="2" fillId="0" borderId="0" xfId="0" applyFont="1"/>
    <xf numFmtId="164" fontId="0" fillId="0" borderId="0" xfId="0" applyNumberFormat="1" applyAlignment="1" applyProtection="1"/>
    <xf numFmtId="0" fontId="0" fillId="0" borderId="0" xfId="0" applyFont="1" applyAlignment="1" applyProtection="1">
      <alignment wrapText="1"/>
    </xf>
    <xf numFmtId="0" fontId="1" fillId="0" borderId="0" xfId="0" applyFont="1" applyAlignment="1" applyProtection="1"/>
    <xf numFmtId="0" fontId="3" fillId="2" borderId="1" xfId="0" applyFont="1" applyFill="1" applyBorder="1" applyAlignment="1" applyProtection="1"/>
    <xf numFmtId="0" fontId="0" fillId="0" borderId="1" xfId="0" applyBorder="1" applyAlignment="1" applyProtection="1"/>
    <xf numFmtId="165" fontId="0" fillId="0" borderId="1" xfId="0" applyNumberFormat="1" applyBorder="1" applyAlignment="1" applyProtection="1"/>
    <xf numFmtId="166" fontId="0" fillId="0" borderId="1" xfId="0" applyNumberFormat="1" applyBorder="1" applyAlignment="1" applyProtection="1"/>
    <xf numFmtId="0" fontId="0" fillId="3" borderId="1" xfId="0" applyFill="1" applyBorder="1" applyAlignment="1" applyProtection="1"/>
    <xf numFmtId="165" fontId="0" fillId="3" borderId="1" xfId="0" applyNumberFormat="1" applyFill="1" applyBorder="1" applyAlignment="1" applyProtection="1"/>
    <xf numFmtId="166" fontId="0" fillId="0" borderId="0" xfId="0" applyNumberFormat="1" applyAlignment="1" applyProtection="1"/>
    <xf numFmtId="0" fontId="1" fillId="0" borderId="0" xfId="0" applyFont="1"/>
    <xf numFmtId="0" fontId="0" fillId="0" borderId="1" xfId="0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9F9E"/>
      <rgbColor rgb="FFC77DBB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120" zoomScaleNormal="120" workbookViewId="0">
      <selection activeCell="C8" sqref="C8"/>
    </sheetView>
  </sheetViews>
  <sheetFormatPr defaultColWidth="11.5703125" defaultRowHeight="12.75" customHeight="1" x14ac:dyDescent="0.2"/>
  <cols>
    <col min="1" max="1" width="24.7109375" style="1" customWidth="1"/>
    <col min="2" max="2" width="20.140625" style="1" customWidth="1"/>
    <col min="3" max="3" width="42.7109375" style="1" customWidth="1"/>
    <col min="4" max="4" width="31.140625" style="1" customWidth="1"/>
  </cols>
  <sheetData>
    <row r="1" spans="1:3" ht="12.75" customHeight="1" x14ac:dyDescent="0.2">
      <c r="A1" s="1" t="s">
        <v>0</v>
      </c>
      <c r="B1" s="1" t="s">
        <v>1</v>
      </c>
      <c r="C1" s="1" t="s">
        <v>2</v>
      </c>
    </row>
    <row r="2" spans="1:3" ht="12.75" customHeight="1" x14ac:dyDescent="0.2">
      <c r="A2" s="1" t="s">
        <v>3</v>
      </c>
      <c r="B2" s="1" t="s">
        <v>4</v>
      </c>
      <c r="C2" s="1" t="s">
        <v>32</v>
      </c>
    </row>
    <row r="3" spans="1:3" ht="12.75" customHeight="1" x14ac:dyDescent="0.2">
      <c r="A3" s="2" t="s">
        <v>5</v>
      </c>
      <c r="B3" s="1" t="s">
        <v>6</v>
      </c>
      <c r="C3" s="1" t="s">
        <v>48</v>
      </c>
    </row>
    <row r="4" spans="1:3" ht="12.75" customHeight="1" x14ac:dyDescent="0.2">
      <c r="A4" s="1" t="s">
        <v>7</v>
      </c>
      <c r="B4" s="1" t="s">
        <v>4</v>
      </c>
      <c r="C4" s="1" t="s">
        <v>33</v>
      </c>
    </row>
    <row r="5" spans="1:3" ht="12.75" customHeight="1" x14ac:dyDescent="0.2">
      <c r="A5" s="1" t="s">
        <v>8</v>
      </c>
      <c r="B5" s="1" t="s">
        <v>6</v>
      </c>
      <c r="C5" s="1" t="s">
        <v>9</v>
      </c>
    </row>
    <row r="6" spans="1:3" ht="12.75" customHeight="1" x14ac:dyDescent="0.2">
      <c r="A6" s="1" t="s">
        <v>10</v>
      </c>
      <c r="B6" s="1" t="s">
        <v>4</v>
      </c>
      <c r="C6" s="1" t="s">
        <v>34</v>
      </c>
    </row>
    <row r="7" spans="1:3" ht="12.75" customHeight="1" x14ac:dyDescent="0.2">
      <c r="A7" s="1" t="s">
        <v>11</v>
      </c>
      <c r="B7" s="1" t="s">
        <v>12</v>
      </c>
      <c r="C7" s="3">
        <v>45565</v>
      </c>
    </row>
    <row r="8" spans="1:3" ht="12.75" customHeight="1" x14ac:dyDescent="0.2">
      <c r="A8" s="1" t="s">
        <v>10</v>
      </c>
      <c r="B8" s="1" t="s">
        <v>4</v>
      </c>
      <c r="C8" s="1" t="s">
        <v>35</v>
      </c>
    </row>
    <row r="9" spans="1:3" ht="12.75" customHeight="1" x14ac:dyDescent="0.2">
      <c r="A9" s="1" t="s">
        <v>11</v>
      </c>
      <c r="B9" s="1" t="s">
        <v>12</v>
      </c>
      <c r="C9" s="3">
        <v>45657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zoomScale="120" zoomScaleNormal="120" workbookViewId="0">
      <selection activeCell="G3" sqref="G3:G4"/>
    </sheetView>
  </sheetViews>
  <sheetFormatPr defaultColWidth="11.5703125" defaultRowHeight="12.75" customHeight="1" x14ac:dyDescent="0.2"/>
  <cols>
    <col min="1" max="7" width="21.7109375" style="1" customWidth="1"/>
    <col min="8" max="9" width="23.140625" style="1" customWidth="1"/>
  </cols>
  <sheetData>
    <row r="1" spans="1:10" ht="15" x14ac:dyDescent="0.25">
      <c r="A1" s="4" t="s">
        <v>13</v>
      </c>
      <c r="B1" s="13" t="s">
        <v>36</v>
      </c>
      <c r="G1" s="5"/>
    </row>
    <row r="2" spans="1:10" x14ac:dyDescent="0.2">
      <c r="A2" s="6" t="s">
        <v>14</v>
      </c>
      <c r="B2" s="6" t="s">
        <v>15</v>
      </c>
      <c r="C2" s="6" t="s">
        <v>16</v>
      </c>
      <c r="D2" s="6" t="s">
        <v>37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</row>
    <row r="3" spans="1:10" x14ac:dyDescent="0.2">
      <c r="A3" s="7">
        <v>20240930</v>
      </c>
      <c r="B3" s="7">
        <v>1</v>
      </c>
      <c r="C3" s="7" t="s">
        <v>45</v>
      </c>
      <c r="D3" s="7" t="s">
        <v>23</v>
      </c>
      <c r="E3" s="7">
        <v>20240930</v>
      </c>
      <c r="F3" s="7" t="s">
        <v>38</v>
      </c>
      <c r="G3">
        <v>829.61659999999995</v>
      </c>
      <c r="H3" s="7">
        <v>202409</v>
      </c>
      <c r="I3" s="7">
        <v>202409</v>
      </c>
      <c r="J3" s="7">
        <v>0</v>
      </c>
    </row>
    <row r="4" spans="1:10" x14ac:dyDescent="0.2">
      <c r="A4" s="7">
        <v>20241231</v>
      </c>
      <c r="B4" s="7">
        <v>1</v>
      </c>
      <c r="C4" s="7" t="s">
        <v>45</v>
      </c>
      <c r="D4" s="7" t="s">
        <v>23</v>
      </c>
      <c r="E4" s="7">
        <v>20241231</v>
      </c>
      <c r="F4" s="7" t="s">
        <v>38</v>
      </c>
      <c r="G4" s="8">
        <v>-72.746099999999956</v>
      </c>
      <c r="H4" s="7">
        <v>202412</v>
      </c>
      <c r="I4" s="7">
        <v>202412</v>
      </c>
      <c r="J4" s="7">
        <v>0</v>
      </c>
    </row>
  </sheetData>
  <sortState xmlns:xlrd2="http://schemas.microsoft.com/office/spreadsheetml/2017/richdata2" ref="A3:J4">
    <sortCondition ref="A3:A4"/>
    <sortCondition ref="B3:B4"/>
    <sortCondition ref="C3:C4"/>
    <sortCondition ref="D3:D4"/>
    <sortCondition ref="E3:E4"/>
  </sortState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zoomScale="120" zoomScaleNormal="120" workbookViewId="0">
      <selection activeCell="A2" sqref="A2:F4"/>
    </sheetView>
  </sheetViews>
  <sheetFormatPr defaultColWidth="11.5703125" defaultRowHeight="12.75" customHeight="1" x14ac:dyDescent="0.2"/>
  <cols>
    <col min="1" max="1" width="21.7109375" style="1" customWidth="1"/>
    <col min="2" max="2" width="46.5703125" style="1" customWidth="1"/>
    <col min="3" max="3" width="21.7109375" style="1" customWidth="1"/>
    <col min="4" max="4" width="11.42578125" style="1" customWidth="1"/>
    <col min="5" max="6" width="23.5703125" style="1" customWidth="1"/>
  </cols>
  <sheetData>
    <row r="1" spans="1:6" ht="15" x14ac:dyDescent="0.25">
      <c r="A1" s="4" t="s">
        <v>28</v>
      </c>
      <c r="B1" s="13" t="s">
        <v>36</v>
      </c>
    </row>
    <row r="2" spans="1:6" x14ac:dyDescent="0.2">
      <c r="A2" s="7" t="s">
        <v>14</v>
      </c>
      <c r="B2" s="7" t="s">
        <v>24</v>
      </c>
      <c r="C2" s="7" t="s">
        <v>31</v>
      </c>
      <c r="D2" s="7" t="s">
        <v>26</v>
      </c>
      <c r="E2" s="7" t="s">
        <v>25</v>
      </c>
      <c r="F2" s="7" t="s">
        <v>27</v>
      </c>
    </row>
    <row r="3" spans="1:6" x14ac:dyDescent="0.2">
      <c r="A3" s="7">
        <v>20240930</v>
      </c>
      <c r="B3" s="7" t="s">
        <v>45</v>
      </c>
      <c r="C3" s="7" t="s">
        <v>38</v>
      </c>
      <c r="D3" s="14">
        <v>829.61659999999995</v>
      </c>
      <c r="E3" s="9">
        <v>0</v>
      </c>
      <c r="F3" s="14">
        <v>829.61659999999995</v>
      </c>
    </row>
    <row r="4" spans="1:6" ht="12.75" customHeight="1" x14ac:dyDescent="0.2">
      <c r="A4" s="7">
        <v>20241231</v>
      </c>
      <c r="B4" s="7" t="s">
        <v>45</v>
      </c>
      <c r="C4" s="7" t="s">
        <v>38</v>
      </c>
      <c r="D4" s="8">
        <v>-72.746099999999956</v>
      </c>
      <c r="E4" s="14">
        <v>829.61659999999995</v>
      </c>
      <c r="F4" s="9">
        <f>E4+D4</f>
        <v>756.87049999999999</v>
      </c>
    </row>
  </sheetData>
  <sortState xmlns:xlrd2="http://schemas.microsoft.com/office/spreadsheetml/2017/richdata2" ref="A3:F4">
    <sortCondition ref="A3:A4"/>
    <sortCondition ref="B3:B4"/>
    <sortCondition ref="C3:C4"/>
  </sortState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28C4-3272-4542-9CF5-C9C2B32E1D80}">
  <dimension ref="A1:J4"/>
  <sheetViews>
    <sheetView zoomScale="120" zoomScaleNormal="120" workbookViewId="0">
      <selection activeCell="G3" sqref="G3:G4"/>
    </sheetView>
  </sheetViews>
  <sheetFormatPr defaultColWidth="11.5703125" defaultRowHeight="12.75" customHeight="1" x14ac:dyDescent="0.2"/>
  <cols>
    <col min="1" max="7" width="21.7109375" style="1" customWidth="1"/>
    <col min="8" max="9" width="23.140625" style="1" customWidth="1"/>
  </cols>
  <sheetData>
    <row r="1" spans="1:10" ht="15" x14ac:dyDescent="0.25">
      <c r="A1" s="4" t="s">
        <v>13</v>
      </c>
      <c r="B1" s="13" t="s">
        <v>39</v>
      </c>
      <c r="G1" s="5"/>
    </row>
    <row r="2" spans="1:10" x14ac:dyDescent="0.2">
      <c r="A2" s="6" t="s">
        <v>14</v>
      </c>
      <c r="B2" s="6" t="s">
        <v>15</v>
      </c>
      <c r="C2" s="6" t="s">
        <v>16</v>
      </c>
      <c r="D2" s="6" t="s">
        <v>37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</row>
    <row r="3" spans="1:10" x14ac:dyDescent="0.2">
      <c r="A3" s="7">
        <v>20240930</v>
      </c>
      <c r="B3" s="7">
        <v>1</v>
      </c>
      <c r="C3" s="7" t="s">
        <v>45</v>
      </c>
      <c r="D3" s="7" t="s">
        <v>23</v>
      </c>
      <c r="E3" s="7">
        <v>20240930</v>
      </c>
      <c r="F3" s="7" t="s">
        <v>40</v>
      </c>
      <c r="G3">
        <v>16127.9249</v>
      </c>
      <c r="H3" s="7">
        <v>202409</v>
      </c>
      <c r="I3" s="7">
        <v>202409</v>
      </c>
      <c r="J3" s="7">
        <v>0</v>
      </c>
    </row>
    <row r="4" spans="1:10" x14ac:dyDescent="0.2">
      <c r="A4" s="7">
        <v>20241231</v>
      </c>
      <c r="B4" s="7">
        <v>1</v>
      </c>
      <c r="C4" s="7" t="s">
        <v>45</v>
      </c>
      <c r="D4" s="7" t="s">
        <v>23</v>
      </c>
      <c r="E4" s="7">
        <v>20241231</v>
      </c>
      <c r="F4" s="7" t="s">
        <v>40</v>
      </c>
      <c r="G4" s="8">
        <v>-426.63560000000143</v>
      </c>
      <c r="H4" s="7">
        <v>202412</v>
      </c>
      <c r="I4" s="7">
        <v>202412</v>
      </c>
      <c r="J4" s="7"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7E84-0B85-453D-A7D3-352616C672DF}">
  <dimension ref="A1:F4"/>
  <sheetViews>
    <sheetView zoomScale="120" zoomScaleNormal="120" workbookViewId="0">
      <selection activeCell="E12" sqref="E12"/>
    </sheetView>
  </sheetViews>
  <sheetFormatPr defaultColWidth="11.5703125" defaultRowHeight="12.75" customHeight="1" x14ac:dyDescent="0.2"/>
  <cols>
    <col min="1" max="1" width="21.7109375" style="1" customWidth="1"/>
    <col min="2" max="2" width="46.5703125" style="1" customWidth="1"/>
    <col min="3" max="3" width="21.7109375" style="1" customWidth="1"/>
    <col min="4" max="4" width="11.42578125" style="1" customWidth="1"/>
    <col min="5" max="6" width="23.5703125" style="1" customWidth="1"/>
  </cols>
  <sheetData>
    <row r="1" spans="1:6" ht="15" x14ac:dyDescent="0.25">
      <c r="A1" s="4" t="s">
        <v>28</v>
      </c>
      <c r="B1" s="13" t="s">
        <v>39</v>
      </c>
    </row>
    <row r="2" spans="1:6" x14ac:dyDescent="0.2">
      <c r="A2" s="1" t="s">
        <v>14</v>
      </c>
      <c r="B2" s="1" t="s">
        <v>24</v>
      </c>
      <c r="C2" s="1" t="s">
        <v>31</v>
      </c>
      <c r="D2" s="1" t="s">
        <v>26</v>
      </c>
      <c r="E2" s="1" t="s">
        <v>25</v>
      </c>
      <c r="F2" s="1" t="s">
        <v>27</v>
      </c>
    </row>
    <row r="3" spans="1:6" x14ac:dyDescent="0.2">
      <c r="A3" s="1">
        <v>20240930</v>
      </c>
      <c r="B3" s="1" t="s">
        <v>45</v>
      </c>
      <c r="C3" s="1" t="s">
        <v>40</v>
      </c>
      <c r="D3" s="12">
        <v>16127.9249</v>
      </c>
      <c r="E3" s="12">
        <v>0</v>
      </c>
      <c r="F3" s="12">
        <f>D3</f>
        <v>16127.9249</v>
      </c>
    </row>
    <row r="4" spans="1:6" ht="12.75" customHeight="1" x14ac:dyDescent="0.2">
      <c r="A4" s="1">
        <v>20241231</v>
      </c>
      <c r="B4" s="1" t="s">
        <v>45</v>
      </c>
      <c r="C4" s="1" t="s">
        <v>40</v>
      </c>
      <c r="D4" s="12">
        <v>-426.63560000000143</v>
      </c>
      <c r="E4" s="12">
        <f>F3</f>
        <v>16127.9249</v>
      </c>
      <c r="F4" s="12">
        <f>E4+D4</f>
        <v>15701.289299999999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ACF7B-FF33-4E75-BEBC-909C781D280E}">
  <dimension ref="A1:J4"/>
  <sheetViews>
    <sheetView zoomScale="120" zoomScaleNormal="120" workbookViewId="0">
      <selection activeCell="G3" sqref="G3:G4"/>
    </sheetView>
  </sheetViews>
  <sheetFormatPr defaultColWidth="11.5703125" defaultRowHeight="12.75" customHeight="1" x14ac:dyDescent="0.2"/>
  <cols>
    <col min="1" max="7" width="21.7109375" style="1" customWidth="1"/>
    <col min="8" max="9" width="23.140625" style="1" customWidth="1"/>
  </cols>
  <sheetData>
    <row r="1" spans="1:10" ht="15" x14ac:dyDescent="0.25">
      <c r="A1" s="4" t="s">
        <v>13</v>
      </c>
      <c r="B1" s="13" t="s">
        <v>41</v>
      </c>
      <c r="G1" s="5"/>
    </row>
    <row r="2" spans="1:10" x14ac:dyDescent="0.2">
      <c r="A2" s="6" t="s">
        <v>14</v>
      </c>
      <c r="B2" s="6" t="s">
        <v>15</v>
      </c>
      <c r="C2" s="6" t="s">
        <v>16</v>
      </c>
      <c r="D2" s="6" t="s">
        <v>37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</row>
    <row r="3" spans="1:10" x14ac:dyDescent="0.2">
      <c r="A3" s="7">
        <v>20240930</v>
      </c>
      <c r="B3" s="7">
        <v>1</v>
      </c>
      <c r="C3" s="7" t="s">
        <v>45</v>
      </c>
      <c r="D3" s="7" t="s">
        <v>23</v>
      </c>
      <c r="E3" s="7">
        <v>20240930</v>
      </c>
      <c r="F3" s="10" t="s">
        <v>42</v>
      </c>
      <c r="G3" s="11">
        <v>945.57389999999998</v>
      </c>
      <c r="H3" s="7">
        <v>202409</v>
      </c>
      <c r="I3" s="7">
        <v>202409</v>
      </c>
      <c r="J3" s="10">
        <v>0</v>
      </c>
    </row>
    <row r="4" spans="1:10" x14ac:dyDescent="0.2">
      <c r="A4" s="7">
        <v>20241231</v>
      </c>
      <c r="B4" s="7">
        <v>1</v>
      </c>
      <c r="C4" s="7" t="s">
        <v>45</v>
      </c>
      <c r="D4" s="7" t="s">
        <v>23</v>
      </c>
      <c r="E4" s="7">
        <v>20241231</v>
      </c>
      <c r="F4" s="10" t="s">
        <v>42</v>
      </c>
      <c r="G4" s="11">
        <v>-537.53749999999991</v>
      </c>
      <c r="H4" s="7">
        <v>202412</v>
      </c>
      <c r="I4" s="7">
        <v>202412</v>
      </c>
      <c r="J4" s="10"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58B1-D977-4AB2-8F0A-647A07442DE7}">
  <dimension ref="A1:J4"/>
  <sheetViews>
    <sheetView topLeftCell="B1" zoomScale="120" zoomScaleNormal="120" workbookViewId="0">
      <selection activeCell="G3" sqref="G3:G4"/>
    </sheetView>
  </sheetViews>
  <sheetFormatPr defaultColWidth="11.5703125" defaultRowHeight="12.75" customHeight="1" x14ac:dyDescent="0.2"/>
  <cols>
    <col min="1" max="7" width="21.7109375" style="1" customWidth="1"/>
    <col min="8" max="9" width="23.140625" style="1" customWidth="1"/>
  </cols>
  <sheetData>
    <row r="1" spans="1:10" ht="15" x14ac:dyDescent="0.25">
      <c r="A1" s="4" t="s">
        <v>13</v>
      </c>
      <c r="B1" s="13" t="s">
        <v>43</v>
      </c>
      <c r="G1" s="5"/>
    </row>
    <row r="2" spans="1:10" x14ac:dyDescent="0.2">
      <c r="A2" s="6" t="s">
        <v>14</v>
      </c>
      <c r="B2" s="6" t="s">
        <v>15</v>
      </c>
      <c r="C2" s="6" t="s">
        <v>16</v>
      </c>
      <c r="D2" s="6" t="s">
        <v>37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</row>
    <row r="3" spans="1:10" x14ac:dyDescent="0.2">
      <c r="A3" s="7">
        <v>20240930</v>
      </c>
      <c r="B3" s="7">
        <v>1</v>
      </c>
      <c r="C3" s="7" t="s">
        <v>45</v>
      </c>
      <c r="D3" s="7" t="s">
        <v>23</v>
      </c>
      <c r="E3" s="7">
        <v>20240930</v>
      </c>
      <c r="F3" s="10" t="s">
        <v>44</v>
      </c>
      <c r="G3">
        <v>437.89499999999998</v>
      </c>
      <c r="H3" s="7">
        <v>202409</v>
      </c>
      <c r="I3" s="7">
        <v>202409</v>
      </c>
      <c r="J3" s="10">
        <v>0</v>
      </c>
    </row>
    <row r="4" spans="1:10" x14ac:dyDescent="0.2">
      <c r="A4" s="7">
        <v>20241231</v>
      </c>
      <c r="B4" s="7">
        <v>1</v>
      </c>
      <c r="C4" s="7" t="s">
        <v>45</v>
      </c>
      <c r="D4" s="7" t="s">
        <v>23</v>
      </c>
      <c r="E4" s="7">
        <v>20241231</v>
      </c>
      <c r="F4" s="10" t="s">
        <v>44</v>
      </c>
      <c r="G4" s="11">
        <v>-73.215900000000033</v>
      </c>
      <c r="H4" s="7">
        <v>202412</v>
      </c>
      <c r="I4" s="7">
        <v>202412</v>
      </c>
      <c r="J4" s="10"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07A6-16AA-42D5-BBFE-93ACD3FDBA16}">
  <dimension ref="A1:J4"/>
  <sheetViews>
    <sheetView zoomScale="120" zoomScaleNormal="120" workbookViewId="0">
      <selection activeCell="E4" sqref="E4"/>
    </sheetView>
  </sheetViews>
  <sheetFormatPr defaultColWidth="11.5703125" defaultRowHeight="12.75" customHeight="1" x14ac:dyDescent="0.2"/>
  <cols>
    <col min="1" max="7" width="21.7109375" style="1" customWidth="1"/>
    <col min="8" max="9" width="23.140625" style="1" customWidth="1"/>
  </cols>
  <sheetData>
    <row r="1" spans="1:10" ht="15" x14ac:dyDescent="0.25">
      <c r="A1" s="4" t="s">
        <v>13</v>
      </c>
      <c r="B1" s="13" t="s">
        <v>46</v>
      </c>
      <c r="G1" s="5"/>
    </row>
    <row r="2" spans="1:10" x14ac:dyDescent="0.2">
      <c r="A2" s="6" t="s">
        <v>14</v>
      </c>
      <c r="B2" s="6" t="s">
        <v>15</v>
      </c>
      <c r="C2" s="6" t="s">
        <v>16</v>
      </c>
      <c r="D2" s="6" t="s">
        <v>37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</row>
    <row r="3" spans="1:10" x14ac:dyDescent="0.2">
      <c r="A3" s="7">
        <v>20240930</v>
      </c>
      <c r="B3" s="7">
        <v>1</v>
      </c>
      <c r="C3" s="7" t="s">
        <v>45</v>
      </c>
      <c r="D3" s="7" t="s">
        <v>23</v>
      </c>
      <c r="E3" s="7">
        <v>20240930</v>
      </c>
      <c r="F3" s="7" t="s">
        <v>47</v>
      </c>
      <c r="G3">
        <v>437854.35</v>
      </c>
      <c r="H3" s="7">
        <v>202409</v>
      </c>
      <c r="I3" s="7">
        <v>202409</v>
      </c>
      <c r="J3" s="7">
        <v>0</v>
      </c>
    </row>
    <row r="4" spans="1:10" x14ac:dyDescent="0.2">
      <c r="A4" s="7">
        <v>20241231</v>
      </c>
      <c r="B4" s="7">
        <v>1</v>
      </c>
      <c r="C4" s="7" t="s">
        <v>45</v>
      </c>
      <c r="D4" s="7" t="s">
        <v>23</v>
      </c>
      <c r="E4" s="7">
        <v>20241231</v>
      </c>
      <c r="F4" s="7" t="s">
        <v>47</v>
      </c>
      <c r="G4" s="8">
        <v>-5671.234999999986</v>
      </c>
      <c r="H4" s="7">
        <v>202412</v>
      </c>
      <c r="I4" s="7">
        <v>202412</v>
      </c>
      <c r="J4" s="7"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C3A5-E1A8-4553-B940-7D149658B15C}">
  <dimension ref="A1:F4"/>
  <sheetViews>
    <sheetView zoomScale="120" zoomScaleNormal="120" workbookViewId="0">
      <selection activeCell="A2" sqref="A2:F4"/>
    </sheetView>
  </sheetViews>
  <sheetFormatPr defaultColWidth="11.5703125" defaultRowHeight="12.75" customHeight="1" x14ac:dyDescent="0.2"/>
  <cols>
    <col min="1" max="1" width="21.7109375" style="1" customWidth="1"/>
    <col min="2" max="2" width="46.5703125" style="1" customWidth="1"/>
    <col min="3" max="3" width="21.7109375" style="1" customWidth="1"/>
    <col min="4" max="4" width="11.42578125" style="1" customWidth="1"/>
    <col min="5" max="6" width="23.5703125" style="1" customWidth="1"/>
  </cols>
  <sheetData>
    <row r="1" spans="1:6" ht="15" x14ac:dyDescent="0.25">
      <c r="A1" s="4" t="s">
        <v>28</v>
      </c>
      <c r="B1" s="13" t="s">
        <v>41</v>
      </c>
    </row>
    <row r="2" spans="1:6" x14ac:dyDescent="0.2">
      <c r="A2" s="1" t="s">
        <v>14</v>
      </c>
      <c r="B2" s="1" t="s">
        <v>24</v>
      </c>
      <c r="C2" s="1" t="s">
        <v>31</v>
      </c>
      <c r="D2" s="1" t="s">
        <v>26</v>
      </c>
      <c r="E2" s="1" t="s">
        <v>25</v>
      </c>
      <c r="F2" s="1" t="s">
        <v>27</v>
      </c>
    </row>
    <row r="3" spans="1:6" x14ac:dyDescent="0.2">
      <c r="A3" s="1">
        <v>20240930</v>
      </c>
      <c r="B3" s="1" t="s">
        <v>45</v>
      </c>
      <c r="C3" s="1" t="s">
        <v>42</v>
      </c>
      <c r="D3" s="12">
        <v>945.57389999999998</v>
      </c>
      <c r="E3" s="12">
        <v>0</v>
      </c>
      <c r="F3" s="12">
        <f>D3</f>
        <v>945.57389999999998</v>
      </c>
    </row>
    <row r="4" spans="1:6" ht="12.75" customHeight="1" x14ac:dyDescent="0.2">
      <c r="A4" s="1">
        <v>20241231</v>
      </c>
      <c r="B4" s="1" t="s">
        <v>45</v>
      </c>
      <c r="C4" s="1" t="s">
        <v>42</v>
      </c>
      <c r="D4" s="12">
        <v>-537.53749999999991</v>
      </c>
      <c r="E4" s="12">
        <f>F3</f>
        <v>945.57389999999998</v>
      </c>
      <c r="F4" s="12">
        <f>E4+D4</f>
        <v>408.03640000000007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F5E7-D22F-4E2A-A5A2-CD932EA96E4A}">
  <dimension ref="A1:F4"/>
  <sheetViews>
    <sheetView zoomScale="120" zoomScaleNormal="120" workbookViewId="0">
      <selection activeCell="A2" sqref="A2:F4"/>
    </sheetView>
  </sheetViews>
  <sheetFormatPr defaultColWidth="11.5703125" defaultRowHeight="12.75" customHeight="1" x14ac:dyDescent="0.2"/>
  <cols>
    <col min="1" max="1" width="21.7109375" style="1" customWidth="1"/>
    <col min="2" max="2" width="46.5703125" style="1" customWidth="1"/>
    <col min="3" max="3" width="21.7109375" style="1" customWidth="1"/>
    <col min="4" max="4" width="11.42578125" style="1" customWidth="1"/>
    <col min="5" max="6" width="23.5703125" style="1" customWidth="1"/>
  </cols>
  <sheetData>
    <row r="1" spans="1:6" ht="15" x14ac:dyDescent="0.25">
      <c r="A1" s="4" t="s">
        <v>28</v>
      </c>
      <c r="B1" s="13" t="s">
        <v>43</v>
      </c>
    </row>
    <row r="2" spans="1:6" x14ac:dyDescent="0.2">
      <c r="A2" s="1" t="s">
        <v>14</v>
      </c>
      <c r="B2" s="1" t="s">
        <v>24</v>
      </c>
      <c r="C2" s="1" t="s">
        <v>31</v>
      </c>
      <c r="D2" s="1" t="s">
        <v>26</v>
      </c>
      <c r="E2" s="1" t="s">
        <v>25</v>
      </c>
      <c r="F2" s="1" t="s">
        <v>27</v>
      </c>
    </row>
    <row r="3" spans="1:6" ht="12.75" customHeight="1" x14ac:dyDescent="0.2">
      <c r="A3" s="1">
        <v>20240930</v>
      </c>
      <c r="B3" s="1" t="s">
        <v>45</v>
      </c>
      <c r="C3" s="1" t="s">
        <v>44</v>
      </c>
      <c r="D3">
        <v>437.89499999999998</v>
      </c>
      <c r="E3" s="12">
        <v>0</v>
      </c>
      <c r="F3" s="12">
        <f>D3</f>
        <v>437.89499999999998</v>
      </c>
    </row>
    <row r="4" spans="1:6" ht="12.75" customHeight="1" x14ac:dyDescent="0.2">
      <c r="A4" s="1">
        <v>20241231</v>
      </c>
      <c r="B4" s="1" t="s">
        <v>45</v>
      </c>
      <c r="C4" s="1" t="s">
        <v>44</v>
      </c>
      <c r="D4" s="11">
        <v>-73.215900000000033</v>
      </c>
      <c r="E4" s="12">
        <f>F3</f>
        <v>437.89499999999998</v>
      </c>
      <c r="F4" s="12">
        <f>E4+D4</f>
        <v>364.67909999999995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2859-3ACC-4D52-AA1F-76F2F7167996}">
  <dimension ref="A1:F4"/>
  <sheetViews>
    <sheetView zoomScale="120" zoomScaleNormal="120" workbookViewId="0">
      <selection activeCell="A3" sqref="A3:B4"/>
    </sheetView>
  </sheetViews>
  <sheetFormatPr defaultColWidth="11.5703125" defaultRowHeight="12.75" customHeight="1" x14ac:dyDescent="0.2"/>
  <cols>
    <col min="1" max="1" width="21.7109375" style="1" customWidth="1"/>
    <col min="2" max="2" width="46.5703125" style="1" customWidth="1"/>
    <col min="3" max="3" width="21.7109375" style="1" customWidth="1"/>
    <col min="4" max="4" width="19.5703125" style="1" customWidth="1"/>
    <col min="5" max="6" width="23.5703125" style="1" customWidth="1"/>
  </cols>
  <sheetData>
    <row r="1" spans="1:6" ht="15" x14ac:dyDescent="0.25">
      <c r="A1" s="4" t="s">
        <v>28</v>
      </c>
      <c r="B1" s="13" t="s">
        <v>46</v>
      </c>
    </row>
    <row r="2" spans="1:6" x14ac:dyDescent="0.2">
      <c r="A2" s="1" t="s">
        <v>14</v>
      </c>
      <c r="B2" s="1" t="s">
        <v>24</v>
      </c>
      <c r="C2" s="1" t="s">
        <v>31</v>
      </c>
      <c r="D2" s="1" t="s">
        <v>26</v>
      </c>
      <c r="E2" s="1" t="s">
        <v>25</v>
      </c>
      <c r="F2" s="1" t="s">
        <v>27</v>
      </c>
    </row>
    <row r="3" spans="1:6" x14ac:dyDescent="0.2">
      <c r="A3" s="1">
        <v>20240930</v>
      </c>
      <c r="B3" s="1" t="s">
        <v>45</v>
      </c>
      <c r="C3" s="1" t="s">
        <v>47</v>
      </c>
      <c r="D3">
        <v>437854.35</v>
      </c>
      <c r="E3" s="12">
        <v>0</v>
      </c>
      <c r="F3" s="12">
        <f>D3</f>
        <v>437854.35</v>
      </c>
    </row>
    <row r="4" spans="1:6" ht="12.75" customHeight="1" x14ac:dyDescent="0.2">
      <c r="A4" s="1">
        <v>20241231</v>
      </c>
      <c r="B4" s="1" t="s">
        <v>45</v>
      </c>
      <c r="C4" s="1" t="s">
        <v>47</v>
      </c>
      <c r="D4" s="8">
        <v>-5671.234999999986</v>
      </c>
      <c r="E4" s="12">
        <f>F3</f>
        <v>437854.35</v>
      </c>
      <c r="F4" s="12">
        <f>E4+D4</f>
        <v>432183.11499999999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zoomScale="120" zoomScaleNormal="120" workbookViewId="0"/>
  </sheetViews>
  <sheetFormatPr defaultColWidth="11.5703125" defaultRowHeight="12.75" customHeight="1" x14ac:dyDescent="0.2"/>
  <cols>
    <col min="1" max="1" width="21.7109375" style="1" customWidth="1"/>
    <col min="2" max="2" width="46.5703125" style="1" customWidth="1"/>
    <col min="3" max="3" width="23.5703125" style="1" customWidth="1"/>
    <col min="4" max="5" width="24.85546875" style="1" customWidth="1"/>
    <col min="6" max="6" width="23.5703125" style="1" customWidth="1"/>
    <col min="7" max="7" width="21" style="1" customWidth="1"/>
  </cols>
  <sheetData>
    <row r="1" spans="1:5" ht="15" x14ac:dyDescent="0.25">
      <c r="A1" s="4" t="s">
        <v>29</v>
      </c>
      <c r="B1" s="5" t="s">
        <v>30</v>
      </c>
    </row>
    <row r="2" spans="1:5" x14ac:dyDescent="0.2">
      <c r="A2" s="1" t="s">
        <v>14</v>
      </c>
      <c r="B2" s="1" t="s">
        <v>24</v>
      </c>
      <c r="C2" s="1" t="s">
        <v>25</v>
      </c>
      <c r="D2" s="1" t="s">
        <v>26</v>
      </c>
      <c r="E2" s="1" t="s">
        <v>27</v>
      </c>
    </row>
    <row r="3" spans="1:5" x14ac:dyDescent="0.2">
      <c r="A3" s="1">
        <v>20240930</v>
      </c>
      <c r="B3" s="1" t="s">
        <v>45</v>
      </c>
      <c r="C3" s="1">
        <v>0</v>
      </c>
      <c r="D3" s="1">
        <f>O_TransactionActivity!G3+O_TransactionActivity2!G3+O_TransactionActivity3!G3+O_TransactionActivity5!G3+O_TransactionActivity6!G3</f>
        <v>456195.36040000001</v>
      </c>
      <c r="E3" s="1">
        <f>D3</f>
        <v>456195.36040000001</v>
      </c>
    </row>
    <row r="4" spans="1:5" x14ac:dyDescent="0.2">
      <c r="A4" s="1">
        <v>20241231</v>
      </c>
      <c r="B4" s="1" t="s">
        <v>45</v>
      </c>
      <c r="C4" s="1">
        <f>E3</f>
        <v>456195.36040000001</v>
      </c>
      <c r="D4" s="1">
        <f>O_TransactionActivity!G4+O_TransactionActivity2!G4+O_TransactionActivity3!G4+O_TransactionActivity5!G4+O_TransactionActivity6!G4</f>
        <v>-6781.3700999999874</v>
      </c>
      <c r="E4" s="1">
        <f>C4+D4</f>
        <v>449413.9903</v>
      </c>
    </row>
  </sheetData>
  <sortState xmlns:xlrd2="http://schemas.microsoft.com/office/spreadsheetml/2017/richdata2" ref="A3:E4">
    <sortCondition ref="A3:A4"/>
    <sortCondition ref="B3:B4"/>
  </sortState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4982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Test</vt:lpstr>
      <vt:lpstr>O_TransactionActivity</vt:lpstr>
      <vt:lpstr>O_Instrument</vt:lpstr>
      <vt:lpstr>O_TransactionActivity2</vt:lpstr>
      <vt:lpstr>O_Instrument2</vt:lpstr>
      <vt:lpstr>O_TransactionActivity3</vt:lpstr>
      <vt:lpstr>O_TransactionActivity5</vt:lpstr>
      <vt:lpstr>O_TransactionActivity6</vt:lpstr>
      <vt:lpstr>O_Instrument3</vt:lpstr>
      <vt:lpstr>O_Instrument5</vt:lpstr>
      <vt:lpstr>O_Instrument6</vt:lpstr>
      <vt:lpstr>O_Metric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Rafay Ahmed</cp:lastModifiedBy>
  <cp:revision>146</cp:revision>
  <dcterms:created xsi:type="dcterms:W3CDTF">2025-06-10T09:23:35Z</dcterms:created>
  <dcterms:modified xsi:type="dcterms:W3CDTF">2025-12-10T04:27:02Z</dcterms:modified>
  <dc:language>en-US</dc:language>
</cp:coreProperties>
</file>