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IFRS9\"/>
    </mc:Choice>
  </mc:AlternateContent>
  <xr:revisionPtr revIDLastSave="0" documentId="13_ncr:1_{00A9A1EB-FFDC-4223-AB01-242B1929573B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19" l="1"/>
  <c r="D3" i="19"/>
  <c r="F3" i="19" s="1"/>
  <c r="E4" i="19" s="1"/>
  <c r="F4" i="19" s="1"/>
  <c r="D4" i="5"/>
  <c r="D3" i="5"/>
  <c r="E3" i="5" s="1"/>
  <c r="C4" i="5" s="1"/>
  <c r="E4" i="5" s="1"/>
  <c r="D4" i="18"/>
  <c r="D3" i="18"/>
  <c r="F3" i="18" s="1"/>
  <c r="E4" i="18" s="1"/>
  <c r="F4" i="18" s="1"/>
  <c r="D4" i="17"/>
  <c r="D3" i="17"/>
  <c r="F3" i="17" s="1"/>
  <c r="E4" i="17" s="1"/>
  <c r="F4" i="17" s="1"/>
  <c r="D4" i="16"/>
  <c r="D3" i="16"/>
  <c r="F3" i="16" s="1"/>
  <c r="E4" i="16" s="1"/>
  <c r="F4" i="16" s="1"/>
  <c r="D4" i="4"/>
  <c r="D3" i="4"/>
  <c r="F3" i="4" s="1"/>
  <c r="E4" i="4" s="1"/>
  <c r="F4" i="4" l="1"/>
</calcChain>
</file>

<file path=xl/sharedStrings.xml><?xml version="1.0" encoding="utf-8"?>
<sst xmlns="http://schemas.openxmlformats.org/spreadsheetml/2006/main" count="184" uniqueCount="50">
  <si>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</si>
  <si>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</si>
  <si>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</si>
  <si>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</si>
  <si>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</si>
  <si>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</si>
  <si>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</si>
  <si>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</si>
  <si>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</si>
  <si>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</si>
  <si>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</si>
  <si>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</si>
  <si>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</si>
  <si>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</si>
  <si>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</si>
  <si>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</si>
  <si>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</si>
  <si>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</si>
  <si>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</si>
  <si>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</si>
  <si>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</si>
  <si>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</si>
  <si>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</si>
  <si>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</si>
  <si>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</si>
  <si>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</si>
  <si>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</si>
  <si>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</si>
  <si>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</si>
  <si>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</si>
  <si>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</si>
  <si>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</si>
  <si>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</si>
  <si>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</si>
  <si>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</si>
  <si>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</si>
  <si>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</si>
  <si>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</si>
  <si>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</si>
  <si>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</si>
  <si>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</si>
  <si>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</si>
  <si>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</si>
  <si>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</si>
  <si>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</si>
  <si>
    <t>ECL</t>
  </si>
  <si>
    <t>TestIFRS9/ActivityData/ActivityData.xlsx</t>
  </si>
  <si>
    <t>TestIFRS9/ActivityData/ActivityDataD2.xlsx</t>
  </si>
  <si>
    <t>TestIFRS9/Model/IFRS9_Model_withoutCustomTable.xlsx</t>
  </si>
  <si>
    <t>TestIFRS9/ReferenceData/RefData_Ifrs9_Col.xlsx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</si>
</sst>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  <xf numFmtId="166" fontId="0" fillId="0" borderId="1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zoomScale="120" zoomScaleNormal="120" workbookViewId="0">
      <selection activeCell="C4" sqref="C4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49</v>
      </c>
    </row>
    <row r="3" spans="1:3" ht="12.75" customHeight="1" x14ac:dyDescent="0.2">
      <c r="A3" s="2" t="s">
        <v>5</v>
      </c>
      <c r="B3" s="1" t="s">
        <v>6</v>
      </c>
      <c r="C3" s="1" t="s">
        <v>43</v>
      </c>
    </row>
    <row r="4" spans="1:3" ht="12.75" customHeight="1" x14ac:dyDescent="0.2">
      <c r="A4" s="1" t="s">
        <v>7</v>
      </c>
      <c r="B4" s="1" t="s">
        <v>4</v>
      </c>
      <c r="C4" s="1" t="s">
        <v>48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46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47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44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40</v>
      </c>
      <c r="D3" s="7" t="s">
        <v>23</v>
      </c>
      <c r="E3" s="7">
        <v>20240930</v>
      </c>
      <c r="F3" s="7" t="s">
        <v>33</v>
      </c>
      <c r="G3">
        <v>830.10310000000004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40</v>
      </c>
      <c r="D4" s="7" t="s">
        <v>23</v>
      </c>
      <c r="E4" s="7">
        <v>20241231</v>
      </c>
      <c r="F4" s="7" t="s">
        <v>33</v>
      </c>
      <c r="G4" s="8">
        <v>-73.232600000000005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32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45</v>
      </c>
      <c r="C3" s="7" t="s">
        <v>33</v>
      </c>
      <c r="D3" s="14">
        <f>O_TransactionActivity!G3</f>
        <v>830.10310000000004</v>
      </c>
      <c r="E3" s="9">
        <v>0</v>
      </c>
      <c r="F3" s="15">
        <f>D3+E3</f>
        <v>830.10310000000004</v>
      </c>
    </row>
    <row r="4" spans="1:6" ht="12.75" customHeight="1" x14ac:dyDescent="0.2">
      <c r="A4" s="7">
        <v>20241231</v>
      </c>
      <c r="B4" s="7" t="s">
        <v>45</v>
      </c>
      <c r="C4" s="7" t="s">
        <v>33</v>
      </c>
      <c r="D4" s="14">
        <f>O_TransactionActivity!G4</f>
        <v>-73.232600000000005</v>
      </c>
      <c r="E4" s="14">
        <f>F3</f>
        <v>830.10310000000004</v>
      </c>
      <c r="F4" s="15">
        <f>D4+E4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34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44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40</v>
      </c>
      <c r="D3" s="7" t="s">
        <v>23</v>
      </c>
      <c r="E3" s="7">
        <v>20240930</v>
      </c>
      <c r="F3" s="7" t="s">
        <v>35</v>
      </c>
      <c r="G3">
        <v>16137.294699999999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40</v>
      </c>
      <c r="D4" s="7" t="s">
        <v>23</v>
      </c>
      <c r="E4" s="7">
        <v>20241231</v>
      </c>
      <c r="F4" s="7" t="s">
        <v>35</v>
      </c>
      <c r="G4" s="8">
        <v>-436.00540000000001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34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7" t="s">
        <v>45</v>
      </c>
      <c r="C3" s="1" t="s">
        <v>35</v>
      </c>
      <c r="D3" s="12">
        <f>O_TransactionActivity2!G3</f>
        <v>16137.294699999999</v>
      </c>
      <c r="E3" s="9">
        <v>0</v>
      </c>
      <c r="F3" s="15">
        <f>D3+E3</f>
        <v>16137.294699999999</v>
      </c>
    </row>
    <row r="4" spans="1:6" ht="12.75" customHeight="1" x14ac:dyDescent="0.2">
      <c r="A4" s="1">
        <v>20241231</v>
      </c>
      <c r="B4" s="7" t="s">
        <v>45</v>
      </c>
      <c r="C4" s="1" t="s">
        <v>35</v>
      </c>
      <c r="D4" s="12">
        <f>O_TransactionActivity2!G4</f>
        <v>-436.00540000000001</v>
      </c>
      <c r="E4" s="14">
        <f>F3</f>
        <v>16137.294699999999</v>
      </c>
      <c r="F4" s="15">
        <f>D4+E4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A36" sqref="A36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44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40</v>
      </c>
      <c r="D3" s="7" t="s">
        <v>23</v>
      </c>
      <c r="E3" s="7">
        <v>20240930</v>
      </c>
      <c r="F3" s="10" t="s">
        <v>37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40</v>
      </c>
      <c r="D4" s="7" t="s">
        <v>23</v>
      </c>
      <c r="E4" s="7">
        <v>20241231</v>
      </c>
      <c r="F4" s="10" t="s">
        <v>37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44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40</v>
      </c>
      <c r="D3" s="7" t="s">
        <v>23</v>
      </c>
      <c r="E3" s="7">
        <v>20240930</v>
      </c>
      <c r="F3" s="10" t="s">
        <v>39</v>
      </c>
      <c r="G3">
        <v>438.15229999999997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40</v>
      </c>
      <c r="D4" s="7" t="s">
        <v>23</v>
      </c>
      <c r="E4" s="7">
        <v>20241231</v>
      </c>
      <c r="F4" s="10" t="s">
        <v>39</v>
      </c>
      <c r="G4" s="11">
        <v>-73.47320000000002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41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44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40</v>
      </c>
      <c r="D3" s="7" t="s">
        <v>23</v>
      </c>
      <c r="E3" s="7">
        <v>20240930</v>
      </c>
      <c r="F3" s="7" t="s">
        <v>42</v>
      </c>
      <c r="G3">
        <v>437854.35000000003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40</v>
      </c>
      <c r="D4" s="7" t="s">
        <v>23</v>
      </c>
      <c r="E4" s="7">
        <v>20241231</v>
      </c>
      <c r="F4" s="7" t="s">
        <v>42</v>
      </c>
      <c r="G4" s="8">
        <v>-5671.2349999999997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7" t="s">
        <v>45</v>
      </c>
      <c r="C3" s="1" t="s">
        <v>37</v>
      </c>
      <c r="D3" s="12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7" t="s">
        <v>45</v>
      </c>
      <c r="C4" s="1" t="s">
        <v>37</v>
      </c>
      <c r="D4" s="12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7" t="s">
        <v>45</v>
      </c>
      <c r="C3" s="1" t="s">
        <v>39</v>
      </c>
      <c r="D3">
        <f>O_TransactionActivity5!G3</f>
        <v>438.15229999999997</v>
      </c>
      <c r="E3" s="9">
        <v>0</v>
      </c>
      <c r="F3" s="15">
        <f>D3+E3</f>
        <v>438.15229999999997</v>
      </c>
    </row>
    <row r="4" spans="1:6" ht="12.75" customHeight="1" x14ac:dyDescent="0.2">
      <c r="A4" s="1">
        <v>20241231</v>
      </c>
      <c r="B4" s="7" t="s">
        <v>45</v>
      </c>
      <c r="C4" s="1" t="s">
        <v>39</v>
      </c>
      <c r="D4">
        <f>O_TransactionActivity5!G4</f>
        <v>-73.47320000000002</v>
      </c>
      <c r="E4" s="14">
        <f>F3</f>
        <v>438.15229999999997</v>
      </c>
      <c r="F4" s="15">
        <f>D4+E4</f>
        <v>364.67909999999995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41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7" t="s">
        <v>45</v>
      </c>
      <c r="C3" s="1" t="s">
        <v>42</v>
      </c>
      <c r="D3">
        <f>O_TransactionActivity6!G3</f>
        <v>437854.35000000003</v>
      </c>
      <c r="E3" s="9">
        <v>0</v>
      </c>
      <c r="F3" s="15">
        <f>D3+E3</f>
        <v>437854.35000000003</v>
      </c>
    </row>
    <row r="4" spans="1:6" ht="12.75" customHeight="1" x14ac:dyDescent="0.2">
      <c r="A4" s="1">
        <v>20241231</v>
      </c>
      <c r="B4" s="7" t="s">
        <v>45</v>
      </c>
      <c r="C4" s="1" t="s">
        <v>42</v>
      </c>
      <c r="D4" s="8">
        <f>O_TransactionActivity6!G4</f>
        <v>-5671.2349999999997</v>
      </c>
      <c r="E4" s="14">
        <f>F3</f>
        <v>437854.35000000003</v>
      </c>
      <c r="F4" s="15">
        <f>D4+E4</f>
        <v>432183.11500000005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>
      <selection activeCell="C4" sqref="C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7" t="s">
        <v>45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>C3+D3</f>
        <v>456205.4740000001</v>
      </c>
    </row>
    <row r="4" spans="1:5" x14ac:dyDescent="0.2">
      <c r="A4" s="1">
        <v>20241231</v>
      </c>
      <c r="B4" s="7" t="s">
        <v>45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-6791.4836999999998</v>
      </c>
      <c r="E4" s="1">
        <f>C4+D4</f>
        <v>449413.99030000012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2025-12-13T10:55:04Z</dcterms:modified>
  <dc:language>en-US</dc:language>
</cp:coreProperties>
</file>