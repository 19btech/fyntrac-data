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Collateral\"/>
    </mc:Choice>
  </mc:AlternateContent>
  <xr:revisionPtr revIDLastSave="0" documentId="13_ncr:1_{99AB4963-610C-48C7-B10B-80F4B8BCD1D5}" xr6:coauthVersionLast="47" xr6:coauthVersionMax="47" xr10:uidLastSave="{00000000-0000-0000-0000-000000000000}"/>
  <bookViews>
    <workbookView xWindow="-120" yWindow="-120" windowWidth="29040" windowHeight="17520" tabRatio="500" firstSheet="3" activeTab="7" xr2:uid="{00000000-000D-0000-FFFF-FFFF00000000}"/>
  </bookViews>
  <sheets>
    <sheet name="Test" sheetId="1" r:id="rId1"/>
    <sheet name="O_TransactionActivity" sheetId="2" r:id="rId2"/>
    <sheet name="O_Instrument" sheetId="4" r:id="rId3"/>
    <sheet name="O_TransactionActivity2" sheetId="8" r:id="rId4"/>
    <sheet name="O_Instrument2" sheetId="16" r:id="rId5"/>
    <sheet name="O_TransactionActivity3" sheetId="9" r:id="rId6"/>
    <sheet name="O_TransactionActivity5" sheetId="11" r:id="rId7"/>
    <sheet name="O_TransactionActivity6" sheetId="10" r:id="rId8"/>
    <sheet name="O_Instrument3" sheetId="17" r:id="rId9"/>
    <sheet name="O_Instrument5" sheetId="19" r:id="rId10"/>
    <sheet name="O_Instrument6" sheetId="18" r:id="rId11"/>
    <sheet name="O_Metric" sheetId="5" r:id="rId12"/>
  </sheets>
  <definedNames>
    <definedName name="_xlnm._FilterDatabase" localSheetId="2" hidden="1">O_Instrument!$A$2:$F$4</definedName>
    <definedName name="_xlnm._FilterDatabase" localSheetId="4" hidden="1">O_Instrument2!$A$2:$F$4</definedName>
    <definedName name="_xlnm._FilterDatabase" localSheetId="8" hidden="1">O_Instrument3!$A$2:$F$4</definedName>
    <definedName name="_xlnm._FilterDatabase" localSheetId="9" hidden="1">O_Instrument5!$A$2:$F$4</definedName>
    <definedName name="_xlnm._FilterDatabase" localSheetId="10" hidden="1">O_Instrument6!$A$2:$F$4</definedName>
    <definedName name="_xlnm._FilterDatabase" localSheetId="1" hidden="1">O_TransactionActivity!$A$2:$J$4</definedName>
    <definedName name="_xlnm._FilterDatabase" localSheetId="3" hidden="1">O_TransactionActivity2!$A$2:$J$4</definedName>
    <definedName name="_xlnm._FilterDatabase" localSheetId="5" hidden="1">O_TransactionActivity3!$A$2:$J$4</definedName>
    <definedName name="_xlnm._FilterDatabase" localSheetId="6" hidden="1">O_TransactionActivity5!$A$2:$J$4</definedName>
    <definedName name="_xlnm._FilterDatabase" localSheetId="7" hidden="1">O_TransactionActivity6!$A$2:$J$4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4" i="5" l="1"/>
  <c r="D3" i="5"/>
  <c r="E3" i="5" s="1"/>
  <c r="C4" i="5" s="1"/>
  <c r="E4" i="5" s="1"/>
  <c r="F3" i="18"/>
  <c r="E4" i="18" s="1"/>
  <c r="F4" i="18" s="1"/>
  <c r="F3" i="19"/>
  <c r="E4" i="19" s="1"/>
  <c r="F4" i="19" s="1"/>
  <c r="F3" i="17"/>
  <c r="E4" i="17" s="1"/>
  <c r="F4" i="17" s="1"/>
  <c r="F4" i="16"/>
  <c r="E4" i="16"/>
  <c r="F3" i="16"/>
  <c r="F4" i="4"/>
</calcChain>
</file>

<file path=xl/sharedStrings.xml><?xml version="1.0" encoding="utf-8"?>
<sst xmlns="http://schemas.openxmlformats.org/spreadsheetml/2006/main" count="184" uniqueCount="49">
  <si>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</si>
  <si>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</si>
  <si>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</si>
  <si>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</si>
  <si>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</si>
  <si>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</si>
  <si>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</si>
  <si>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</si>
  <si>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</si>
  <si>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</si>
  <si>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</si>
  <si>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</si>
  <si>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</si>
  <si>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</si>
  <si>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</si>
  <si>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</si>
  <si>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</si>
  <si>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</si>
  <si>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</si>
  <si>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</si>
  <si>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</si>
  <si>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</si>
  <si>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</si>
  <si>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</si>
  <si>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</si>
  <si>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</si>
  <si>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</si>
  <si>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</si>
  <si>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</si>
  <si>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</si>
  <si>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</si>
  <si>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instrumentId ASC</t>
  </si>
  <si>
    <t>TestIFRS9/RefData_Ifrs9_Col.xlsx</t>
  </si>
  <si>
    <t>TestIFRS9/IFRS9_Model_withoutCustomTable.xlsx</t>
  </si>
  <si>
    <t>TestIFRS9/ActivityData.xlsx</t>
  </si>
  <si>
    <t>TestIFRS9/ActivityDataD2.xlsx</t>
  </si>
  <si>
    <t>TestIFRS9/EventConfigurations.jL00n</t>
  </si>
  <si>
    <t>{"instrumentId": "L001"}</t>
  </si>
  <si>
    <t>L00urce ASC</t>
  </si>
  <si>
    <t>L001</t>
  </si>
  <si>
    <t>{"instrumentId": "L002"}</t>
  </si>
  <si>
    <t>L002</t>
  </si>
  <si>
    <t>{"instrumentId": "L003"}</t>
  </si>
  <si>
    <t>L003</t>
  </si>
  <si>
    <t>{"instrumentId": "L005"}</t>
  </si>
  <si>
    <t>L005</t>
  </si>
  <si>
    <t>EXPECTED_CREDIT_LOSS</t>
  </si>
  <si>
    <t>{"instrumentId": "L006"}</t>
  </si>
  <si>
    <t>L006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</si>
</sst>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0" fontId="0" fillId="3" borderId="1" xfId="0" applyFill="1" applyBorder="1" applyAlignment="1" applyProtection="1"/>
    <xf numFmtId="165" fontId="0" fillId="3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0" fillId="0" borderId="1" xfId="0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zoomScale="120" zoomScaleNormal="120" workbookViewId="0">
      <selection activeCell="B40" sqref="B40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32</v>
      </c>
    </row>
    <row r="3" spans="1:3" ht="12.75" customHeight="1" x14ac:dyDescent="0.2">
      <c r="A3" s="2" t="s">
        <v>5</v>
      </c>
      <c r="B3" s="1" t="s">
        <v>6</v>
      </c>
      <c r="C3" s="1" t="s">
        <v>36</v>
      </c>
    </row>
    <row r="4" spans="1:3" ht="12.75" customHeight="1" x14ac:dyDescent="0.2">
      <c r="A4" s="1" t="s">
        <v>7</v>
      </c>
      <c r="B4" s="1" t="s">
        <v>4</v>
      </c>
      <c r="C4" s="1" t="s">
        <v>33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34</v>
      </c>
    </row>
    <row r="7" spans="1:3" ht="12.75" customHeight="1" x14ac:dyDescent="0.2">
      <c r="A7" s="1" t="s">
        <v>11</v>
      </c>
      <c r="B7" s="1" t="s">
        <v>12</v>
      </c>
      <c r="C7" s="3">
        <v>45565</v>
      </c>
    </row>
    <row r="8" spans="1:3" ht="12.75" customHeight="1" x14ac:dyDescent="0.2">
      <c r="A8" s="1" t="s">
        <v>10</v>
      </c>
      <c r="B8" s="1" t="s">
        <v>4</v>
      </c>
      <c r="C8" s="1" t="s">
        <v>35</v>
      </c>
    </row>
    <row r="9" spans="1:3" ht="12.75" customHeight="1" x14ac:dyDescent="0.2">
      <c r="A9" s="1" t="s">
        <v>11</v>
      </c>
      <c r="B9" s="1" t="s">
        <v>12</v>
      </c>
      <c r="C9" s="3">
        <v>45657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zoomScale="120" zoomScaleNormal="120" workbookViewId="0">
      <selection activeCell="G3" sqref="G3: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37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38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46</v>
      </c>
      <c r="D3" s="7" t="s">
        <v>23</v>
      </c>
      <c r="E3" s="7">
        <v>20240930</v>
      </c>
      <c r="F3" s="7" t="s">
        <v>39</v>
      </c>
      <c r="G3">
        <v>829.61659999999995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46</v>
      </c>
      <c r="D4" s="7" t="s">
        <v>23</v>
      </c>
      <c r="E4" s="7">
        <v>20241231</v>
      </c>
      <c r="F4" s="7" t="s">
        <v>39</v>
      </c>
      <c r="G4" s="8">
        <v>-72.746099999999956</v>
      </c>
      <c r="H4" s="7">
        <v>202412</v>
      </c>
      <c r="I4" s="7">
        <v>202412</v>
      </c>
      <c r="J4" s="7">
        <v>0</v>
      </c>
    </row>
  </sheetData>
  <sortState xmlns:xlrd2="http://schemas.microsoft.com/office/spreadsheetml/2017/richdata2" ref="A3:J4">
    <sortCondition ref="A3:A4"/>
    <sortCondition ref="B3:B4"/>
    <sortCondition ref="C3:C4"/>
    <sortCondition ref="D3:D4"/>
    <sortCondition ref="E3:E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20" zoomScaleNormal="120" workbookViewId="0">
      <selection activeCell="A2" sqref="A2: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37</v>
      </c>
    </row>
    <row r="2" spans="1:6" x14ac:dyDescent="0.2">
      <c r="A2" s="7" t="s">
        <v>14</v>
      </c>
      <c r="B2" s="7" t="s">
        <v>24</v>
      </c>
      <c r="C2" s="7" t="s">
        <v>31</v>
      </c>
      <c r="D2" s="7" t="s">
        <v>26</v>
      </c>
      <c r="E2" s="7" t="s">
        <v>25</v>
      </c>
      <c r="F2" s="7" t="s">
        <v>27</v>
      </c>
    </row>
    <row r="3" spans="1:6" x14ac:dyDescent="0.2">
      <c r="A3" s="7">
        <v>20240930</v>
      </c>
      <c r="B3" s="7" t="s">
        <v>46</v>
      </c>
      <c r="C3" s="7" t="s">
        <v>39</v>
      </c>
      <c r="D3" s="14">
        <v>829.61659999999995</v>
      </c>
      <c r="E3" s="9">
        <v>0</v>
      </c>
      <c r="F3" s="14">
        <v>829.61659999999995</v>
      </c>
    </row>
    <row r="4" spans="1:6" ht="12.75" customHeight="1" x14ac:dyDescent="0.2">
      <c r="A4" s="7">
        <v>20241231</v>
      </c>
      <c r="B4" s="7" t="s">
        <v>46</v>
      </c>
      <c r="C4" s="7" t="s">
        <v>39</v>
      </c>
      <c r="D4" s="8">
        <v>-72.746099999999956</v>
      </c>
      <c r="E4" s="14">
        <v>829.61659999999995</v>
      </c>
      <c r="F4" s="9">
        <f>E4+D4</f>
        <v>756.87049999999999</v>
      </c>
    </row>
  </sheetData>
  <sortState xmlns:xlrd2="http://schemas.microsoft.com/office/spreadsheetml/2017/richdata2" ref="A3:F4">
    <sortCondition ref="A3:A4"/>
    <sortCondition ref="B3:B4"/>
    <sortCondition ref="C3:C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4"/>
  <sheetViews>
    <sheetView zoomScale="120" zoomScaleNormal="120" workbookViewId="0">
      <selection activeCell="G3" sqref="G3: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40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38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46</v>
      </c>
      <c r="D3" s="7" t="s">
        <v>23</v>
      </c>
      <c r="E3" s="7">
        <v>20240930</v>
      </c>
      <c r="F3" s="7" t="s">
        <v>41</v>
      </c>
      <c r="G3">
        <v>16127.9249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46</v>
      </c>
      <c r="D4" s="7" t="s">
        <v>23</v>
      </c>
      <c r="E4" s="7">
        <v>20241231</v>
      </c>
      <c r="F4" s="7" t="s">
        <v>41</v>
      </c>
      <c r="G4" s="8">
        <v>-426.63560000000143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4"/>
  <sheetViews>
    <sheetView zoomScale="120" zoomScaleNormal="120" workbookViewId="0">
      <selection activeCell="E12" sqref="E12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40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46</v>
      </c>
      <c r="C3" s="1" t="s">
        <v>41</v>
      </c>
      <c r="D3" s="12">
        <v>16127.9249</v>
      </c>
      <c r="E3" s="12">
        <v>0</v>
      </c>
      <c r="F3" s="12">
        <f>D3</f>
        <v>16127.9249</v>
      </c>
    </row>
    <row r="4" spans="1:6" ht="12.75" customHeight="1" x14ac:dyDescent="0.2">
      <c r="A4" s="1">
        <v>20241231</v>
      </c>
      <c r="B4" s="1" t="s">
        <v>46</v>
      </c>
      <c r="C4" s="1" t="s">
        <v>41</v>
      </c>
      <c r="D4" s="12">
        <v>-426.63560000000143</v>
      </c>
      <c r="E4" s="12">
        <f>F3</f>
        <v>16127.9249</v>
      </c>
      <c r="F4" s="12">
        <f>E4+D4</f>
        <v>15701.289299999999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4"/>
  <sheetViews>
    <sheetView zoomScale="120" zoomScaleNormal="120" workbookViewId="0">
      <selection activeCell="G3" sqref="G3: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42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38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46</v>
      </c>
      <c r="D3" s="7" t="s">
        <v>23</v>
      </c>
      <c r="E3" s="7">
        <v>20240930</v>
      </c>
      <c r="F3" s="10" t="s">
        <v>43</v>
      </c>
      <c r="G3" s="11">
        <v>945.57389999999998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46</v>
      </c>
      <c r="D4" s="7" t="s">
        <v>23</v>
      </c>
      <c r="E4" s="7">
        <v>20241231</v>
      </c>
      <c r="F4" s="10" t="s">
        <v>43</v>
      </c>
      <c r="G4" s="11">
        <v>-537.53749999999991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4"/>
  <sheetViews>
    <sheetView topLeftCell="B1" zoomScale="120" zoomScaleNormal="120" workbookViewId="0">
      <selection activeCell="G3" sqref="G3: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44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38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46</v>
      </c>
      <c r="D3" s="7" t="s">
        <v>23</v>
      </c>
      <c r="E3" s="7">
        <v>20240930</v>
      </c>
      <c r="F3" s="10" t="s">
        <v>45</v>
      </c>
      <c r="G3">
        <v>437.89499999999998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46</v>
      </c>
      <c r="D4" s="7" t="s">
        <v>23</v>
      </c>
      <c r="E4" s="7">
        <v>20241231</v>
      </c>
      <c r="F4" s="10" t="s">
        <v>45</v>
      </c>
      <c r="G4" s="11">
        <v>-73.215900000000033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4"/>
  <sheetViews>
    <sheetView tabSelected="1" zoomScale="120" zoomScaleNormal="120" workbookViewId="0">
      <selection activeCell="E4" sqref="E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47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38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46</v>
      </c>
      <c r="D3" s="7" t="s">
        <v>23</v>
      </c>
      <c r="E3" s="7">
        <v>20240930</v>
      </c>
      <c r="F3" s="7" t="s">
        <v>48</v>
      </c>
      <c r="G3">
        <v>437854.35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46</v>
      </c>
      <c r="D4" s="7" t="s">
        <v>23</v>
      </c>
      <c r="E4" s="7">
        <v>20241231</v>
      </c>
      <c r="F4" s="7" t="s">
        <v>48</v>
      </c>
      <c r="G4" s="8">
        <v>-5671.234999999986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4"/>
  <sheetViews>
    <sheetView zoomScale="120" zoomScaleNormal="120" workbookViewId="0">
      <selection activeCell="A2" sqref="A2: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42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46</v>
      </c>
      <c r="C3" s="1" t="s">
        <v>43</v>
      </c>
      <c r="D3" s="12">
        <v>945.57389999999998</v>
      </c>
      <c r="E3" s="12">
        <v>0</v>
      </c>
      <c r="F3" s="12">
        <f>D3</f>
        <v>945.57389999999998</v>
      </c>
    </row>
    <row r="4" spans="1:6" ht="12.75" customHeight="1" x14ac:dyDescent="0.2">
      <c r="A4" s="1">
        <v>20241231</v>
      </c>
      <c r="B4" s="1" t="s">
        <v>46</v>
      </c>
      <c r="C4" s="1" t="s">
        <v>43</v>
      </c>
      <c r="D4" s="12">
        <v>-537.53749999999991</v>
      </c>
      <c r="E4" s="12">
        <f>F3</f>
        <v>945.57389999999998</v>
      </c>
      <c r="F4" s="12">
        <f>E4+D4</f>
        <v>408.03640000000007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4"/>
  <sheetViews>
    <sheetView zoomScale="120" zoomScaleNormal="120" workbookViewId="0">
      <selection activeCell="A2" sqref="A2: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44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ht="12.75" customHeight="1" x14ac:dyDescent="0.2">
      <c r="A3" s="1">
        <v>20240930</v>
      </c>
      <c r="B3" s="1" t="s">
        <v>46</v>
      </c>
      <c r="C3" s="1" t="s">
        <v>45</v>
      </c>
      <c r="D3">
        <v>437.89499999999998</v>
      </c>
      <c r="E3" s="12">
        <v>0</v>
      </c>
      <c r="F3" s="12">
        <f>D3</f>
        <v>437.89499999999998</v>
      </c>
    </row>
    <row r="4" spans="1:6" ht="12.75" customHeight="1" x14ac:dyDescent="0.2">
      <c r="A4" s="1">
        <v>20241231</v>
      </c>
      <c r="B4" s="1" t="s">
        <v>46</v>
      </c>
      <c r="C4" s="1" t="s">
        <v>45</v>
      </c>
      <c r="D4" s="11">
        <v>-73.215900000000033</v>
      </c>
      <c r="E4" s="12">
        <f>F3</f>
        <v>437.89499999999998</v>
      </c>
      <c r="F4" s="12">
        <f>E4+D4</f>
        <v>364.67909999999995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4"/>
  <sheetViews>
    <sheetView zoomScale="120" zoomScaleNormal="120" workbookViewId="0">
      <selection activeCell="A3" sqref="A3: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9.5703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47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46</v>
      </c>
      <c r="C3" s="1" t="s">
        <v>48</v>
      </c>
      <c r="D3">
        <v>437854.35</v>
      </c>
      <c r="E3" s="12">
        <v>0</v>
      </c>
      <c r="F3" s="12">
        <f>D3</f>
        <v>437854.35</v>
      </c>
    </row>
    <row r="4" spans="1:6" ht="12.75" customHeight="1" x14ac:dyDescent="0.2">
      <c r="A4" s="1">
        <v>20241231</v>
      </c>
      <c r="B4" s="1" t="s">
        <v>46</v>
      </c>
      <c r="C4" s="1" t="s">
        <v>48</v>
      </c>
      <c r="D4" s="8">
        <v>-5671.234999999986</v>
      </c>
      <c r="E4" s="12">
        <f>F3</f>
        <v>437854.35</v>
      </c>
      <c r="F4" s="12">
        <f>E4+D4</f>
        <v>432183.11499999999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29</v>
      </c>
      <c r="B1" s="5" t="s">
        <v>30</v>
      </c>
    </row>
    <row r="2" spans="1:5" x14ac:dyDescent="0.2">
      <c r="A2" s="1" t="s">
        <v>14</v>
      </c>
      <c r="B2" s="1" t="s">
        <v>24</v>
      </c>
      <c r="C2" s="1" t="s">
        <v>25</v>
      </c>
      <c r="D2" s="1" t="s">
        <v>26</v>
      </c>
      <c r="E2" s="1" t="s">
        <v>27</v>
      </c>
    </row>
    <row r="3" spans="1:5" x14ac:dyDescent="0.2">
      <c r="A3" s="1">
        <v>20240930</v>
      </c>
      <c r="B3" s="1" t="s">
        <v>46</v>
      </c>
      <c r="C3" s="1">
        <v>0</v>
      </c>
      <c r="D3" s="1">
        <f>O_TransactionActivity!G3+O_TransactionActivity2!G3+O_TransactionActivity3!G3+O_TransactionActivity5!G3+O_TransactionActivity6!G3</f>
        <v>456195.36040000001</v>
      </c>
      <c r="E3" s="1">
        <f>D3</f>
        <v>456195.36040000001</v>
      </c>
    </row>
    <row r="4" spans="1:5" x14ac:dyDescent="0.2">
      <c r="A4" s="1">
        <v>20241231</v>
      </c>
      <c r="B4" s="1" t="s">
        <v>46</v>
      </c>
      <c r="C4" s="1">
        <f>E3</f>
        <v>456195.36040000001</v>
      </c>
      <c r="D4" s="1">
        <f>O_TransactionActivity!G4+O_TransactionActivity2!G4+O_TransactionActivity3!G4+O_TransactionActivity5!G4+O_TransactionActivity6!G4</f>
        <v>-6781.3700999999874</v>
      </c>
      <c r="E4" s="1">
        <f>C4+D4</f>
        <v>449413.9903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</vt:lpstr>
      <vt:lpstr>O_TransactionActivity</vt:lpstr>
      <vt:lpstr>O_Instrument</vt:lpstr>
      <vt:lpstr>O_TransactionActivity2</vt:lpstr>
      <vt:lpstr>O_Instrument2</vt:lpstr>
      <vt:lpstr>O_TransactionActivity3</vt:lpstr>
      <vt:lpstr>O_TransactionActivity5</vt:lpstr>
      <vt:lpstr>O_TransactionActivity6</vt:lpstr>
      <vt:lpstr>O_Instrument3</vt:lpstr>
      <vt:lpstr>O_Instrument5</vt:lpstr>
      <vt:lpstr>O_Instrument6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2025-12-10T04:17:42Z</dcterms:modified>
  <dc:language>en-US</dc:language>
</cp:coreProperties>
</file>