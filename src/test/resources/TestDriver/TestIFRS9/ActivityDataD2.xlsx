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Collateral\TestIFRS9\"/>
    </mc:Choice>
  </mc:AlternateContent>
  <xr:revisionPtr revIDLastSave="0" documentId="13_ncr:1_{E3159475-7CD2-4F4B-AA18-AB3D7E9E26BC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1" r:id="rId1"/>
    <sheet name="GLRule" sheetId="7" state="hidden" r:id="rId2"/>
    <sheet name="Sheet1" sheetId="8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C25" i="8"/>
  <c r="F24" i="8"/>
  <c r="F25" i="8" s="1"/>
  <c r="E24" i="8"/>
  <c r="D24" i="8"/>
  <c r="C24" i="8"/>
  <c r="D23" i="8"/>
  <c r="C23" i="8"/>
  <c r="D22" i="8"/>
  <c r="C22" i="8"/>
  <c r="G15" i="8"/>
  <c r="O12" i="8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J12" i="8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<sst xmlns="http://schemas.openxmlformats.org/spreadsheetml/2006/main" count="143" uniqueCount="64">
  <si>
    <t>PostingDate</t>
  </si>
  <si>
    <t>EffectiveDate</t>
  </si>
  <si>
    <t>AttributeId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</si>
  <si>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</si>
  <si>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</si>
  <si>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</si>
  <si>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</si>
  <si>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</si>
  <si>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</si>
  <si>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</si>
  <si>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</si>
  <si>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</si>
  <si>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</si>
  <si>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</si>
  <si>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</si>
  <si>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</si>
  <si>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</si>
  <si>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</si>
  <si>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</si>
  <si>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</si>
  <si>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</si>
  <si>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</si>
  <si>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</si>
  <si>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</si>
  <si>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</si>
  <si>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</si>
  <si>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</si>
  <si>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</si>
  <si>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</si>
  <si>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</si>
  <si>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</si>
  <si>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</si>
  <si>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</si>
  <si>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</si>
  <si>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</si>
  <si>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</si>
  <si>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BORROWER</t>
  </si>
  <si>
    <t>CONTRACT_RATE</t>
  </si>
  <si>
    <t>ORIGINATION_DATE</t>
  </si>
  <si>
    <t>MATURITY_DATE</t>
  </si>
  <si>
    <t>RISK_LEVEL_AT_ORIGINATION</t>
  </si>
  <si>
    <t>LATEST_RISK_LEVEL</t>
  </si>
  <si>
    <t>ORIGINAL_LOAN_AMOUNT</t>
  </si>
  <si>
    <t>CURRENT_LOAN_BALANCE</t>
  </si>
  <si>
    <t>COLLATERAL_VALUE</t>
  </si>
  <si>
    <t>DAYS_PAST_DUE</t>
  </si>
  <si>
    <t>Low</t>
  </si>
  <si>
    <t>Beta Corp</t>
  </si>
  <si>
    <t>Medium</t>
  </si>
  <si>
    <t>Gamma Ltd</t>
  </si>
  <si>
    <t>Delta PLC</t>
  </si>
  <si>
    <t>High</t>
  </si>
  <si>
    <t>Epsilon Ltd</t>
  </si>
  <si>
    <t>Zeta Corp</t>
  </si>
  <si>
    <t>Default</t>
  </si>
  <si>
    <t>Eta Ltd</t>
  </si>
  <si>
    <t>Alpha Ltd</t>
  </si>
  <si>
    <t>L001</t>
  </si>
  <si>
    <t>L002</t>
  </si>
  <si>
    <t>L003</t>
  </si>
  <si>
    <t>L004</t>
  </si>
  <si>
    <t>L005</t>
  </si>
  <si>
    <t>L006</t>
  </si>
  <si>
    <t>L007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</si>
</sst>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14" fontId="0" fillId="2" borderId="0" xfId="1" applyNumberFormat="1" applyFont="1" applyFill="1" applyAlignment="1" applyProtection="1"/>
    <xf numFmtId="0" fontId="0" fillId="0" borderId="0" xfId="1" applyFont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3" fillId="3" borderId="0" xfId="1" applyFont="1" applyFill="1"/>
    <xf numFmtId="0" fontId="0" fillId="4" borderId="1" xfId="0" applyFill="1" applyBorder="1"/>
    <xf numFmtId="14" fontId="0" fillId="4" borderId="1" xfId="0" applyNumberFormat="1" applyFill="1" applyBorder="1"/>
    <xf numFmtId="2" fontId="0" fillId="4" borderId="1" xfId="0" applyNumberFormat="1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8"/>
  <sheetViews>
    <sheetView tabSelected="1" zoomScale="120" zoomScaleNormal="120" workbookViewId="0">
      <selection activeCell="J13" sqref="J13"/>
    </sheetView>
  </sheetViews>
  <sheetFormatPr defaultColWidth="11.5703125" defaultRowHeight="15" customHeight="1" x14ac:dyDescent="0.25"/>
  <cols>
    <col min="1" max="1" width="12" bestFit="1" customWidth="1"/>
    <col min="2" max="2" width="13.140625" bestFit="1" customWidth="1"/>
    <col min="3" max="3" width="15.42578125" bestFit="1" customWidth="1"/>
    <col min="4" max="4" width="11" bestFit="1" customWidth="1"/>
    <col min="5" max="5" width="11.140625" style="1" bestFit="1" customWidth="1"/>
    <col min="6" max="6" width="6.42578125" bestFit="1" customWidth="1"/>
    <col min="7" max="8" width="9.140625" bestFit="1" customWidth="1"/>
    <col min="9" max="10" width="8.42578125" bestFit="1" customWidth="1"/>
    <col min="11" max="12" width="12.85546875" bestFit="1" customWidth="1"/>
    <col min="13" max="13" width="11.28515625" bestFit="1" customWidth="1"/>
    <col min="14" max="14" width="4.28515625" bestFit="1" customWidth="1"/>
  </cols>
  <sheetData>
    <row r="1" spans="1:14" x14ac:dyDescent="0.25">
      <c r="A1" s="2" t="s">
        <v>0</v>
      </c>
      <c r="B1" s="3" t="s">
        <v>1</v>
      </c>
      <c r="C1" s="3" t="s">
        <v>3</v>
      </c>
      <c r="D1" s="3" t="s">
        <v>2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  <c r="K1" s="9" t="s">
        <v>42</v>
      </c>
      <c r="L1" s="9" t="s">
        <v>43</v>
      </c>
      <c r="M1" s="9" t="s">
        <v>44</v>
      </c>
      <c r="N1" s="9" t="s">
        <v>45</v>
      </c>
    </row>
    <row r="2" spans="1:14" x14ac:dyDescent="0.25">
      <c r="A2" s="4">
        <v>45657</v>
      </c>
      <c r="B2" s="4">
        <v>45657</v>
      </c>
      <c r="C2" s="5" t="s">
        <v>57</v>
      </c>
      <c r="D2" s="5">
        <v>1</v>
      </c>
      <c r="E2" s="10" t="s">
        <v>56</v>
      </c>
      <c r="F2" s="12">
        <v>4.4999999999999998E-2</v>
      </c>
      <c r="G2" s="11">
        <v>44197</v>
      </c>
      <c r="H2" s="11">
        <v>46023</v>
      </c>
      <c r="I2" s="10" t="s">
        <v>46</v>
      </c>
      <c r="J2" s="10" t="s">
        <v>46</v>
      </c>
      <c r="K2" s="12">
        <v>500000</v>
      </c>
      <c r="L2" s="12">
        <v>285000</v>
      </c>
      <c r="M2" s="12">
        <v>200000</v>
      </c>
      <c r="N2" s="10">
        <v>0</v>
      </c>
    </row>
    <row r="3" spans="1:14" ht="15" customHeight="1" x14ac:dyDescent="0.25">
      <c r="A3" s="4">
        <v>45657</v>
      </c>
      <c r="B3" s="4">
        <v>45657</v>
      </c>
      <c r="C3" t="s">
        <v>58</v>
      </c>
      <c r="D3" s="5">
        <v>1</v>
      </c>
      <c r="E3" s="10" t="s">
        <v>47</v>
      </c>
      <c r="F3" s="12">
        <v>0.06</v>
      </c>
      <c r="G3" s="11">
        <v>44621</v>
      </c>
      <c r="H3" s="11">
        <v>46447</v>
      </c>
      <c r="I3" s="10" t="s">
        <v>48</v>
      </c>
      <c r="J3" s="10" t="s">
        <v>48</v>
      </c>
      <c r="K3" s="12">
        <v>750000</v>
      </c>
      <c r="L3" s="12">
        <v>735000</v>
      </c>
      <c r="M3" s="12">
        <v>300000</v>
      </c>
      <c r="N3" s="10">
        <v>25</v>
      </c>
    </row>
    <row r="4" spans="1:14" ht="15" customHeight="1" x14ac:dyDescent="0.25">
      <c r="A4" s="4">
        <v>45657</v>
      </c>
      <c r="B4" s="4">
        <v>45657</v>
      </c>
      <c r="C4" t="s">
        <v>59</v>
      </c>
      <c r="D4" s="5">
        <v>1</v>
      </c>
      <c r="E4" s="10" t="s">
        <v>49</v>
      </c>
      <c r="F4" s="12">
        <v>5.2000000000000005E-2</v>
      </c>
      <c r="G4" s="11">
        <v>43983</v>
      </c>
      <c r="H4" s="11">
        <v>45809</v>
      </c>
      <c r="I4" s="10" t="s">
        <v>46</v>
      </c>
      <c r="J4" s="10" t="s">
        <v>48</v>
      </c>
      <c r="K4" s="12">
        <v>250000</v>
      </c>
      <c r="L4" s="12">
        <v>85000</v>
      </c>
      <c r="M4" s="12">
        <v>80000</v>
      </c>
      <c r="N4" s="10">
        <v>40</v>
      </c>
    </row>
    <row r="5" spans="1:14" ht="15" customHeight="1" x14ac:dyDescent="0.25">
      <c r="A5" s="4">
        <v>45657</v>
      </c>
      <c r="B5" s="4">
        <v>45657</v>
      </c>
      <c r="C5" t="s">
        <v>60</v>
      </c>
      <c r="D5" s="5">
        <v>1</v>
      </c>
      <c r="E5" s="10" t="s">
        <v>50</v>
      </c>
      <c r="F5" s="12">
        <v>7.0000000000000007E-2</v>
      </c>
      <c r="G5" s="11">
        <v>43466</v>
      </c>
      <c r="H5" s="11">
        <v>45292</v>
      </c>
      <c r="I5" s="10" t="s">
        <v>48</v>
      </c>
      <c r="J5" s="10" t="s">
        <v>51</v>
      </c>
      <c r="K5" s="12">
        <v>2000000</v>
      </c>
      <c r="L5" s="12">
        <v>985000</v>
      </c>
      <c r="M5" s="12">
        <v>400000</v>
      </c>
      <c r="N5" s="10">
        <v>65</v>
      </c>
    </row>
    <row r="6" spans="1:14" ht="15" customHeight="1" x14ac:dyDescent="0.25">
      <c r="A6" s="4">
        <v>45657</v>
      </c>
      <c r="B6" s="4">
        <v>45657</v>
      </c>
      <c r="C6" t="s">
        <v>61</v>
      </c>
      <c r="D6" s="5">
        <v>1</v>
      </c>
      <c r="E6" s="10" t="s">
        <v>52</v>
      </c>
      <c r="F6" s="12">
        <v>0.04</v>
      </c>
      <c r="G6" s="11">
        <v>45047</v>
      </c>
      <c r="H6" s="11">
        <v>46874</v>
      </c>
      <c r="I6" s="10" t="s">
        <v>46</v>
      </c>
      <c r="J6" s="10" t="s">
        <v>46</v>
      </c>
      <c r="K6" s="12">
        <v>150000</v>
      </c>
      <c r="L6" s="12">
        <v>120000</v>
      </c>
      <c r="M6" s="12">
        <v>70000</v>
      </c>
      <c r="N6" s="10">
        <v>0</v>
      </c>
    </row>
    <row r="7" spans="1:14" ht="15" customHeight="1" x14ac:dyDescent="0.25">
      <c r="A7" s="4">
        <v>45657</v>
      </c>
      <c r="B7" s="4">
        <v>45657</v>
      </c>
      <c r="C7" t="s">
        <v>62</v>
      </c>
      <c r="D7" s="5">
        <v>1</v>
      </c>
      <c r="E7" s="10" t="s">
        <v>53</v>
      </c>
      <c r="F7" s="12">
        <v>0.08</v>
      </c>
      <c r="G7" s="11">
        <v>44075</v>
      </c>
      <c r="H7" s="11">
        <v>45901</v>
      </c>
      <c r="I7" s="10" t="s">
        <v>51</v>
      </c>
      <c r="J7" s="10" t="s">
        <v>54</v>
      </c>
      <c r="K7" s="12">
        <v>800000</v>
      </c>
      <c r="L7" s="12">
        <v>585000</v>
      </c>
      <c r="M7" s="12">
        <v>200000</v>
      </c>
      <c r="N7" s="10">
        <v>120</v>
      </c>
    </row>
    <row r="8" spans="1:14" ht="15" customHeight="1" x14ac:dyDescent="0.25">
      <c r="A8" s="4">
        <v>45657</v>
      </c>
      <c r="B8" s="4">
        <v>45657</v>
      </c>
      <c r="C8" t="s">
        <v>63</v>
      </c>
      <c r="D8" s="5">
        <v>1</v>
      </c>
      <c r="E8" s="10" t="s">
        <v>55</v>
      </c>
      <c r="F8" s="12">
        <v>5.5E-2</v>
      </c>
      <c r="G8" s="11">
        <v>43191</v>
      </c>
      <c r="H8" s="11">
        <v>45017</v>
      </c>
      <c r="I8" s="10" t="s">
        <v>48</v>
      </c>
      <c r="J8" s="10" t="s">
        <v>54</v>
      </c>
      <c r="K8" s="12">
        <v>400000</v>
      </c>
      <c r="L8" s="12">
        <v>35000</v>
      </c>
      <c r="M8" s="12">
        <v>30000</v>
      </c>
      <c r="N8" s="10">
        <v>95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6" t="s">
        <v>4</v>
      </c>
    </row>
    <row r="2" spans="1:6" x14ac:dyDescent="0.25">
      <c r="A2" s="1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25">
      <c r="A4" s="1" t="str">
        <f t="shared" si="0"/>
        <v>Revenueamount&gt;1Cr</v>
      </c>
      <c r="B4" s="1">
        <v>2</v>
      </c>
      <c r="C4" s="7" t="s">
        <v>11</v>
      </c>
      <c r="D4" s="7" t="s">
        <v>12</v>
      </c>
      <c r="E4" s="7" t="s">
        <v>15</v>
      </c>
      <c r="F4" s="8" t="s">
        <v>14</v>
      </c>
    </row>
    <row r="5" spans="1:6" x14ac:dyDescent="0.25">
      <c r="A5" s="1" t="str">
        <f t="shared" si="0"/>
        <v>Revenueamount&lt;1Dr</v>
      </c>
      <c r="B5" s="1">
        <v>3</v>
      </c>
      <c r="C5" s="7" t="s">
        <v>11</v>
      </c>
      <c r="D5" s="7" t="s">
        <v>16</v>
      </c>
      <c r="E5" s="7" t="s">
        <v>13</v>
      </c>
      <c r="F5" s="8" t="s">
        <v>17</v>
      </c>
    </row>
    <row r="6" spans="1:6" x14ac:dyDescent="0.25">
      <c r="A6" s="1" t="str">
        <f t="shared" si="0"/>
        <v>Revenueamount&lt;1Cr</v>
      </c>
      <c r="B6" s="1">
        <v>4</v>
      </c>
      <c r="C6" s="1" t="s">
        <v>11</v>
      </c>
      <c r="D6" s="1" t="s">
        <v>16</v>
      </c>
      <c r="E6" s="1" t="s">
        <v>15</v>
      </c>
      <c r="F6" s="1" t="s">
        <v>17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18</v>
      </c>
      <c r="D7" s="1" t="s">
        <v>12</v>
      </c>
      <c r="E7" s="1" t="s">
        <v>13</v>
      </c>
      <c r="F7" s="1" t="s">
        <v>14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18</v>
      </c>
      <c r="D8" s="1" t="s">
        <v>12</v>
      </c>
      <c r="E8" s="1" t="s">
        <v>15</v>
      </c>
      <c r="F8" s="1" t="s">
        <v>14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18</v>
      </c>
      <c r="D9" s="1" t="s">
        <v>16</v>
      </c>
      <c r="E9" s="1" t="s">
        <v>13</v>
      </c>
      <c r="F9" s="1" t="s">
        <v>17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18</v>
      </c>
      <c r="D10" s="1" t="s">
        <v>16</v>
      </c>
      <c r="E10" s="1" t="s">
        <v>15</v>
      </c>
      <c r="F10" s="1" t="s">
        <v>17</v>
      </c>
    </row>
    <row r="11" spans="1:6" x14ac:dyDescent="0.25">
      <c r="A11" s="1" t="str">
        <f t="shared" si="0"/>
        <v>A/Ramount&gt;1Dr</v>
      </c>
      <c r="B11" s="1">
        <v>9</v>
      </c>
      <c r="C11" s="1" t="s">
        <v>19</v>
      </c>
      <c r="D11" s="1" t="s">
        <v>12</v>
      </c>
      <c r="E11" s="1" t="s">
        <v>13</v>
      </c>
      <c r="F11" s="1" t="s">
        <v>14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19</v>
      </c>
      <c r="D12" s="1" t="s">
        <v>12</v>
      </c>
      <c r="E12" s="1" t="s">
        <v>15</v>
      </c>
      <c r="F12" s="1" t="s">
        <v>14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19</v>
      </c>
      <c r="D13" s="1" t="s">
        <v>16</v>
      </c>
      <c r="E13" s="1" t="s">
        <v>13</v>
      </c>
      <c r="F13" s="1" t="s">
        <v>17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19</v>
      </c>
      <c r="D14" s="1" t="s">
        <v>16</v>
      </c>
      <c r="E14" s="1" t="s">
        <v>15</v>
      </c>
      <c r="F14" s="1" t="s">
        <v>17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8" customWidth="1"/>
  </cols>
  <sheetData>
    <row r="1" spans="2:15" x14ac:dyDescent="0.25">
      <c r="B1" s="1">
        <v>1</v>
      </c>
      <c r="D1" s="1" t="s">
        <v>13</v>
      </c>
      <c r="E1" s="1" t="s">
        <v>15</v>
      </c>
      <c r="G1" s="6" t="s">
        <v>20</v>
      </c>
      <c r="H1" s="6" t="s">
        <v>21</v>
      </c>
      <c r="I1" s="6"/>
    </row>
    <row r="2" spans="2:15" x14ac:dyDescent="0.25">
      <c r="C2" s="1" t="s">
        <v>22</v>
      </c>
      <c r="D2" s="1">
        <v>100</v>
      </c>
      <c r="G2" s="1" t="s">
        <v>23</v>
      </c>
      <c r="H2" s="8" t="s">
        <v>23</v>
      </c>
    </row>
    <row r="3" spans="2:15" x14ac:dyDescent="0.25">
      <c r="C3" s="1" t="s">
        <v>24</v>
      </c>
      <c r="E3" s="1">
        <v>-100</v>
      </c>
      <c r="G3" s="1" t="s">
        <v>11</v>
      </c>
      <c r="H3" s="8" t="s">
        <v>23</v>
      </c>
    </row>
    <row r="5" spans="2:15" x14ac:dyDescent="0.25">
      <c r="B5" s="1">
        <v>2</v>
      </c>
      <c r="C5" s="8" t="str">
        <f>C2</f>
        <v>Def</v>
      </c>
      <c r="D5" s="8">
        <v>100</v>
      </c>
      <c r="E5" s="8"/>
      <c r="G5" s="8" t="s">
        <v>23</v>
      </c>
      <c r="H5" s="8" t="s">
        <v>23</v>
      </c>
    </row>
    <row r="6" spans="2:15" x14ac:dyDescent="0.25">
      <c r="C6" s="8" t="s">
        <v>24</v>
      </c>
      <c r="D6" s="8"/>
      <c r="E6" s="8">
        <v>-100</v>
      </c>
      <c r="G6" s="8" t="s">
        <v>11</v>
      </c>
      <c r="H6" s="8" t="s">
        <v>23</v>
      </c>
    </row>
    <row r="8" spans="2:15" x14ac:dyDescent="0.25">
      <c r="B8" s="1">
        <v>3</v>
      </c>
      <c r="C8" s="8" t="s">
        <v>24</v>
      </c>
      <c r="D8" s="8">
        <v>200</v>
      </c>
      <c r="E8" s="8"/>
      <c r="F8" s="8"/>
      <c r="G8" s="8" t="s">
        <v>11</v>
      </c>
      <c r="H8" s="8" t="s">
        <v>25</v>
      </c>
    </row>
    <row r="9" spans="2:15" x14ac:dyDescent="0.25">
      <c r="C9" s="8" t="s">
        <v>22</v>
      </c>
      <c r="D9" s="8"/>
      <c r="E9" s="8">
        <v>-200</v>
      </c>
      <c r="F9" s="8"/>
      <c r="G9" s="8" t="s">
        <v>23</v>
      </c>
      <c r="H9" s="8" t="s">
        <v>25</v>
      </c>
    </row>
    <row r="10" spans="2:15" x14ac:dyDescent="0.25">
      <c r="J10" s="8" t="s">
        <v>26</v>
      </c>
      <c r="K10" s="8" t="s">
        <v>27</v>
      </c>
      <c r="L10" s="8" t="s">
        <v>28</v>
      </c>
      <c r="M10" s="8" t="s">
        <v>29</v>
      </c>
      <c r="N10" s="8" t="s">
        <v>30</v>
      </c>
      <c r="O10" s="8" t="s">
        <v>31</v>
      </c>
    </row>
    <row r="11" spans="2:15" x14ac:dyDescent="0.25">
      <c r="B11" s="1">
        <v>3</v>
      </c>
      <c r="C11" s="1" t="s">
        <v>22</v>
      </c>
      <c r="D11" s="1">
        <v>200</v>
      </c>
      <c r="G11" s="8" t="s">
        <v>32</v>
      </c>
      <c r="H11" s="8" t="s">
        <v>25</v>
      </c>
      <c r="M11" s="1">
        <v>100</v>
      </c>
      <c r="O11" s="1">
        <v>100</v>
      </c>
    </row>
    <row r="12" spans="2:15" x14ac:dyDescent="0.25">
      <c r="C12" s="1" t="s">
        <v>24</v>
      </c>
      <c r="E12" s="1">
        <v>-200</v>
      </c>
      <c r="G12" s="8" t="str">
        <f>G8</f>
        <v>Revenue</v>
      </c>
      <c r="H12" s="8" t="s">
        <v>25</v>
      </c>
      <c r="J12" s="8">
        <f>O11</f>
        <v>100</v>
      </c>
      <c r="M12" s="1">
        <v>100</v>
      </c>
      <c r="O12" s="8">
        <f>J12+M12</f>
        <v>200</v>
      </c>
    </row>
    <row r="13" spans="2:15" x14ac:dyDescent="0.25">
      <c r="J13" s="8">
        <f>O12</f>
        <v>200</v>
      </c>
      <c r="L13" s="1">
        <v>1200</v>
      </c>
      <c r="M13" s="1">
        <v>100</v>
      </c>
      <c r="N13" s="8">
        <f>L13-J13-M13</f>
        <v>900</v>
      </c>
      <c r="O13" s="1">
        <v>0</v>
      </c>
    </row>
    <row r="14" spans="2:15" x14ac:dyDescent="0.25">
      <c r="B14" s="1">
        <v>3</v>
      </c>
      <c r="C14" s="1" t="s">
        <v>33</v>
      </c>
      <c r="D14" s="1">
        <v>1200</v>
      </c>
      <c r="G14" s="1" t="s">
        <v>34</v>
      </c>
      <c r="H14" s="8" t="s">
        <v>25</v>
      </c>
      <c r="K14" s="8">
        <f t="shared" ref="K14:K22" si="0">N13</f>
        <v>900</v>
      </c>
      <c r="M14" s="8">
        <v>100</v>
      </c>
      <c r="N14" s="8">
        <f t="shared" ref="N14:N22" si="1">K14-M14</f>
        <v>800</v>
      </c>
    </row>
    <row r="15" spans="2:15" x14ac:dyDescent="0.25">
      <c r="C15" s="1" t="s">
        <v>35</v>
      </c>
      <c r="E15" s="1">
        <v>-1200</v>
      </c>
      <c r="G15" s="8" t="str">
        <f>G11</f>
        <v>Def Revenue</v>
      </c>
      <c r="H15" s="8" t="s">
        <v>25</v>
      </c>
      <c r="K15" s="8">
        <f t="shared" si="0"/>
        <v>800</v>
      </c>
      <c r="L15" s="8"/>
      <c r="M15" s="8">
        <v>100</v>
      </c>
      <c r="N15" s="8">
        <f t="shared" si="1"/>
        <v>700</v>
      </c>
    </row>
    <row r="16" spans="2:15" x14ac:dyDescent="0.25">
      <c r="K16" s="8">
        <f t="shared" si="0"/>
        <v>700</v>
      </c>
      <c r="L16" s="8"/>
      <c r="M16" s="8">
        <v>100</v>
      </c>
      <c r="N16" s="8">
        <f t="shared" si="1"/>
        <v>600</v>
      </c>
    </row>
    <row r="17" spans="2:14" x14ac:dyDescent="0.25">
      <c r="B17" s="1">
        <v>3</v>
      </c>
      <c r="C17" s="1" t="s">
        <v>22</v>
      </c>
      <c r="D17" s="1">
        <v>100</v>
      </c>
      <c r="G17" s="8" t="s">
        <v>32</v>
      </c>
      <c r="H17" s="8" t="s">
        <v>25</v>
      </c>
      <c r="K17" s="8">
        <f t="shared" si="0"/>
        <v>600</v>
      </c>
      <c r="L17" s="8"/>
      <c r="M17" s="8">
        <v>100</v>
      </c>
      <c r="N17" s="8">
        <f t="shared" si="1"/>
        <v>500</v>
      </c>
    </row>
    <row r="18" spans="2:14" x14ac:dyDescent="0.25">
      <c r="C18" s="1" t="s">
        <v>24</v>
      </c>
      <c r="E18" s="1">
        <v>-100</v>
      </c>
      <c r="G18" s="8" t="str">
        <f>G12</f>
        <v>Revenue</v>
      </c>
      <c r="H18" s="8" t="s">
        <v>25</v>
      </c>
      <c r="K18" s="8">
        <f t="shared" si="0"/>
        <v>500</v>
      </c>
      <c r="L18" s="8"/>
      <c r="M18" s="8">
        <v>100</v>
      </c>
      <c r="N18" s="8">
        <f t="shared" si="1"/>
        <v>400</v>
      </c>
    </row>
    <row r="19" spans="2:14" x14ac:dyDescent="0.25">
      <c r="K19" s="8">
        <f t="shared" si="0"/>
        <v>400</v>
      </c>
      <c r="L19" s="8"/>
      <c r="M19" s="8">
        <v>100</v>
      </c>
      <c r="N19" s="8">
        <f t="shared" si="1"/>
        <v>300</v>
      </c>
    </row>
    <row r="20" spans="2:14" x14ac:dyDescent="0.25">
      <c r="K20" s="8">
        <f t="shared" si="0"/>
        <v>300</v>
      </c>
      <c r="L20" s="8"/>
      <c r="M20" s="8">
        <v>100</v>
      </c>
      <c r="N20" s="8">
        <f t="shared" si="1"/>
        <v>200</v>
      </c>
    </row>
    <row r="21" spans="2:14" x14ac:dyDescent="0.25">
      <c r="C21" s="1" t="s">
        <v>23</v>
      </c>
      <c r="D21" s="1" t="s">
        <v>11</v>
      </c>
      <c r="E21" s="1" t="s">
        <v>34</v>
      </c>
      <c r="F21" s="1" t="s">
        <v>32</v>
      </c>
      <c r="K21" s="8">
        <f t="shared" si="0"/>
        <v>200</v>
      </c>
      <c r="L21" s="8"/>
      <c r="M21" s="8">
        <v>100</v>
      </c>
      <c r="N21" s="8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8">
        <f t="shared" si="0"/>
        <v>100</v>
      </c>
      <c r="L22" s="8"/>
      <c r="M22" s="8">
        <v>100</v>
      </c>
      <c r="N22" s="8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8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8"/>
    </row>
    <row r="25" spans="2:14" x14ac:dyDescent="0.25">
      <c r="C25" s="1">
        <f>SUM(C22:C24)</f>
        <v>0</v>
      </c>
      <c r="D25" s="1">
        <f>SUM(D22:D24)</f>
        <v>-300</v>
      </c>
      <c r="E25" s="8">
        <f>SUM(E22:E24)</f>
        <v>1200</v>
      </c>
      <c r="F25" s="8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InstrumentAttribute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26</cp:revision>
  <dcterms:created xsi:type="dcterms:W3CDTF">2024-02-24T05:30:44Z</dcterms:created>
  <dcterms:modified xsi:type="dcterms:W3CDTF">2025-12-10T06:29:33Z</dcterms:modified>
  <dc:language>en-US</dc:language>
</cp:coreProperties>
</file>