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"/>
    </mc:Choice>
  </mc:AlternateContent>
  <xr:revisionPtr revIDLastSave="0" documentId="13_ncr:1_{065CCBCF-12E8-4EDB-BB57-E9FB83F6EB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" sheetId="1" r:id="rId1"/>
    <sheet name="xSheet1" sheetId="4" r:id="rId2"/>
    <sheet name="xxmore" sheetId="2" r:id="rId3"/>
    <sheet name="x_Metri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D11" i="3" s="1"/>
  <c r="E11" i="3" s="1"/>
  <c r="D8" i="3"/>
  <c r="D7" i="3"/>
  <c r="E7" i="3" s="1"/>
  <c r="D10" i="3" s="1"/>
  <c r="E10" i="3" s="1"/>
  <c r="E6" i="3"/>
  <c r="D9" i="3" s="1"/>
  <c r="E9" i="3" s="1"/>
  <c r="D6" i="3"/>
</calcChain>
</file>

<file path=xl/sharedStrings.xml><?xml version="1.0" encoding="utf-8"?>
<sst xmlns="http://schemas.openxmlformats.org/spreadsheetml/2006/main" count="262" uniqueCount="88">
  <si>
    <t>Steps</t>
  </si>
  <si>
    <t>Type</t>
  </si>
  <si>
    <t>Input</t>
  </si>
  <si>
    <t>LOAD_REF_DATA</t>
  </si>
  <si>
    <t>FILE_UPLOAD</t>
  </si>
  <si>
    <t>Hearst_Ver/ReferenceData/RefData_Hearst.xlsx</t>
  </si>
  <si>
    <t>CUSTOM_TABLE_DEFINITION</t>
  </si>
  <si>
    <t>CONFIGURATION</t>
  </si>
  <si>
    <t>Hearst_Ver/CustomTableDefinitions.json</t>
  </si>
  <si>
    <t>UPLOAD_CUSTOM_DATA</t>
  </si>
  <si>
    <t>Hearst_Ver/ActivityData/Logtype.xlsx</t>
  </si>
  <si>
    <t>Hearst_Ver/ActivityData/BillType.xlsx</t>
  </si>
  <si>
    <t>EVENT_CONFIGURATION</t>
  </si>
  <si>
    <t>Hearst_Ver/EventConfigurations.json</t>
  </si>
  <si>
    <t>DSL_MODEL_UPLOAD</t>
  </si>
  <si>
    <t>Hearst_Ver/Model/Hearst_FinalV7.dsl</t>
  </si>
  <si>
    <t>MODEL_CONFIGURATION</t>
  </si>
  <si>
    <t>ATTRIBUTE</t>
  </si>
  <si>
    <t>ACTIVITY_UPLOAD</t>
  </si>
  <si>
    <t>Hearst_Ver/ActivityData/VER_SOD_2024-12-31.xlsx</t>
  </si>
  <si>
    <t>Hearst_Ver/ActivityData/VER_PSD_2024-12-31.xlsx</t>
  </si>
  <si>
    <t>Hearst_Ver/ActivityData/VER_BILL_2024-12-31.xlsx</t>
  </si>
  <si>
    <t>DSL_MODEL_EXECUTION</t>
  </si>
  <si>
    <t>EXECUTION</t>
  </si>
  <si>
    <t>Hearst_Ver/ActivityData/VER_SOD_2025-01-31.xlsx</t>
  </si>
  <si>
    <t>Hearst_Ver/ActivityData/VER_PSD_2025-01-31.xlsx</t>
  </si>
  <si>
    <t>Hearst_Ver/ActivityData/VER_BILL_2025-01-31.xlsx</t>
  </si>
  <si>
    <t>Hearst_Ver/ActivityData/VER_SOD_2025-02-28.xlsx</t>
  </si>
  <si>
    <t>Hearst_Ver/ActivityData/VER_PSD_2025-02-28.xlsx</t>
  </si>
  <si>
    <t>Hearst_Ver/ActivityData/VER_BILL_2025-02-28.xlsx</t>
  </si>
  <si>
    <t>Hearst_Ver/ActivityData/VER_SOD_2025-03-31.xlsx</t>
  </si>
  <si>
    <t>Hearst_Ver/ActivityData/VER_BILL_2025-03-31.xlsx</t>
  </si>
  <si>
    <t>Hearst_Ver/ActivityData/VER_SOD_2025-04-30.xlsx</t>
  </si>
  <si>
    <t>Hearst_Ver/ActivityData/VER_PSD_2025-04-30.xlsx</t>
  </si>
  <si>
    <t>Hearst_Ver/ActivityData/VER_BILL_2025-04-30.xlsx</t>
  </si>
  <si>
    <t>Hearst_Ver/ActivityData/VER_SOD_2025-05-31.xlsx</t>
  </si>
  <si>
    <t>Hearst_Ver/ActivityData/VER_PSD_2025-05-31.xlsx</t>
  </si>
  <si>
    <t>Hearst_Ver/ActivityData/VER_BILL_2025-05-31.xlsx</t>
  </si>
  <si>
    <t>Hearst_Ver/ActivityData/VER_SOD_2025-06-30.xlsx</t>
  </si>
  <si>
    <t>Hearst_Ver/ActivityData/VER_PSD_2025-06-30.xlsx</t>
  </si>
  <si>
    <t>Hearst_Ver/ActivityData/VER_BILL_2025-06-30.xlsx</t>
  </si>
  <si>
    <t>Hearst_Ver/ActivityData/VER_SOD_2025-07-31.xlsx</t>
  </si>
  <si>
    <t>Hearst_Ver/ActivityData/VER_PSD_2025-07-31.xlsx</t>
  </si>
  <si>
    <t>Hearst_Ver/ActivityData/VER_BILL_2025-07-31.xlsx</t>
  </si>
  <si>
    <t>Hearst_Ver/ActivityData/VER_SOD_2025-08-31.xlsx</t>
  </si>
  <si>
    <t>Hearst_Ver/ActivityData/VER_PSD_2025-08-31.xlsx</t>
  </si>
  <si>
    <t>Hearst_Ver/ActivityData/VER_BILL_2025-08-31.xlsx</t>
  </si>
  <si>
    <t>Hearst_Ver/ActivityData/VER_SOD_2025-09-30.xlsx</t>
  </si>
  <si>
    <t>Hearst_Ver/ActivityData/VER_PSD_2025-09-30.xlsx</t>
  </si>
  <si>
    <t>Hearst_Ver/ActivityData/VER_BILL_2025-09-30.xlsx</t>
  </si>
  <si>
    <t>Hearst_Ver/ActivityData/VER_SOD_2025-10-31.xlsx</t>
  </si>
  <si>
    <t>Hearst_Ver/ActivityData/VER_PSD_2025-10-31.xlsx</t>
  </si>
  <si>
    <t>Hearst_Ver/ActivityData/VER_BILL_2025-10-31.xlsx</t>
  </si>
  <si>
    <t>Hearst_Ver/ActivityData/VER_SOD_2025-11-30.xlsx</t>
  </si>
  <si>
    <t>Hearst_Ver/ActivityData/VER_PSD_2025-11-30.xlsx</t>
  </si>
  <si>
    <t>Hearst_Ver/ActivityData/VER_BILL_2025-11-30.xlsx</t>
  </si>
  <si>
    <t>Hearst_Ver/ActivityData/VER_SOD_2025-12-31.xlsx</t>
  </si>
  <si>
    <t>Hearst_Ver/ActivityData/VER_PSD_2025-12-31.xlsx</t>
  </si>
  <si>
    <t>Hearst_Ver/ActivityData/VER_BILL_2025-12-31.xlsx</t>
  </si>
  <si>
    <t>Hearst_Ver/ActivityData/VER_SOD_2026-01-31.xlsx</t>
  </si>
  <si>
    <t>Hearst_Ver/ActivityData/VER_BILL_2026-01-31.xlsx</t>
  </si>
  <si>
    <t>Hearst_Ver/ActivityData/VER_SOD_2026-02-28.xlsx</t>
  </si>
  <si>
    <t>Hearst_Ver/ActivityData/VER_PSD_2026-02-28.xlsx</t>
  </si>
  <si>
    <t>Hearst_Ver/ActivityData/VER_BILL_2026-02-28.xlsx</t>
  </si>
  <si>
    <t>Hearst_Ver/ActivityData/VER_SOD_2026-03-31.xlsx</t>
  </si>
  <si>
    <t>Hearst_Ver/ActivityData/VER_PSD_2026-03-31.xlsx</t>
  </si>
  <si>
    <t>Hearst_Ver/ActivityData/VER_BILL_2026-03-31.xlsx</t>
  </si>
  <si>
    <t>Hearst_Ver/ActivityData/VER_SOD_2026-04-30.xlsx</t>
  </si>
  <si>
    <t>Hearst_Ver/ActivityData/VER_PSD_2026-04-30.xlsx</t>
  </si>
  <si>
    <t>Hearst_Ver/ActivityData/VER_BILL_2026-04-30.xlsx</t>
  </si>
  <si>
    <t>Hearst_Ver/ActivityData/VER_SOD_2026-05-31.xlsx</t>
  </si>
  <si>
    <t>Hearst_Ver/ActivityData/VER_BILL_2026-05-31.xlsx</t>
  </si>
  <si>
    <t>Hearst_Ver/ActivityData/VER_SOD_2026-06-30.xlsx</t>
  </si>
  <si>
    <t>Hearst_Ver/ActivityData/VER_PSD_2026-06-30.xlsx</t>
  </si>
  <si>
    <t>Hearst_Ver/ActivityData/VER_BILL_2026-06-30.xlsx</t>
  </si>
  <si>
    <t>Hearst_Ver/ActivityData/VER_SOD_2026-07-31.xlsx</t>
  </si>
  <si>
    <t>Hearst_Ver/ActivityData/VER_BILL_2026-07-31.xlsx</t>
  </si>
  <si>
    <t>MetricLevelLtd</t>
  </si>
  <si>
    <t>{}</t>
  </si>
  <si>
    <t>postingDate ASC</t>
  </si>
  <si>
    <t>metricName ASC</t>
  </si>
  <si>
    <t>balance.activity</t>
  </si>
  <si>
    <t>balance.beginningBalance</t>
  </si>
  <si>
    <t>balance.endingBalance</t>
  </si>
  <si>
    <t>DEFERRED_REVENUE</t>
  </si>
  <si>
    <t>REVENUE</t>
  </si>
  <si>
    <t>TOTAL_REVENUE</t>
  </si>
  <si>
    <t>Hearst_Ver/ActivityData/VER_AP.xlsx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</si>
</sst>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0.0000"/>
  </numFmts>
  <fonts count="3" x14ac:knownFonts="1">
    <font>
      <sz val="10"/>
      <color theme="1"/>
      <name val="Arial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165" fontId="0" fillId="0" borderId="0" xfId="0" applyNumberFormat="1"/>
    <xf numFmtId="0" fontId="0" fillId="0" borderId="0" xfId="1" applyFont="1"/>
    <xf numFmtId="0" fontId="2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defaultColWidth="11.5703125" defaultRowHeight="12.75" customHeight="1" x14ac:dyDescent="0.2"/>
  <cols>
    <col min="1" max="1" width="27.85546875" bestFit="1" customWidth="1"/>
    <col min="2" max="2" width="20.140625" customWidth="1"/>
    <col min="3" max="3" width="53.7109375" bestFit="1" customWidth="1"/>
    <col min="4" max="4" width="31.140625" customWidth="1"/>
  </cols>
  <sheetData>
    <row r="1" spans="1:3" ht="12.75" customHeight="1" x14ac:dyDescent="0.2">
      <c r="A1" t="s">
        <v>0</v>
      </c>
      <c r="B1" t="s">
        <v>1</v>
      </c>
      <c r="C1" t="s">
        <v>2</v>
      </c>
    </row>
    <row r="2" spans="1:3" ht="12.75" customHeight="1" x14ac:dyDescent="0.2">
      <c r="A2" t="s">
        <v>3</v>
      </c>
      <c r="B2" t="s">
        <v>4</v>
      </c>
      <c r="C2" t="s">
        <v>5</v>
      </c>
    </row>
    <row r="3" spans="1:3" ht="12.75" customHeight="1" x14ac:dyDescent="0.2">
      <c r="A3" t="s">
        <v>6</v>
      </c>
      <c r="B3" t="s">
        <v>7</v>
      </c>
      <c r="C3" t="s">
        <v>8</v>
      </c>
    </row>
    <row r="4" spans="1:3" ht="12.75" customHeight="1" x14ac:dyDescent="0.2">
      <c r="A4" t="s">
        <v>9</v>
      </c>
      <c r="B4" t="s">
        <v>4</v>
      </c>
      <c r="C4" t="s">
        <v>10</v>
      </c>
    </row>
    <row r="5" spans="1:3" ht="12.75" customHeight="1" x14ac:dyDescent="0.2">
      <c r="A5" t="s">
        <v>9</v>
      </c>
      <c r="B5" t="s">
        <v>4</v>
      </c>
      <c r="C5" t="s">
        <v>11</v>
      </c>
    </row>
    <row r="6" spans="1:3" ht="12.75" customHeight="1" x14ac:dyDescent="0.2">
      <c r="A6" t="s">
        <v>12</v>
      </c>
      <c r="B6" t="s">
        <v>7</v>
      </c>
      <c r="C6" t="s">
        <v>13</v>
      </c>
    </row>
    <row r="7" spans="1:3" ht="12.75" customHeight="1" x14ac:dyDescent="0.2">
      <c r="A7" t="s">
        <v>14</v>
      </c>
      <c r="B7" t="s">
        <v>4</v>
      </c>
      <c r="C7" t="s">
        <v>15</v>
      </c>
    </row>
    <row r="8" spans="1:3" ht="12.75" customHeight="1" x14ac:dyDescent="0.2">
      <c r="A8" t="s">
        <v>16</v>
      </c>
      <c r="B8" t="s">
        <v>7</v>
      </c>
      <c r="C8" t="s">
        <v>17</v>
      </c>
    </row>
    <row r="9" spans="1:3" ht="12.75" customHeight="1" x14ac:dyDescent="0.2">
      <c r="A9" t="s">
        <v>9</v>
      </c>
      <c r="B9" t="s">
        <v>4</v>
      </c>
      <c r="C9" s="6" t="s">
        <v>87</v>
      </c>
    </row>
    <row r="10" spans="1:3" ht="12.75" customHeight="1" x14ac:dyDescent="0.2">
      <c r="A10" t="s">
        <v>18</v>
      </c>
      <c r="B10" t="s">
        <v>4</v>
      </c>
      <c r="C10" s="6" t="s">
        <v>19</v>
      </c>
    </row>
    <row r="11" spans="1:3" ht="12.75" customHeight="1" x14ac:dyDescent="0.2">
      <c r="A11" t="s">
        <v>9</v>
      </c>
      <c r="B11" t="s">
        <v>4</v>
      </c>
      <c r="C11" t="s">
        <v>20</v>
      </c>
    </row>
    <row r="12" spans="1:3" ht="12.75" customHeight="1" x14ac:dyDescent="0.2">
      <c r="A12" t="s">
        <v>9</v>
      </c>
      <c r="B12" t="s">
        <v>4</v>
      </c>
      <c r="C12" t="s">
        <v>21</v>
      </c>
    </row>
    <row r="13" spans="1:3" ht="12.75" customHeight="1" x14ac:dyDescent="0.2">
      <c r="A13" t="s">
        <v>22</v>
      </c>
      <c r="B13" t="s">
        <v>23</v>
      </c>
      <c r="C13" s="1">
        <v>45657</v>
      </c>
    </row>
  </sheetData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7DC1F-FCC7-45D3-9100-761D71119BBF}">
  <dimension ref="A1:C15"/>
  <sheetViews>
    <sheetView workbookViewId="0">
      <selection sqref="A1:G4"/>
    </sheetView>
  </sheetViews>
  <sheetFormatPr defaultRowHeight="12.75" x14ac:dyDescent="0.2"/>
  <sheetData>
    <row r="1" spans="1:3" x14ac:dyDescent="0.2">
      <c r="A1" t="s">
        <v>18</v>
      </c>
      <c r="B1" t="s">
        <v>4</v>
      </c>
      <c r="C1" s="6" t="s">
        <v>19</v>
      </c>
    </row>
    <row r="2" spans="1:3" x14ac:dyDescent="0.2">
      <c r="A2" t="s">
        <v>9</v>
      </c>
      <c r="B2" t="s">
        <v>4</v>
      </c>
      <c r="C2" t="s">
        <v>20</v>
      </c>
    </row>
    <row r="3" spans="1:3" x14ac:dyDescent="0.2">
      <c r="A3" t="s">
        <v>9</v>
      </c>
      <c r="B3" t="s">
        <v>4</v>
      </c>
      <c r="C3" t="s">
        <v>21</v>
      </c>
    </row>
    <row r="4" spans="1:3" x14ac:dyDescent="0.2">
      <c r="A4" t="s">
        <v>22</v>
      </c>
      <c r="B4" t="s">
        <v>23</v>
      </c>
      <c r="C4" s="1">
        <v>45657</v>
      </c>
    </row>
    <row r="5" spans="1:3" x14ac:dyDescent="0.2">
      <c r="A5" t="s">
        <v>18</v>
      </c>
      <c r="B5" t="s">
        <v>4</v>
      </c>
      <c r="C5" t="s">
        <v>24</v>
      </c>
    </row>
    <row r="6" spans="1:3" x14ac:dyDescent="0.2">
      <c r="A6" t="s">
        <v>9</v>
      </c>
      <c r="B6" t="s">
        <v>4</v>
      </c>
      <c r="C6" t="s">
        <v>25</v>
      </c>
    </row>
    <row r="7" spans="1:3" x14ac:dyDescent="0.2">
      <c r="A7" t="s">
        <v>9</v>
      </c>
      <c r="B7" t="s">
        <v>4</v>
      </c>
      <c r="C7" t="s">
        <v>26</v>
      </c>
    </row>
    <row r="8" spans="1:3" x14ac:dyDescent="0.2">
      <c r="A8" t="s">
        <v>22</v>
      </c>
      <c r="B8" t="s">
        <v>23</v>
      </c>
      <c r="C8" s="1">
        <v>45688</v>
      </c>
    </row>
    <row r="9" spans="1:3" x14ac:dyDescent="0.2">
      <c r="A9" t="s">
        <v>18</v>
      </c>
      <c r="B9" t="s">
        <v>4</v>
      </c>
      <c r="C9" t="s">
        <v>27</v>
      </c>
    </row>
    <row r="10" spans="1:3" x14ac:dyDescent="0.2">
      <c r="A10" t="s">
        <v>9</v>
      </c>
      <c r="B10" t="s">
        <v>4</v>
      </c>
      <c r="C10" t="s">
        <v>28</v>
      </c>
    </row>
    <row r="11" spans="1:3" x14ac:dyDescent="0.2">
      <c r="A11" t="s">
        <v>9</v>
      </c>
      <c r="B11" t="s">
        <v>4</v>
      </c>
      <c r="C11" t="s">
        <v>29</v>
      </c>
    </row>
    <row r="12" spans="1:3" x14ac:dyDescent="0.2">
      <c r="A12" t="s">
        <v>22</v>
      </c>
      <c r="B12" t="s">
        <v>23</v>
      </c>
      <c r="C12" s="1">
        <v>45716</v>
      </c>
    </row>
    <row r="13" spans="1:3" x14ac:dyDescent="0.2">
      <c r="A13" t="s">
        <v>18</v>
      </c>
      <c r="B13" t="s">
        <v>4</v>
      </c>
      <c r="C13" t="s">
        <v>30</v>
      </c>
    </row>
    <row r="14" spans="1:3" x14ac:dyDescent="0.2">
      <c r="A14" t="s">
        <v>9</v>
      </c>
      <c r="B14" t="s">
        <v>4</v>
      </c>
      <c r="C14" t="s">
        <v>31</v>
      </c>
    </row>
    <row r="15" spans="1:3" x14ac:dyDescent="0.2">
      <c r="A15" t="s">
        <v>22</v>
      </c>
      <c r="B15" t="s">
        <v>23</v>
      </c>
      <c r="C15" s="1">
        <v>45747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1"/>
  <sheetViews>
    <sheetView workbookViewId="0"/>
  </sheetViews>
  <sheetFormatPr defaultRowHeight="12.75" x14ac:dyDescent="0.2"/>
  <sheetData>
    <row r="1" spans="1:3" x14ac:dyDescent="0.2">
      <c r="A1" t="s">
        <v>18</v>
      </c>
      <c r="B1" t="s">
        <v>4</v>
      </c>
      <c r="C1" t="s">
        <v>32</v>
      </c>
    </row>
    <row r="2" spans="1:3" x14ac:dyDescent="0.2">
      <c r="A2" t="s">
        <v>9</v>
      </c>
      <c r="B2" t="s">
        <v>4</v>
      </c>
      <c r="C2" t="s">
        <v>33</v>
      </c>
    </row>
    <row r="3" spans="1:3" x14ac:dyDescent="0.2">
      <c r="A3" t="s">
        <v>9</v>
      </c>
      <c r="B3" t="s">
        <v>4</v>
      </c>
      <c r="C3" t="s">
        <v>34</v>
      </c>
    </row>
    <row r="4" spans="1:3" ht="12.75" customHeight="1" x14ac:dyDescent="0.2">
      <c r="A4" t="s">
        <v>22</v>
      </c>
      <c r="B4" t="s">
        <v>23</v>
      </c>
      <c r="C4" s="1">
        <v>45777</v>
      </c>
    </row>
    <row r="5" spans="1:3" ht="12.75" customHeight="1" x14ac:dyDescent="0.2">
      <c r="A5" t="s">
        <v>18</v>
      </c>
      <c r="B5" t="s">
        <v>4</v>
      </c>
      <c r="C5" t="s">
        <v>35</v>
      </c>
    </row>
    <row r="6" spans="1:3" ht="12.75" customHeight="1" x14ac:dyDescent="0.2">
      <c r="A6" t="s">
        <v>9</v>
      </c>
      <c r="B6" t="s">
        <v>4</v>
      </c>
      <c r="C6" t="s">
        <v>36</v>
      </c>
    </row>
    <row r="7" spans="1:3" ht="12.75" customHeight="1" x14ac:dyDescent="0.2">
      <c r="A7" t="s">
        <v>9</v>
      </c>
      <c r="B7" t="s">
        <v>4</v>
      </c>
      <c r="C7" t="s">
        <v>37</v>
      </c>
    </row>
    <row r="8" spans="1:3" ht="12.75" customHeight="1" x14ac:dyDescent="0.2">
      <c r="A8" t="s">
        <v>22</v>
      </c>
      <c r="B8" t="s">
        <v>23</v>
      </c>
      <c r="C8" s="1">
        <v>45808</v>
      </c>
    </row>
    <row r="9" spans="1:3" ht="12.75" customHeight="1" x14ac:dyDescent="0.2">
      <c r="A9" t="s">
        <v>18</v>
      </c>
      <c r="B9" t="s">
        <v>4</v>
      </c>
      <c r="C9" t="s">
        <v>38</v>
      </c>
    </row>
    <row r="10" spans="1:3" ht="12.75" customHeight="1" x14ac:dyDescent="0.2">
      <c r="A10" t="s">
        <v>9</v>
      </c>
      <c r="B10" t="s">
        <v>4</v>
      </c>
      <c r="C10" t="s">
        <v>39</v>
      </c>
    </row>
    <row r="11" spans="1:3" ht="12.75" customHeight="1" x14ac:dyDescent="0.2">
      <c r="A11" t="s">
        <v>9</v>
      </c>
      <c r="B11" t="s">
        <v>4</v>
      </c>
      <c r="C11" t="s">
        <v>40</v>
      </c>
    </row>
    <row r="12" spans="1:3" ht="12.75" customHeight="1" x14ac:dyDescent="0.2">
      <c r="A12" t="s">
        <v>22</v>
      </c>
      <c r="B12" t="s">
        <v>23</v>
      </c>
      <c r="C12" s="1">
        <v>45838</v>
      </c>
    </row>
    <row r="13" spans="1:3" ht="12.75" customHeight="1" x14ac:dyDescent="0.2">
      <c r="A13" t="s">
        <v>18</v>
      </c>
      <c r="B13" t="s">
        <v>4</v>
      </c>
      <c r="C13" t="s">
        <v>41</v>
      </c>
    </row>
    <row r="14" spans="1:3" ht="12.75" customHeight="1" x14ac:dyDescent="0.2">
      <c r="A14" t="s">
        <v>9</v>
      </c>
      <c r="B14" t="s">
        <v>4</v>
      </c>
      <c r="C14" t="s">
        <v>42</v>
      </c>
    </row>
    <row r="15" spans="1:3" ht="12.75" customHeight="1" x14ac:dyDescent="0.2">
      <c r="A15" t="s">
        <v>9</v>
      </c>
      <c r="B15" t="s">
        <v>4</v>
      </c>
      <c r="C15" t="s">
        <v>43</v>
      </c>
    </row>
    <row r="16" spans="1:3" ht="12.75" customHeight="1" x14ac:dyDescent="0.2">
      <c r="A16" t="s">
        <v>22</v>
      </c>
      <c r="B16" t="s">
        <v>23</v>
      </c>
      <c r="C16" s="1">
        <v>45869</v>
      </c>
    </row>
    <row r="17" spans="1:3" ht="12.75" customHeight="1" x14ac:dyDescent="0.2">
      <c r="A17" t="s">
        <v>18</v>
      </c>
      <c r="B17" t="s">
        <v>4</v>
      </c>
      <c r="C17" t="s">
        <v>44</v>
      </c>
    </row>
    <row r="18" spans="1:3" ht="12.75" customHeight="1" x14ac:dyDescent="0.2">
      <c r="A18" t="s">
        <v>9</v>
      </c>
      <c r="B18" t="s">
        <v>4</v>
      </c>
      <c r="C18" t="s">
        <v>45</v>
      </c>
    </row>
    <row r="19" spans="1:3" ht="12.75" customHeight="1" x14ac:dyDescent="0.2">
      <c r="A19" t="s">
        <v>9</v>
      </c>
      <c r="B19" t="s">
        <v>4</v>
      </c>
      <c r="C19" t="s">
        <v>46</v>
      </c>
    </row>
    <row r="20" spans="1:3" ht="12.75" customHeight="1" x14ac:dyDescent="0.2">
      <c r="A20" t="s">
        <v>22</v>
      </c>
      <c r="B20" t="s">
        <v>23</v>
      </c>
      <c r="C20" s="1">
        <v>45900</v>
      </c>
    </row>
    <row r="21" spans="1:3" ht="12.75" customHeight="1" x14ac:dyDescent="0.2">
      <c r="A21" t="s">
        <v>18</v>
      </c>
      <c r="B21" t="s">
        <v>4</v>
      </c>
      <c r="C21" t="s">
        <v>47</v>
      </c>
    </row>
    <row r="22" spans="1:3" ht="12.75" customHeight="1" x14ac:dyDescent="0.2">
      <c r="A22" t="s">
        <v>9</v>
      </c>
      <c r="B22" t="s">
        <v>4</v>
      </c>
      <c r="C22" t="s">
        <v>48</v>
      </c>
    </row>
    <row r="23" spans="1:3" ht="12.75" customHeight="1" x14ac:dyDescent="0.2">
      <c r="A23" t="s">
        <v>9</v>
      </c>
      <c r="B23" t="s">
        <v>4</v>
      </c>
      <c r="C23" t="s">
        <v>49</v>
      </c>
    </row>
    <row r="24" spans="1:3" ht="12.75" customHeight="1" x14ac:dyDescent="0.2">
      <c r="A24" t="s">
        <v>22</v>
      </c>
      <c r="B24" t="s">
        <v>23</v>
      </c>
      <c r="C24" s="1">
        <v>45930</v>
      </c>
    </row>
    <row r="25" spans="1:3" x14ac:dyDescent="0.2">
      <c r="A25" t="s">
        <v>18</v>
      </c>
      <c r="B25" t="s">
        <v>4</v>
      </c>
      <c r="C25" t="s">
        <v>50</v>
      </c>
    </row>
    <row r="26" spans="1:3" x14ac:dyDescent="0.2">
      <c r="A26" t="s">
        <v>9</v>
      </c>
      <c r="B26" t="s">
        <v>4</v>
      </c>
      <c r="C26" t="s">
        <v>51</v>
      </c>
    </row>
    <row r="27" spans="1:3" x14ac:dyDescent="0.2">
      <c r="A27" t="s">
        <v>9</v>
      </c>
      <c r="B27" t="s">
        <v>4</v>
      </c>
      <c r="C27" t="s">
        <v>52</v>
      </c>
    </row>
    <row r="28" spans="1:3" x14ac:dyDescent="0.2">
      <c r="A28" t="s">
        <v>22</v>
      </c>
      <c r="B28" t="s">
        <v>23</v>
      </c>
      <c r="C28" s="1">
        <v>45961</v>
      </c>
    </row>
    <row r="29" spans="1:3" x14ac:dyDescent="0.2">
      <c r="A29" t="s">
        <v>18</v>
      </c>
      <c r="B29" t="s">
        <v>4</v>
      </c>
      <c r="C29" t="s">
        <v>53</v>
      </c>
    </row>
    <row r="30" spans="1:3" x14ac:dyDescent="0.2">
      <c r="A30" t="s">
        <v>9</v>
      </c>
      <c r="B30" t="s">
        <v>4</v>
      </c>
      <c r="C30" t="s">
        <v>54</v>
      </c>
    </row>
    <row r="31" spans="1:3" x14ac:dyDescent="0.2">
      <c r="A31" t="s">
        <v>9</v>
      </c>
      <c r="B31" t="s">
        <v>4</v>
      </c>
      <c r="C31" t="s">
        <v>55</v>
      </c>
    </row>
    <row r="32" spans="1:3" x14ac:dyDescent="0.2">
      <c r="A32" t="s">
        <v>22</v>
      </c>
      <c r="B32" t="s">
        <v>23</v>
      </c>
      <c r="C32" s="1">
        <v>45991</v>
      </c>
    </row>
    <row r="33" spans="1:3" x14ac:dyDescent="0.2">
      <c r="A33" t="s">
        <v>18</v>
      </c>
      <c r="B33" t="s">
        <v>4</v>
      </c>
      <c r="C33" t="s">
        <v>56</v>
      </c>
    </row>
    <row r="34" spans="1:3" x14ac:dyDescent="0.2">
      <c r="A34" t="s">
        <v>9</v>
      </c>
      <c r="B34" t="s">
        <v>4</v>
      </c>
      <c r="C34" t="s">
        <v>57</v>
      </c>
    </row>
    <row r="35" spans="1:3" x14ac:dyDescent="0.2">
      <c r="A35" t="s">
        <v>9</v>
      </c>
      <c r="B35" t="s">
        <v>4</v>
      </c>
      <c r="C35" t="s">
        <v>58</v>
      </c>
    </row>
    <row r="36" spans="1:3" x14ac:dyDescent="0.2">
      <c r="A36" t="s">
        <v>22</v>
      </c>
      <c r="B36" t="s">
        <v>23</v>
      </c>
      <c r="C36" s="1">
        <v>46022</v>
      </c>
    </row>
    <row r="37" spans="1:3" x14ac:dyDescent="0.2">
      <c r="A37" t="s">
        <v>18</v>
      </c>
      <c r="B37" t="s">
        <v>4</v>
      </c>
      <c r="C37" t="s">
        <v>59</v>
      </c>
    </row>
    <row r="38" spans="1:3" x14ac:dyDescent="0.2">
      <c r="A38" t="s">
        <v>9</v>
      </c>
      <c r="B38" t="s">
        <v>4</v>
      </c>
      <c r="C38" t="s">
        <v>60</v>
      </c>
    </row>
    <row r="39" spans="1:3" x14ac:dyDescent="0.2">
      <c r="A39" t="s">
        <v>22</v>
      </c>
      <c r="B39" t="s">
        <v>23</v>
      </c>
      <c r="C39" s="1">
        <v>46053</v>
      </c>
    </row>
    <row r="40" spans="1:3" x14ac:dyDescent="0.2">
      <c r="A40" t="s">
        <v>18</v>
      </c>
      <c r="B40" t="s">
        <v>4</v>
      </c>
      <c r="C40" t="s">
        <v>61</v>
      </c>
    </row>
    <row r="41" spans="1:3" x14ac:dyDescent="0.2">
      <c r="A41" t="s">
        <v>9</v>
      </c>
      <c r="B41" t="s">
        <v>4</v>
      </c>
      <c r="C41" t="s">
        <v>62</v>
      </c>
    </row>
    <row r="42" spans="1:3" x14ac:dyDescent="0.2">
      <c r="A42" t="s">
        <v>9</v>
      </c>
      <c r="B42" t="s">
        <v>4</v>
      </c>
      <c r="C42" t="s">
        <v>63</v>
      </c>
    </row>
    <row r="43" spans="1:3" x14ac:dyDescent="0.2">
      <c r="A43" t="s">
        <v>22</v>
      </c>
      <c r="B43" t="s">
        <v>23</v>
      </c>
      <c r="C43" s="1">
        <v>46081</v>
      </c>
    </row>
    <row r="44" spans="1:3" x14ac:dyDescent="0.2">
      <c r="A44" t="s">
        <v>18</v>
      </c>
      <c r="B44" t="s">
        <v>4</v>
      </c>
      <c r="C44" t="s">
        <v>64</v>
      </c>
    </row>
    <row r="45" spans="1:3" x14ac:dyDescent="0.2">
      <c r="A45" t="s">
        <v>9</v>
      </c>
      <c r="B45" t="s">
        <v>4</v>
      </c>
      <c r="C45" t="s">
        <v>65</v>
      </c>
    </row>
    <row r="46" spans="1:3" x14ac:dyDescent="0.2">
      <c r="A46" t="s">
        <v>9</v>
      </c>
      <c r="B46" t="s">
        <v>4</v>
      </c>
      <c r="C46" t="s">
        <v>66</v>
      </c>
    </row>
    <row r="47" spans="1:3" x14ac:dyDescent="0.2">
      <c r="A47" t="s">
        <v>22</v>
      </c>
      <c r="B47" t="s">
        <v>23</v>
      </c>
      <c r="C47" s="1">
        <v>46112</v>
      </c>
    </row>
    <row r="48" spans="1:3" x14ac:dyDescent="0.2">
      <c r="A48" t="s">
        <v>18</v>
      </c>
      <c r="B48" t="s">
        <v>4</v>
      </c>
      <c r="C48" t="s">
        <v>67</v>
      </c>
    </row>
    <row r="49" spans="1:3" x14ac:dyDescent="0.2">
      <c r="A49" t="s">
        <v>9</v>
      </c>
      <c r="B49" t="s">
        <v>4</v>
      </c>
      <c r="C49" t="s">
        <v>68</v>
      </c>
    </row>
    <row r="50" spans="1:3" x14ac:dyDescent="0.2">
      <c r="A50" t="s">
        <v>9</v>
      </c>
      <c r="B50" t="s">
        <v>4</v>
      </c>
      <c r="C50" t="s">
        <v>69</v>
      </c>
    </row>
    <row r="51" spans="1:3" x14ac:dyDescent="0.2">
      <c r="A51" t="s">
        <v>22</v>
      </c>
      <c r="B51" t="s">
        <v>23</v>
      </c>
      <c r="C51" s="1">
        <v>46142</v>
      </c>
    </row>
    <row r="52" spans="1:3" x14ac:dyDescent="0.2">
      <c r="A52" t="s">
        <v>18</v>
      </c>
      <c r="B52" t="s">
        <v>4</v>
      </c>
      <c r="C52" t="s">
        <v>70</v>
      </c>
    </row>
    <row r="53" spans="1:3" x14ac:dyDescent="0.2">
      <c r="A53" t="s">
        <v>9</v>
      </c>
      <c r="B53" t="s">
        <v>4</v>
      </c>
      <c r="C53" t="s">
        <v>71</v>
      </c>
    </row>
    <row r="54" spans="1:3" x14ac:dyDescent="0.2">
      <c r="A54" t="s">
        <v>22</v>
      </c>
      <c r="B54" t="s">
        <v>23</v>
      </c>
      <c r="C54" s="1">
        <v>46173</v>
      </c>
    </row>
    <row r="55" spans="1:3" x14ac:dyDescent="0.2">
      <c r="A55" t="s">
        <v>18</v>
      </c>
      <c r="B55" t="s">
        <v>4</v>
      </c>
      <c r="C55" t="s">
        <v>72</v>
      </c>
    </row>
    <row r="56" spans="1:3" x14ac:dyDescent="0.2">
      <c r="A56" t="s">
        <v>9</v>
      </c>
      <c r="B56" t="s">
        <v>4</v>
      </c>
      <c r="C56" t="s">
        <v>73</v>
      </c>
    </row>
    <row r="57" spans="1:3" x14ac:dyDescent="0.2">
      <c r="A57" t="s">
        <v>9</v>
      </c>
      <c r="B57" t="s">
        <v>4</v>
      </c>
      <c r="C57" t="s">
        <v>74</v>
      </c>
    </row>
    <row r="58" spans="1:3" x14ac:dyDescent="0.2">
      <c r="A58" t="s">
        <v>22</v>
      </c>
      <c r="B58" t="s">
        <v>23</v>
      </c>
      <c r="C58" s="1">
        <v>46203</v>
      </c>
    </row>
    <row r="59" spans="1:3" x14ac:dyDescent="0.2">
      <c r="A59" t="s">
        <v>18</v>
      </c>
      <c r="B59" t="s">
        <v>4</v>
      </c>
      <c r="C59" t="s">
        <v>75</v>
      </c>
    </row>
    <row r="60" spans="1:3" x14ac:dyDescent="0.2">
      <c r="A60" t="s">
        <v>9</v>
      </c>
      <c r="B60" t="s">
        <v>4</v>
      </c>
      <c r="C60" t="s">
        <v>76</v>
      </c>
    </row>
    <row r="61" spans="1:3" x14ac:dyDescent="0.2">
      <c r="A61" t="s">
        <v>22</v>
      </c>
      <c r="B61" t="s">
        <v>23</v>
      </c>
      <c r="C61" s="1">
        <v>46234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zoomScale="120" workbookViewId="0">
      <selection activeCell="C27" sqref="C27"/>
    </sheetView>
  </sheetViews>
  <sheetFormatPr defaultColWidth="11.5703125" defaultRowHeight="12.75" customHeight="1" x14ac:dyDescent="0.2"/>
  <cols>
    <col min="1" max="1" width="21.7109375" customWidth="1"/>
    <col min="2" max="2" width="46.5703125" customWidth="1"/>
    <col min="3" max="3" width="23.5703125" customWidth="1"/>
    <col min="4" max="5" width="24.85546875" customWidth="1"/>
    <col min="6" max="6" width="23.5703125" customWidth="1"/>
    <col min="7" max="7" width="21" customWidth="1"/>
  </cols>
  <sheetData>
    <row r="1" spans="1:5" ht="15" customHeight="1" x14ac:dyDescent="0.25">
      <c r="A1" s="2" t="s">
        <v>77</v>
      </c>
      <c r="B1" s="3" t="s">
        <v>78</v>
      </c>
    </row>
    <row r="2" spans="1:5" x14ac:dyDescent="0.2">
      <c r="A2" t="s">
        <v>79</v>
      </c>
      <c r="B2" t="s">
        <v>80</v>
      </c>
      <c r="C2" t="s">
        <v>81</v>
      </c>
      <c r="D2" t="s">
        <v>82</v>
      </c>
      <c r="E2" t="s">
        <v>83</v>
      </c>
    </row>
    <row r="3" spans="1:5" x14ac:dyDescent="0.2">
      <c r="A3">
        <v>20251231</v>
      </c>
      <c r="B3" s="2" t="s">
        <v>84</v>
      </c>
      <c r="C3">
        <v>-2221.4331999999999</v>
      </c>
      <c r="D3" s="4">
        <v>0</v>
      </c>
      <c r="E3">
        <v>-2221.4331999999999</v>
      </c>
    </row>
    <row r="4" spans="1:5" x14ac:dyDescent="0.2">
      <c r="A4">
        <v>20251231</v>
      </c>
      <c r="B4" s="5" t="s">
        <v>85</v>
      </c>
      <c r="C4">
        <v>-2221.4331999999999</v>
      </c>
      <c r="D4" s="4">
        <v>0</v>
      </c>
      <c r="E4">
        <v>-2221.4331999999999</v>
      </c>
    </row>
    <row r="5" spans="1:5" ht="12.75" customHeight="1" x14ac:dyDescent="0.2">
      <c r="A5">
        <v>20251231</v>
      </c>
      <c r="B5" t="s">
        <v>86</v>
      </c>
      <c r="C5">
        <v>-2221.4331999999999</v>
      </c>
      <c r="D5" s="4">
        <v>0</v>
      </c>
      <c r="E5">
        <v>-2221.4331999999999</v>
      </c>
    </row>
    <row r="6" spans="1:5" ht="12.75" customHeight="1" x14ac:dyDescent="0.2">
      <c r="A6">
        <v>20260131</v>
      </c>
      <c r="B6" s="2" t="s">
        <v>84</v>
      </c>
      <c r="C6" s="4">
        <v>-12.491199999999999</v>
      </c>
      <c r="D6">
        <f t="shared" ref="D6:D11" si="0">E3</f>
        <v>-2221.4331999999999</v>
      </c>
      <c r="E6" s="4">
        <f>D6+C6</f>
        <v>-2233.9243999999999</v>
      </c>
    </row>
    <row r="7" spans="1:5" ht="12.75" customHeight="1" x14ac:dyDescent="0.2">
      <c r="A7">
        <v>20260131</v>
      </c>
      <c r="B7" s="5" t="s">
        <v>85</v>
      </c>
      <c r="C7" s="4">
        <v>-12.491199999999999</v>
      </c>
      <c r="D7">
        <f t="shared" si="0"/>
        <v>-2221.4331999999999</v>
      </c>
      <c r="E7" s="4">
        <f>D7+C7</f>
        <v>-2233.9243999999999</v>
      </c>
    </row>
    <row r="8" spans="1:5" ht="12.75" customHeight="1" x14ac:dyDescent="0.2">
      <c r="A8">
        <v>20260131</v>
      </c>
      <c r="B8" t="s">
        <v>86</v>
      </c>
      <c r="C8" s="4">
        <v>-12.491199999999999</v>
      </c>
      <c r="D8">
        <f t="shared" si="0"/>
        <v>-2221.4331999999999</v>
      </c>
      <c r="E8" s="4">
        <f>D8+C8</f>
        <v>-2233.9243999999999</v>
      </c>
    </row>
    <row r="9" spans="1:5" ht="12.75" customHeight="1" x14ac:dyDescent="0.2">
      <c r="A9">
        <v>20260228</v>
      </c>
      <c r="B9" s="2" t="s">
        <v>84</v>
      </c>
      <c r="C9" s="4">
        <v>-4772.7052000000003</v>
      </c>
      <c r="D9" s="4">
        <f t="shared" si="0"/>
        <v>-2233.9243999999999</v>
      </c>
      <c r="E9" s="4">
        <f>C9+D9</f>
        <v>-7006.6296000000002</v>
      </c>
    </row>
    <row r="10" spans="1:5" ht="12.75" customHeight="1" x14ac:dyDescent="0.2">
      <c r="A10">
        <v>20260228</v>
      </c>
      <c r="B10" s="5" t="s">
        <v>85</v>
      </c>
      <c r="C10" s="4">
        <v>-4772.7052000000003</v>
      </c>
      <c r="D10" s="4">
        <f t="shared" si="0"/>
        <v>-2233.9243999999999</v>
      </c>
      <c r="E10" s="4">
        <f>C10+D10</f>
        <v>-7006.6296000000002</v>
      </c>
    </row>
    <row r="11" spans="1:5" ht="12.75" customHeight="1" x14ac:dyDescent="0.2">
      <c r="A11">
        <v>20260228</v>
      </c>
      <c r="B11" t="s">
        <v>86</v>
      </c>
      <c r="C11" s="4">
        <v>-4772.7052000000003</v>
      </c>
      <c r="D11" s="4">
        <f t="shared" si="0"/>
        <v>-2233.9243999999999</v>
      </c>
      <c r="E11" s="4">
        <f>C11+D11</f>
        <v>-7006.6296000000002</v>
      </c>
    </row>
  </sheetData>
  <pageMargins left="0.78750000000000009" right="0.78750000000000009" top="1.05277777777778" bottom="1.05277777777778" header="0.78750000000000009" footer="0.78750000000000009"/>
  <pageSetup paperSize="9"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</vt:lpstr>
      <vt:lpstr>xSheet1</vt:lpstr>
      <vt:lpstr>xxmore</vt:lpstr>
      <vt:lpstr>x_Metric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Rafay Ahmed</cp:lastModifiedBy>
  <cp:revision>133</cp:revision>
  <dcterms:created xsi:type="dcterms:W3CDTF">2025-06-10T09:23:35Z</dcterms:created>
  <dcterms:modified xsi:type="dcterms:W3CDTF">2026-09-15T13:59:09Z</dcterms:modified>
  <dc:language>en-US</dc:language>
</cp:coreProperties>
</file>