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Revenue\Model\"/>
    </mc:Choice>
  </mc:AlternateContent>
  <xr:revisionPtr revIDLastSave="0" documentId="13_ncr:1_{0879ED3B-B76E-4FC1-97BE-142D7BD36720}" xr6:coauthVersionLast="47" xr6:coauthVersionMax="47" xr10:uidLastSave="{00000000-0000-0000-0000-000000000000}"/>
  <bookViews>
    <workbookView xWindow="-120" yWindow="-120" windowWidth="29040" windowHeight="17520" tabRatio="500" activeTab="5" xr2:uid="{00000000-000D-0000-FFFF-FFFF00000000}"/>
  </bookViews>
  <sheets>
    <sheet name="xxJOB" sheetId="10" r:id="rId1"/>
    <sheet name="CATALOG" sheetId="11" r:id="rId2"/>
    <sheet name="REV" sheetId="1" r:id="rId3"/>
    <sheet name="INV" sheetId="2" r:id="rId4"/>
    <sheet name="EOD" sheetId="3" r:id="rId5"/>
    <sheet name="ProductCatalog_Allocation_Calc" sheetId="4" r:id="rId6"/>
    <sheet name="RevRec_Calc" sheetId="5" r:id="rId7"/>
    <sheet name="Events" sheetId="6" r:id="rId8"/>
    <sheet name="o_Transaction" sheetId="7" r:id="rId9"/>
    <sheet name="EXPECTED_INP_OUT" sheetId="8" r:id="rId10"/>
    <sheet name="Scenario" sheetId="9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" i="4" l="1"/>
  <c r="D8" i="4"/>
  <c r="C8" i="4"/>
  <c r="B8" i="4"/>
  <c r="A8" i="4"/>
  <c r="E7" i="4"/>
  <c r="D7" i="4"/>
  <c r="C7" i="4"/>
  <c r="B7" i="4"/>
  <c r="A7" i="4"/>
  <c r="E6" i="4"/>
  <c r="D6" i="4"/>
  <c r="C6" i="4"/>
  <c r="B6" i="4"/>
  <c r="A6" i="4"/>
  <c r="E5" i="4"/>
  <c r="D5" i="4"/>
  <c r="C5" i="4"/>
  <c r="B5" i="4"/>
  <c r="A5" i="4"/>
  <c r="E4" i="4"/>
  <c r="D4" i="4"/>
  <c r="C4" i="4"/>
  <c r="B4" i="4"/>
  <c r="A4" i="4"/>
  <c r="E3" i="4"/>
  <c r="D3" i="4"/>
  <c r="C3" i="4"/>
  <c r="B3" i="4"/>
  <c r="A3" i="4"/>
  <c r="C19" i="5" l="1" a="1"/>
  <c r="C19" i="5" s="1"/>
  <c r="L3" i="5"/>
  <c r="E19" i="5" a="1"/>
  <c r="E19" i="5" s="1"/>
  <c r="A27" i="4"/>
  <c r="A26" i="4"/>
  <c r="A25" i="4"/>
  <c r="A24" i="4"/>
  <c r="A23" i="4"/>
  <c r="A22" i="4"/>
  <c r="C25" i="4" s="1"/>
  <c r="B27" i="4"/>
  <c r="B26" i="4"/>
  <c r="B25" i="4"/>
  <c r="B24" i="4"/>
  <c r="B23" i="4"/>
  <c r="B22" i="4"/>
  <c r="P25" i="9"/>
  <c r="O24" i="9" s="1"/>
  <c r="I25" i="9"/>
  <c r="I28" i="9" s="1"/>
  <c r="P23" i="9"/>
  <c r="O22" i="9"/>
  <c r="F22" i="9"/>
  <c r="D22" i="9"/>
  <c r="C22" i="9"/>
  <c r="B22" i="9"/>
  <c r="F21" i="9"/>
  <c r="D21" i="9"/>
  <c r="C21" i="9"/>
  <c r="B21" i="9"/>
  <c r="F20" i="9"/>
  <c r="D20" i="9"/>
  <c r="J22" i="9" s="1"/>
  <c r="C20" i="9"/>
  <c r="B20" i="9"/>
  <c r="F19" i="9"/>
  <c r="D19" i="9"/>
  <c r="C19" i="9"/>
  <c r="B19" i="9"/>
  <c r="F18" i="9"/>
  <c r="D18" i="9"/>
  <c r="C18" i="9"/>
  <c r="B18" i="9"/>
  <c r="P17" i="9"/>
  <c r="F17" i="9"/>
  <c r="D17" i="9"/>
  <c r="C17" i="9"/>
  <c r="B17" i="9"/>
  <c r="O16" i="9"/>
  <c r="F16" i="9"/>
  <c r="D16" i="9"/>
  <c r="C16" i="9"/>
  <c r="B16" i="9"/>
  <c r="F15" i="9"/>
  <c r="D15" i="9"/>
  <c r="C15" i="9"/>
  <c r="F14" i="9"/>
  <c r="D14" i="9"/>
  <c r="C14" i="9"/>
  <c r="O13" i="9"/>
  <c r="P14" i="9" s="1"/>
  <c r="H13" i="9"/>
  <c r="H22" i="9" s="1"/>
  <c r="K22" i="9" s="1"/>
  <c r="K25" i="9" s="1"/>
  <c r="K28" i="9" s="1"/>
  <c r="P12" i="9"/>
  <c r="O11" i="9"/>
  <c r="I11" i="9"/>
  <c r="H11" i="9"/>
  <c r="O9" i="9"/>
  <c r="P10" i="9" s="1"/>
  <c r="K7" i="9"/>
  <c r="J7" i="9"/>
  <c r="O6" i="9" s="1"/>
  <c r="P7" i="9" s="1"/>
  <c r="I7" i="9"/>
  <c r="P5" i="9" s="1"/>
  <c r="B5" i="9"/>
  <c r="B15" i="9" s="1"/>
  <c r="B4" i="9"/>
  <c r="B14" i="9" s="1"/>
  <c r="C37" i="5"/>
  <c r="F19" i="5"/>
  <c r="C26" i="4" l="1"/>
  <c r="D26" i="4" s="1"/>
  <c r="B7" i="5" s="1"/>
  <c r="C27" i="4"/>
  <c r="D27" i="4" s="1"/>
  <c r="A16" i="4"/>
  <c r="A6" i="5" s="1"/>
  <c r="D25" i="4"/>
  <c r="B6" i="5" s="1"/>
  <c r="C22" i="4"/>
  <c r="C23" i="4"/>
  <c r="C24" i="4"/>
  <c r="K11" i="9"/>
  <c r="K13" i="9" s="1"/>
  <c r="I13" i="9"/>
  <c r="H25" i="9"/>
  <c r="H28" i="9" s="1"/>
  <c r="B19" i="5"/>
  <c r="B37" i="5"/>
  <c r="O4" i="9"/>
  <c r="J11" i="9"/>
  <c r="J13" i="9" s="1"/>
  <c r="J25" i="9" s="1"/>
  <c r="B29" i="5"/>
  <c r="A17" i="4" l="1"/>
  <c r="A7" i="5" s="1"/>
  <c r="A15" i="4"/>
  <c r="A5" i="5" s="1"/>
  <c r="D24" i="4"/>
  <c r="B5" i="5" s="1"/>
  <c r="A14" i="4"/>
  <c r="A4" i="5" s="1"/>
  <c r="D23" i="4"/>
  <c r="B4" i="5" s="1"/>
  <c r="A13" i="4"/>
  <c r="A3" i="5" s="1"/>
  <c r="BC11" i="5" s="1"/>
  <c r="D22" i="4"/>
  <c r="B3" i="5" s="1"/>
  <c r="A11" i="5" s="1"/>
  <c r="D3" i="5"/>
  <c r="I3" i="5"/>
  <c r="AB11" i="5"/>
  <c r="CD11" i="5"/>
  <c r="E3" i="5"/>
  <c r="C13" i="4"/>
  <c r="B17" i="4"/>
  <c r="D29" i="5"/>
  <c r="D37" i="5"/>
  <c r="I22" i="9"/>
  <c r="P20" i="9"/>
  <c r="O19" i="9" s="1"/>
  <c r="B13" i="4" l="1"/>
  <c r="D13" i="4" s="1"/>
  <c r="B14" i="4"/>
  <c r="H3" i="5"/>
  <c r="B15" i="4"/>
  <c r="D15" i="4" s="1"/>
  <c r="H11" i="5"/>
  <c r="AI11" i="5" s="1"/>
  <c r="T11" i="5"/>
  <c r="AU11" i="5" s="1"/>
  <c r="B11" i="5"/>
  <c r="P11" i="5"/>
  <c r="CS11" i="5" s="1"/>
  <c r="F11" i="5"/>
  <c r="AG11" i="5" s="1"/>
  <c r="BH11" i="5" s="1"/>
  <c r="K11" i="5"/>
  <c r="AL11" i="5" s="1"/>
  <c r="Q11" i="5"/>
  <c r="CT11" i="5" s="1"/>
  <c r="W11" i="5"/>
  <c r="CZ11" i="5" s="1"/>
  <c r="D11" i="5"/>
  <c r="AE11" i="5" s="1"/>
  <c r="R11" i="5"/>
  <c r="CU11" i="5" s="1"/>
  <c r="A20" i="5"/>
  <c r="E20" i="5" s="1"/>
  <c r="J11" i="5"/>
  <c r="AK11" i="5" s="1"/>
  <c r="F3" i="5"/>
  <c r="V11" i="5"/>
  <c r="CY11" i="5" s="1"/>
  <c r="E11" i="5"/>
  <c r="AF11" i="5" s="1"/>
  <c r="N11" i="5"/>
  <c r="AO11" i="5" s="1"/>
  <c r="Z11" i="5"/>
  <c r="DC11" i="5" s="1"/>
  <c r="C11" i="5"/>
  <c r="AD11" i="5" s="1"/>
  <c r="BE11" i="5" s="1"/>
  <c r="O11" i="5"/>
  <c r="AP11" i="5" s="1"/>
  <c r="BQ11" i="5" s="1"/>
  <c r="C16" i="4"/>
  <c r="B16" i="4"/>
  <c r="C17" i="4"/>
  <c r="D17" i="4" s="1"/>
  <c r="G11" i="5"/>
  <c r="AH11" i="5" s="1"/>
  <c r="A38" i="5"/>
  <c r="C38" i="5" s="1"/>
  <c r="L11" i="5"/>
  <c r="AM11" i="5" s="1"/>
  <c r="S11" i="5"/>
  <c r="AT11" i="5" s="1"/>
  <c r="C14" i="4"/>
  <c r="A30" i="5"/>
  <c r="B30" i="5" s="1"/>
  <c r="M11" i="5"/>
  <c r="AN11" i="5" s="1"/>
  <c r="BO11" i="5" s="1"/>
  <c r="I11" i="5"/>
  <c r="AJ11" i="5" s="1"/>
  <c r="BK11" i="5" s="1"/>
  <c r="C15" i="4"/>
  <c r="X11" i="5"/>
  <c r="AY11" i="5" s="1"/>
  <c r="Y11" i="5"/>
  <c r="DB11" i="5" s="1"/>
  <c r="U11" i="5"/>
  <c r="CX11" i="5" s="1"/>
  <c r="BG11" i="5" l="1"/>
  <c r="BU11" i="5"/>
  <c r="BV11" i="5"/>
  <c r="BM11" i="5"/>
  <c r="BJ11" i="5"/>
  <c r="AC11" i="5"/>
  <c r="BD11" i="5"/>
  <c r="BN11" i="5"/>
  <c r="BP11" i="5"/>
  <c r="BL11" i="5"/>
  <c r="BI11" i="5"/>
  <c r="BZ11" i="5"/>
  <c r="BF11" i="5"/>
  <c r="E30" i="5"/>
  <c r="C30" i="5"/>
  <c r="F30" i="5"/>
  <c r="AQ11" i="5"/>
  <c r="BR11" i="5" s="1"/>
  <c r="AW11" i="5"/>
  <c r="BX11" i="5" s="1"/>
  <c r="CR11" i="5"/>
  <c r="BA11" i="5"/>
  <c r="CB11" i="5" s="1"/>
  <c r="CW11" i="5"/>
  <c r="F20" i="5"/>
  <c r="B20" i="5"/>
  <c r="AS11" i="5"/>
  <c r="BT11" i="5" s="1"/>
  <c r="AX11" i="5"/>
  <c r="BY11" i="5" s="1"/>
  <c r="C20" i="5"/>
  <c r="D20" i="5"/>
  <c r="AR11" i="5"/>
  <c r="BS11" i="5" s="1"/>
  <c r="B38" i="5"/>
  <c r="C18" i="4"/>
  <c r="AZ11" i="5"/>
  <c r="CA11" i="5" s="1"/>
  <c r="CV11" i="5"/>
  <c r="F38" i="5"/>
  <c r="H7" i="5"/>
  <c r="I7" i="5"/>
  <c r="AB15" i="5"/>
  <c r="BC15" i="5"/>
  <c r="A15" i="5"/>
  <c r="D7" i="5"/>
  <c r="CD15" i="5"/>
  <c r="E7" i="5"/>
  <c r="A13" i="5"/>
  <c r="H5" i="5"/>
  <c r="E5" i="5"/>
  <c r="D5" i="5"/>
  <c r="BC13" i="5"/>
  <c r="I5" i="5"/>
  <c r="CD13" i="5"/>
  <c r="AB13" i="5"/>
  <c r="D14" i="4"/>
  <c r="D16" i="4"/>
  <c r="DA11" i="5"/>
  <c r="E38" i="5"/>
  <c r="D4" i="5"/>
  <c r="CD12" i="5"/>
  <c r="H4" i="5"/>
  <c r="E4" i="5"/>
  <c r="BC12" i="5"/>
  <c r="I4" i="5"/>
  <c r="AB12" i="5"/>
  <c r="AV11" i="5"/>
  <c r="BW11" i="5" s="1"/>
  <c r="H6" i="5"/>
  <c r="AB14" i="5"/>
  <c r="D6" i="5"/>
  <c r="I6" i="5"/>
  <c r="CD14" i="5"/>
  <c r="A14" i="5"/>
  <c r="E6" i="5"/>
  <c r="BC14" i="5"/>
  <c r="F7" i="5" l="1"/>
  <c r="B15" i="5"/>
  <c r="J3" i="5"/>
  <c r="I15" i="5"/>
  <c r="CL15" i="5" s="1"/>
  <c r="F5" i="5"/>
  <c r="F4" i="5"/>
  <c r="R14" i="5"/>
  <c r="X14" i="5"/>
  <c r="P14" i="5"/>
  <c r="N14" i="5"/>
  <c r="S14" i="5"/>
  <c r="F14" i="5"/>
  <c r="L14" i="5"/>
  <c r="Q14" i="5"/>
  <c r="W14" i="5"/>
  <c r="E14" i="5"/>
  <c r="K14" i="5"/>
  <c r="H14" i="5"/>
  <c r="D14" i="5"/>
  <c r="T14" i="5"/>
  <c r="V14" i="5"/>
  <c r="O14" i="5"/>
  <c r="G14" i="5"/>
  <c r="J14" i="5"/>
  <c r="C14" i="5"/>
  <c r="U14" i="5"/>
  <c r="Z14" i="5"/>
  <c r="I14" i="5"/>
  <c r="Y14" i="5"/>
  <c r="M14" i="5"/>
  <c r="R13" i="5"/>
  <c r="G13" i="5"/>
  <c r="U13" i="5"/>
  <c r="N13" i="5"/>
  <c r="W13" i="5"/>
  <c r="S13" i="5"/>
  <c r="Z13" i="5"/>
  <c r="E13" i="5"/>
  <c r="X13" i="5"/>
  <c r="H13" i="5"/>
  <c r="T13" i="5"/>
  <c r="Y13" i="5"/>
  <c r="I13" i="5"/>
  <c r="Q13" i="5"/>
  <c r="J13" i="5"/>
  <c r="L13" i="5"/>
  <c r="F13" i="5"/>
  <c r="V13" i="5"/>
  <c r="P13" i="5"/>
  <c r="M13" i="5"/>
  <c r="C13" i="5"/>
  <c r="K13" i="5"/>
  <c r="O13" i="5"/>
  <c r="D13" i="5"/>
  <c r="B13" i="5"/>
  <c r="BD13" i="5" s="1"/>
  <c r="D18" i="4"/>
  <c r="A32" i="5"/>
  <c r="A22" i="5"/>
  <c r="A40" i="5"/>
  <c r="A41" i="5"/>
  <c r="A23" i="5"/>
  <c r="A33" i="5"/>
  <c r="F12" i="5"/>
  <c r="V12" i="5"/>
  <c r="Q12" i="5"/>
  <c r="N12" i="5"/>
  <c r="Y12" i="5"/>
  <c r="J12" i="5"/>
  <c r="I12" i="5"/>
  <c r="L12" i="5"/>
  <c r="X12" i="5"/>
  <c r="Z12" i="5"/>
  <c r="K12" i="5"/>
  <c r="G12" i="5"/>
  <c r="W12" i="5"/>
  <c r="H12" i="5"/>
  <c r="R12" i="5"/>
  <c r="U12" i="5"/>
  <c r="S12" i="5"/>
  <c r="D12" i="5"/>
  <c r="AE12" i="5" s="1"/>
  <c r="C12" i="5"/>
  <c r="AD12" i="5" s="1"/>
  <c r="BE12" i="5" s="1"/>
  <c r="P12" i="5"/>
  <c r="E12" i="5"/>
  <c r="O12" i="5"/>
  <c r="T12" i="5"/>
  <c r="A24" i="5"/>
  <c r="A34" i="5"/>
  <c r="A42" i="5"/>
  <c r="F6" i="5"/>
  <c r="B14" i="5"/>
  <c r="BD14" i="5" s="1"/>
  <c r="A21" i="5"/>
  <c r="A12" i="5"/>
  <c r="B12" i="5" s="1"/>
  <c r="BD12" i="5" s="1"/>
  <c r="A31" i="5"/>
  <c r="A39" i="5"/>
  <c r="M12" i="5"/>
  <c r="E15" i="5"/>
  <c r="G15" i="5"/>
  <c r="R15" i="5"/>
  <c r="L15" i="5"/>
  <c r="Q15" i="5"/>
  <c r="P15" i="5"/>
  <c r="S15" i="5"/>
  <c r="Z15" i="5"/>
  <c r="V15" i="5"/>
  <c r="M15" i="5"/>
  <c r="K15" i="5"/>
  <c r="W15" i="5"/>
  <c r="Y15" i="5"/>
  <c r="U15" i="5"/>
  <c r="H15" i="5"/>
  <c r="O15" i="5"/>
  <c r="X15" i="5"/>
  <c r="D15" i="5"/>
  <c r="C15" i="5"/>
  <c r="F15" i="5"/>
  <c r="N15" i="5"/>
  <c r="T15" i="5"/>
  <c r="J15" i="5"/>
  <c r="BF12" i="5" l="1"/>
  <c r="CE15" i="5"/>
  <c r="BD15" i="5"/>
  <c r="AC15" i="5"/>
  <c r="AJ15" i="5"/>
  <c r="BK15" i="5" s="1"/>
  <c r="CR13" i="5"/>
  <c r="AP13" i="5"/>
  <c r="BQ13" i="5" s="1"/>
  <c r="AL12" i="5"/>
  <c r="BM12" i="5" s="1"/>
  <c r="E23" i="5"/>
  <c r="D23" i="5"/>
  <c r="B23" i="5"/>
  <c r="F23" i="5"/>
  <c r="C23" i="5"/>
  <c r="DC12" i="5"/>
  <c r="BA12" i="5"/>
  <c r="CB12" i="5" s="1"/>
  <c r="F41" i="5"/>
  <c r="E41" i="5"/>
  <c r="B41" i="5"/>
  <c r="DC14" i="5"/>
  <c r="BA14" i="5"/>
  <c r="CB14" i="5" s="1"/>
  <c r="DA12" i="5"/>
  <c r="AY12" i="5"/>
  <c r="BZ12" i="5" s="1"/>
  <c r="AV14" i="5"/>
  <c r="BW14" i="5" s="1"/>
  <c r="CX14" i="5"/>
  <c r="CQ15" i="5"/>
  <c r="AO15" i="5"/>
  <c r="BP15" i="5" s="1"/>
  <c r="AW15" i="5"/>
  <c r="BX15" i="5" s="1"/>
  <c r="CY15" i="5"/>
  <c r="BA13" i="5"/>
  <c r="CB13" i="5" s="1"/>
  <c r="DC13" i="5"/>
  <c r="BA15" i="5"/>
  <c r="CB15" i="5" s="1"/>
  <c r="DC15" i="5"/>
  <c r="F21" i="5"/>
  <c r="E21" i="5"/>
  <c r="D21" i="5"/>
  <c r="C21" i="5"/>
  <c r="B21" i="5"/>
  <c r="CV13" i="5"/>
  <c r="AT13" i="5"/>
  <c r="BU13" i="5" s="1"/>
  <c r="AK14" i="5"/>
  <c r="BL14" i="5" s="1"/>
  <c r="AG14" i="5"/>
  <c r="BH14" i="5" s="1"/>
  <c r="CF15" i="5"/>
  <c r="AD15" i="5"/>
  <c r="BE15" i="5" s="1"/>
  <c r="CV15" i="5"/>
  <c r="AT15" i="5"/>
  <c r="BU15" i="5" s="1"/>
  <c r="AC14" i="5"/>
  <c r="AK12" i="5"/>
  <c r="BL12" i="5" s="1"/>
  <c r="CM12" i="5"/>
  <c r="F40" i="5"/>
  <c r="C40" i="5"/>
  <c r="E40" i="5"/>
  <c r="B40" i="5"/>
  <c r="CI13" i="5"/>
  <c r="AG13" i="5"/>
  <c r="BH13" i="5" s="1"/>
  <c r="CZ13" i="5"/>
  <c r="AX13" i="5"/>
  <c r="BY13" i="5" s="1"/>
  <c r="AH14" i="5"/>
  <c r="BI14" i="5" s="1"/>
  <c r="CV14" i="5"/>
  <c r="AT14" i="5"/>
  <c r="BU14" i="5" s="1"/>
  <c r="AH12" i="5"/>
  <c r="BI12" i="5" s="1"/>
  <c r="E33" i="5"/>
  <c r="F33" i="5"/>
  <c r="C33" i="5"/>
  <c r="B33" i="5"/>
  <c r="CW13" i="5"/>
  <c r="AU13" i="5"/>
  <c r="BV13" i="5" s="1"/>
  <c r="AZ14" i="5"/>
  <c r="CA14" i="5" s="1"/>
  <c r="DB14" i="5"/>
  <c r="AL14" i="5"/>
  <c r="BM14" i="5" s="1"/>
  <c r="CZ15" i="5"/>
  <c r="AX15" i="5"/>
  <c r="BY15" i="5" s="1"/>
  <c r="CW12" i="5"/>
  <c r="AU12" i="5"/>
  <c r="BV12" i="5" s="1"/>
  <c r="CK13" i="5"/>
  <c r="AI13" i="5"/>
  <c r="BJ13" i="5" s="1"/>
  <c r="AJ14" i="5"/>
  <c r="BK14" i="5" s="1"/>
  <c r="AF14" i="5"/>
  <c r="BG14" i="5" s="1"/>
  <c r="CN15" i="5"/>
  <c r="AL15" i="5"/>
  <c r="BM15" i="5" s="1"/>
  <c r="C39" i="5"/>
  <c r="F39" i="5"/>
  <c r="E39" i="5"/>
  <c r="B39" i="5"/>
  <c r="AP12" i="5"/>
  <c r="BQ12" i="5" s="1"/>
  <c r="CR12" i="5"/>
  <c r="DA13" i="5"/>
  <c r="AY13" i="5"/>
  <c r="BZ13" i="5" s="1"/>
  <c r="CZ14" i="5"/>
  <c r="AX14" i="5"/>
  <c r="BY14" i="5" s="1"/>
  <c r="CP15" i="5"/>
  <c r="AN15" i="5"/>
  <c r="BO15" i="5" s="1"/>
  <c r="AF12" i="5"/>
  <c r="BG12" i="5" s="1"/>
  <c r="CP13" i="5"/>
  <c r="AN13" i="5"/>
  <c r="BO13" i="5" s="1"/>
  <c r="CT14" i="5"/>
  <c r="AR14" i="5"/>
  <c r="BS14" i="5" s="1"/>
  <c r="AC12" i="5"/>
  <c r="CS12" i="5"/>
  <c r="AQ12" i="5"/>
  <c r="BR12" i="5" s="1"/>
  <c r="CS13" i="5"/>
  <c r="AQ13" i="5"/>
  <c r="BR13" i="5" s="1"/>
  <c r="AM14" i="5"/>
  <c r="BN14" i="5" s="1"/>
  <c r="CI15" i="5"/>
  <c r="AG15" i="5"/>
  <c r="BH15" i="5" s="1"/>
  <c r="CY13" i="5"/>
  <c r="AW13" i="5"/>
  <c r="BX13" i="5" s="1"/>
  <c r="CG15" i="5"/>
  <c r="AE15" i="5"/>
  <c r="BF15" i="5" s="1"/>
  <c r="CV12" i="5"/>
  <c r="AT12" i="5"/>
  <c r="BU12" i="5" s="1"/>
  <c r="DB12" i="5"/>
  <c r="AZ12" i="5"/>
  <c r="CA12" i="5" s="1"/>
  <c r="B22" i="5"/>
  <c r="E22" i="5"/>
  <c r="D22" i="5"/>
  <c r="F22" i="5"/>
  <c r="C22" i="5"/>
  <c r="AO13" i="5"/>
  <c r="BP13" i="5" s="1"/>
  <c r="CQ13" i="5"/>
  <c r="CR14" i="5"/>
  <c r="AP14" i="5"/>
  <c r="BQ14" i="5" s="1"/>
  <c r="AO14" i="5"/>
  <c r="BP14" i="5" s="1"/>
  <c r="DA15" i="5"/>
  <c r="AY15" i="5"/>
  <c r="BZ15" i="5" s="1"/>
  <c r="CT15" i="5"/>
  <c r="AR15" i="5"/>
  <c r="BS15" i="5" s="1"/>
  <c r="CX12" i="5"/>
  <c r="AV12" i="5"/>
  <c r="BW12" i="5" s="1"/>
  <c r="AO12" i="5"/>
  <c r="BP12" i="5" s="1"/>
  <c r="F32" i="5"/>
  <c r="E32" i="5"/>
  <c r="C32" i="5"/>
  <c r="B32" i="5"/>
  <c r="CM13" i="5"/>
  <c r="AK13" i="5"/>
  <c r="BL13" i="5" s="1"/>
  <c r="CX13" i="5"/>
  <c r="AV13" i="5"/>
  <c r="BW13" i="5" s="1"/>
  <c r="CY14" i="5"/>
  <c r="AW14" i="5"/>
  <c r="BX14" i="5" s="1"/>
  <c r="AQ14" i="5"/>
  <c r="BR14" i="5" s="1"/>
  <c r="CS14" i="5"/>
  <c r="CR15" i="5"/>
  <c r="AP15" i="5"/>
  <c r="BQ15" i="5" s="1"/>
  <c r="CO15" i="5"/>
  <c r="AM15" i="5"/>
  <c r="BN15" i="5" s="1"/>
  <c r="CU12" i="5"/>
  <c r="AS12" i="5"/>
  <c r="BT12" i="5" s="1"/>
  <c r="CT12" i="5"/>
  <c r="AR12" i="5"/>
  <c r="BS12" i="5" s="1"/>
  <c r="E14" i="4"/>
  <c r="F14" i="4" s="1"/>
  <c r="C4" i="5" s="1"/>
  <c r="G4" i="5" s="1"/>
  <c r="E13" i="4"/>
  <c r="E15" i="4"/>
  <c r="F15" i="4" s="1"/>
  <c r="C5" i="5" s="1"/>
  <c r="G5" i="5" s="1"/>
  <c r="CE13" i="5" s="1"/>
  <c r="E17" i="4"/>
  <c r="F17" i="4" s="1"/>
  <c r="C7" i="5" s="1"/>
  <c r="G7" i="5" s="1"/>
  <c r="CT13" i="5"/>
  <c r="AR13" i="5"/>
  <c r="BS13" i="5" s="1"/>
  <c r="CJ13" i="5"/>
  <c r="AH13" i="5"/>
  <c r="BI13" i="5" s="1"/>
  <c r="CW14" i="5"/>
  <c r="AU14" i="5"/>
  <c r="BV14" i="5" s="1"/>
  <c r="DA14" i="5"/>
  <c r="AY14" i="5"/>
  <c r="BZ14" i="5" s="1"/>
  <c r="CK15" i="5"/>
  <c r="AI15" i="5"/>
  <c r="BJ15" i="5" s="1"/>
  <c r="CU15" i="5"/>
  <c r="AS15" i="5"/>
  <c r="BT15" i="5" s="1"/>
  <c r="F42" i="5"/>
  <c r="E42" i="5"/>
  <c r="B42" i="5"/>
  <c r="AI12" i="5"/>
  <c r="BJ12" i="5" s="1"/>
  <c r="AW12" i="5"/>
  <c r="BX12" i="5" s="1"/>
  <c r="CY12" i="5"/>
  <c r="AC13" i="5"/>
  <c r="CL13" i="5"/>
  <c r="AJ13" i="5"/>
  <c r="BK13" i="5" s="1"/>
  <c r="CU13" i="5"/>
  <c r="AS13" i="5"/>
  <c r="BT13" i="5" s="1"/>
  <c r="AE14" i="5"/>
  <c r="BF14" i="5" s="1"/>
  <c r="AS14" i="5"/>
  <c r="BT14" i="5" s="1"/>
  <c r="CU14" i="5"/>
  <c r="AZ15" i="5"/>
  <c r="CA15" i="5" s="1"/>
  <c r="DB15" i="5"/>
  <c r="CH15" i="5"/>
  <c r="AF15" i="5"/>
  <c r="BG15" i="5" s="1"/>
  <c r="D24" i="5"/>
  <c r="C24" i="5"/>
  <c r="B24" i="5"/>
  <c r="F24" i="5"/>
  <c r="E24" i="5"/>
  <c r="AN12" i="5"/>
  <c r="BO12" i="5" s="1"/>
  <c r="AL13" i="5"/>
  <c r="BM13" i="5" s="1"/>
  <c r="CN13" i="5"/>
  <c r="CM15" i="5"/>
  <c r="AK15" i="5"/>
  <c r="BL15" i="5" s="1"/>
  <c r="CF13" i="5"/>
  <c r="AD13" i="5"/>
  <c r="BE13" i="5" s="1"/>
  <c r="CW15" i="5"/>
  <c r="AU15" i="5"/>
  <c r="BV15" i="5" s="1"/>
  <c r="C31" i="5"/>
  <c r="B31" i="5"/>
  <c r="F31" i="5"/>
  <c r="E31" i="5"/>
  <c r="CH13" i="5"/>
  <c r="AF13" i="5"/>
  <c r="BG13" i="5" s="1"/>
  <c r="AM12" i="5"/>
  <c r="BN12" i="5" s="1"/>
  <c r="AD14" i="5"/>
  <c r="BE14" i="5" s="1"/>
  <c r="AJ12" i="5"/>
  <c r="BK12" i="5" s="1"/>
  <c r="CS15" i="5"/>
  <c r="AQ15" i="5"/>
  <c r="BR15" i="5" s="1"/>
  <c r="CO13" i="5"/>
  <c r="AM13" i="5"/>
  <c r="BN13" i="5" s="1"/>
  <c r="CX15" i="5"/>
  <c r="AV15" i="5"/>
  <c r="BW15" i="5" s="1"/>
  <c r="CJ15" i="5"/>
  <c r="AH15" i="5"/>
  <c r="BI15" i="5" s="1"/>
  <c r="C34" i="5"/>
  <c r="F34" i="5"/>
  <c r="B34" i="5"/>
  <c r="E34" i="5"/>
  <c r="CZ12" i="5"/>
  <c r="AX12" i="5"/>
  <c r="BY12" i="5" s="1"/>
  <c r="AG12" i="5"/>
  <c r="BH12" i="5" s="1"/>
  <c r="CG13" i="5"/>
  <c r="AE13" i="5"/>
  <c r="BF13" i="5" s="1"/>
  <c r="DB13" i="5"/>
  <c r="AZ13" i="5"/>
  <c r="CA13" i="5" s="1"/>
  <c r="AN14" i="5"/>
  <c r="BO14" i="5" s="1"/>
  <c r="AI14" i="5"/>
  <c r="BJ14" i="5" s="1"/>
  <c r="E16" i="4"/>
  <c r="F16" i="4" s="1"/>
  <c r="C6" i="5" s="1"/>
  <c r="G6" i="5" s="1"/>
  <c r="CL11" i="5"/>
  <c r="CK11" i="5"/>
  <c r="CO11" i="5"/>
  <c r="CG11" i="5"/>
  <c r="CP11" i="5"/>
  <c r="CF11" i="5"/>
  <c r="CI11" i="5"/>
  <c r="CQ11" i="5"/>
  <c r="CN11" i="5"/>
  <c r="CJ11" i="5"/>
  <c r="CH11" i="5"/>
  <c r="CM11" i="5"/>
  <c r="CL12" i="5" l="1"/>
  <c r="CG14" i="5"/>
  <c r="CN14" i="5"/>
  <c r="CO14" i="5"/>
  <c r="CJ14" i="5"/>
  <c r="CF14" i="5"/>
  <c r="CK14" i="5"/>
  <c r="CQ14" i="5"/>
  <c r="CH14" i="5"/>
  <c r="CL14" i="5"/>
  <c r="CP14" i="5"/>
  <c r="CM14" i="5"/>
  <c r="J7" i="5"/>
  <c r="K7" i="5"/>
  <c r="CK12" i="5"/>
  <c r="CP12" i="5"/>
  <c r="D34" i="5"/>
  <c r="D42" i="5" s="1"/>
  <c r="A50" i="5" s="1"/>
  <c r="CI12" i="5"/>
  <c r="CQ12" i="5"/>
  <c r="CG12" i="5"/>
  <c r="D25" i="5"/>
  <c r="CE14" i="5"/>
  <c r="D33" i="5" s="1"/>
  <c r="D41" i="5" s="1"/>
  <c r="A49" i="5" s="1"/>
  <c r="CJ12" i="5"/>
  <c r="CI14" i="5"/>
  <c r="D32" i="5"/>
  <c r="D40" i="5" s="1"/>
  <c r="A48" i="5" s="1"/>
  <c r="D48" i="5" s="1"/>
  <c r="E48" i="5" s="1"/>
  <c r="C25" i="5"/>
  <c r="C29" i="5" s="1"/>
  <c r="CE12" i="5"/>
  <c r="J4" i="5"/>
  <c r="J6" i="5"/>
  <c r="K5" i="5"/>
  <c r="F13" i="4"/>
  <c r="E18" i="4"/>
  <c r="E25" i="5"/>
  <c r="CF12" i="5"/>
  <c r="F25" i="5"/>
  <c r="CO12" i="5"/>
  <c r="J5" i="5"/>
  <c r="CN12" i="5"/>
  <c r="CH12" i="5"/>
  <c r="C48" i="5" l="1"/>
  <c r="C42" i="5"/>
  <c r="F48" i="5"/>
  <c r="A4" i="7"/>
  <c r="E4" i="7" s="1"/>
  <c r="B48" i="5"/>
  <c r="K6" i="5"/>
  <c r="C41" i="5"/>
  <c r="K4" i="5"/>
  <c r="D31" i="5"/>
  <c r="D39" i="5" s="1"/>
  <c r="A47" i="5" s="1"/>
  <c r="B50" i="5"/>
  <c r="A6" i="7"/>
  <c r="D50" i="5"/>
  <c r="E50" i="5" s="1"/>
  <c r="C50" i="5"/>
  <c r="F50" i="5"/>
  <c r="F49" i="5"/>
  <c r="A5" i="7"/>
  <c r="B49" i="5"/>
  <c r="C49" i="5"/>
  <c r="D49" i="5"/>
  <c r="E49" i="5" s="1"/>
  <c r="C3" i="5"/>
  <c r="G3" i="5" s="1"/>
  <c r="CE11" i="5" s="1"/>
  <c r="F18" i="4"/>
  <c r="G18" i="4" s="1"/>
  <c r="F4" i="7" l="1"/>
  <c r="D4" i="7"/>
  <c r="B4" i="7"/>
  <c r="C4" i="7"/>
  <c r="F5" i="7"/>
  <c r="B5" i="7"/>
  <c r="C5" i="7"/>
  <c r="D5" i="7"/>
  <c r="E5" i="7"/>
  <c r="B6" i="7"/>
  <c r="F6" i="7"/>
  <c r="D6" i="7"/>
  <c r="E6" i="7"/>
  <c r="C6" i="7"/>
  <c r="K3" i="5"/>
  <c r="D30" i="5"/>
  <c r="A3" i="7"/>
  <c r="F47" i="5"/>
  <c r="D47" i="5"/>
  <c r="E47" i="5" s="1"/>
  <c r="B47" i="5"/>
  <c r="C47" i="5"/>
  <c r="E29" i="5" l="1"/>
  <c r="D38" i="5"/>
  <c r="E3" i="7"/>
  <c r="C3" i="7"/>
  <c r="B3" i="7"/>
  <c r="F3" i="7"/>
  <c r="D3" i="7"/>
  <c r="A51" i="5" l="1"/>
  <c r="D51" i="5" s="1"/>
  <c r="F29" i="5"/>
  <c r="A46" i="5"/>
  <c r="E37" i="5"/>
  <c r="F37" i="5" s="1"/>
  <c r="F46" i="5" l="1"/>
  <c r="D46" i="5"/>
  <c r="E46" i="5" s="1"/>
  <c r="C46" i="5"/>
  <c r="B46" i="5"/>
  <c r="A2" i="7"/>
  <c r="F51" i="5"/>
  <c r="E51" i="5"/>
  <c r="C51" i="5"/>
  <c r="B51" i="5"/>
  <c r="A7" i="7"/>
  <c r="C7" i="7" l="1"/>
  <c r="B7" i="7"/>
  <c r="F7" i="7"/>
  <c r="E7" i="7"/>
  <c r="D7" i="7"/>
  <c r="F2" i="7"/>
  <c r="E2" i="7"/>
  <c r="D2" i="7"/>
  <c r="C2" i="7"/>
  <c r="B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<sst xmlns="http://schemas.openxmlformats.org/spreadsheetml/2006/main" count="483" uniqueCount="126">
  <si>
    <t>PostingDate</t>
  </si>
  <si>
    <t>EffectiveDate</t>
  </si>
  <si>
    <t>InstrumentId</t>
  </si>
  <si>
    <t>AttributeId</t>
  </si>
  <si>
    <t>ATTRIBUTE_PRODUCT_ID_CURRENT</t>
  </si>
  <si>
    <t>ATTRIBUTE_ITEM_STARTDATE_CURRENT</t>
  </si>
  <si>
    <t>ATTRIBUTE_ITEM_ENDDATE_CURRENT</t>
  </si>
  <si>
    <t>ATTRIBUTE_SALE_PRICE_CURRENT</t>
  </si>
  <si>
    <t>ATTRIBUTE_QUANTITY_CURRENT</t>
  </si>
  <si>
    <t>TRANSACTIONS_AMOUNT_NEW_BILLING</t>
  </si>
  <si>
    <t>TRANSACTIONS_AMOUNT_CREDIT_NOTE</t>
  </si>
  <si>
    <t>PRODUCT CATALOG</t>
  </si>
  <si>
    <t>ProductId</t>
  </si>
  <si>
    <t>ProductName</t>
  </si>
  <si>
    <t>Standalone Sellig Price Rule</t>
  </si>
  <si>
    <t>Revenue Recognition Method</t>
  </si>
  <si>
    <t>Amount</t>
  </si>
  <si>
    <t>REVENUE ALLOCATION</t>
  </si>
  <si>
    <t>Sale Price</t>
  </si>
  <si>
    <t>SSP</t>
  </si>
  <si>
    <t>Ratio</t>
  </si>
  <si>
    <t>Allocation</t>
  </si>
  <si>
    <t>Total</t>
  </si>
  <si>
    <t>ALLOCATED REVENUE</t>
  </si>
  <si>
    <t>HEALTH CHECK</t>
  </si>
  <si>
    <t>EXECUTION DATE</t>
  </si>
  <si>
    <t>Product ID</t>
  </si>
  <si>
    <t>Attribute Id</t>
  </si>
  <si>
    <t>Revenue Allocation</t>
  </si>
  <si>
    <t>Start Date</t>
  </si>
  <si>
    <t>End Date</t>
  </si>
  <si>
    <t>Days</t>
  </si>
  <si>
    <t>Per Day Revenue</t>
  </si>
  <si>
    <t>InstrumentID</t>
  </si>
  <si>
    <t>Recognition Method</t>
  </si>
  <si>
    <t>Revenue</t>
  </si>
  <si>
    <t>Months</t>
  </si>
  <si>
    <t>HELPER COLUMN</t>
  </si>
  <si>
    <t>DAYS</t>
  </si>
  <si>
    <t>REVENUE</t>
  </si>
  <si>
    <t>AttributeID</t>
  </si>
  <si>
    <t>ProductID</t>
  </si>
  <si>
    <t>BALANCES</t>
  </si>
  <si>
    <t>Date</t>
  </si>
  <si>
    <t>Billing</t>
  </si>
  <si>
    <t>Unbilled</t>
  </si>
  <si>
    <t>Deferred Revenue</t>
  </si>
  <si>
    <t>NEW ACTIVITY + BALANCE</t>
  </si>
  <si>
    <t>NEW ACTIVITY</t>
  </si>
  <si>
    <t>TRANSACTIONS</t>
  </si>
  <si>
    <t>TransactionDate</t>
  </si>
  <si>
    <t>Transactiontype</t>
  </si>
  <si>
    <t>Group</t>
  </si>
  <si>
    <t>Unbilled Charge</t>
  </si>
  <si>
    <t>Table</t>
  </si>
  <si>
    <t>Field</t>
  </si>
  <si>
    <t>Event</t>
  </si>
  <si>
    <t>Trigger</t>
  </si>
  <si>
    <t>Attribute</t>
  </si>
  <si>
    <t>Productdid</t>
  </si>
  <si>
    <t>REV</t>
  </si>
  <si>
    <t>Model Execution</t>
  </si>
  <si>
    <t>StartDate</t>
  </si>
  <si>
    <t>Enddate</t>
  </si>
  <si>
    <t>Instrumentid</t>
  </si>
  <si>
    <t>SalePrice</t>
  </si>
  <si>
    <t>Quantity</t>
  </si>
  <si>
    <t>Balances</t>
  </si>
  <si>
    <t>Beg.Billing</t>
  </si>
  <si>
    <t>EOD</t>
  </si>
  <si>
    <t>Beg.DeferredRev</t>
  </si>
  <si>
    <t>Beg.unbilled</t>
  </si>
  <si>
    <t>Beg.Revenue</t>
  </si>
  <si>
    <t>Transactions</t>
  </si>
  <si>
    <t>Amount.Billing</t>
  </si>
  <si>
    <t>INV</t>
  </si>
  <si>
    <t>TransactionPost</t>
  </si>
  <si>
    <t>Billing,Credit_Note</t>
  </si>
  <si>
    <t>Amount.CreditNote</t>
  </si>
  <si>
    <t>TransactionName</t>
  </si>
  <si>
    <t>OUTPUT</t>
  </si>
  <si>
    <t>ATTRIBUTES.PRODUCTID.CURRENT</t>
  </si>
  <si>
    <t>ATTRIBUTES.STARTDATE.CURRENT</t>
  </si>
  <si>
    <t>ATTRIBUTES.ENDDATE.CURRENT</t>
  </si>
  <si>
    <t>ATTRIBUTES.SALEPRICE.CURRENT</t>
  </si>
  <si>
    <t>ATTRIBUTES.QUANTITY.CURRENT</t>
  </si>
  <si>
    <t>SO1</t>
  </si>
  <si>
    <t>TRANSACTIONS.AMOUNT.NEW_BILLING</t>
  </si>
  <si>
    <t>TRANSACTIONS.AMOUNT.CREDIT_NOTE</t>
  </si>
  <si>
    <t>BALANCES.BEGINNINGBALANCE.BILLING</t>
  </si>
  <si>
    <t>BALANCES.BEGINNINGBALANCE.UNBILLED</t>
  </si>
  <si>
    <t>BALANCES.BEGINNINGBALANCE.REVENUE</t>
  </si>
  <si>
    <t>BALANCES.BEGINNINGBALANCE.DEFERRED_REVENUE</t>
  </si>
  <si>
    <t>Ending Balance</t>
  </si>
  <si>
    <t>General Ledger</t>
  </si>
  <si>
    <t>PD</t>
  </si>
  <si>
    <t>ED</t>
  </si>
  <si>
    <t>Transaction</t>
  </si>
  <si>
    <t>EntryType</t>
  </si>
  <si>
    <t>Month</t>
  </si>
  <si>
    <t>Account</t>
  </si>
  <si>
    <t>DR</t>
  </si>
  <si>
    <t>CR</t>
  </si>
  <si>
    <t>Model</t>
  </si>
  <si>
    <t>Jan</t>
  </si>
  <si>
    <t>Balance</t>
  </si>
  <si>
    <t>Activity</t>
  </si>
  <si>
    <t>Feb</t>
  </si>
  <si>
    <t>New Billing</t>
  </si>
  <si>
    <t>ETL</t>
  </si>
  <si>
    <t>Contra Revenue</t>
  </si>
  <si>
    <t>Reversal</t>
  </si>
  <si>
    <t>Mar</t>
  </si>
  <si>
    <t>Apr</t>
  </si>
  <si>
    <t>May</t>
  </si>
  <si>
    <t>KEY HELPER</t>
  </si>
  <si>
    <t>Helper PID</t>
  </si>
  <si>
    <t>Lookup Att</t>
  </si>
  <si>
    <t>BALANCES_ENDINGBALANCE_BILLING</t>
  </si>
  <si>
    <t>BALANCES_ENDINGBALANCE_UNBILLED</t>
  </si>
  <si>
    <t>BALANCES_ENDINGBALANCE_REVENUE</t>
  </si>
  <si>
    <t>BALANCES_ENDINGBALANCE_DEFERRED_REVENUE</t>
  </si>
  <si>
    <t>ExecutionDate</t>
  </si>
  <si>
    <t>LastExecutionDate</t>
  </si>
  <si>
    <t>ReplayDate</t>
  </si>
  <si>
    <t>RevRec_Method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</si>
</sst>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_);[Red]\(0.00\)"/>
    <numFmt numFmtId="166" formatCode="0.0000_);[Red]\(0.0000\)"/>
    <numFmt numFmtId="167" formatCode="0_);[Red]\(0\)"/>
  </numFmts>
  <fonts count="6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6"/>
      <color theme="1"/>
      <name val="Calibri"/>
      <family val="2"/>
      <charset val="1"/>
    </font>
    <font>
      <b/>
      <sz val="2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rgb="FFC5E0B4"/>
      </patternFill>
    </fill>
    <fill>
      <patternFill patternType="solid">
        <fgColor theme="4" tint="0.59978026673177287"/>
        <bgColor rgb="FF99CCFF"/>
      </patternFill>
    </fill>
    <fill>
      <patternFill patternType="solid">
        <fgColor theme="4" tint="0.79979857783745845"/>
        <bgColor rgb="FFD9D9D9"/>
      </patternFill>
    </fill>
    <fill>
      <patternFill patternType="solid">
        <fgColor theme="9" tint="0.59978026673177287"/>
        <bgColor rgb="FFC6EFCE"/>
      </patternFill>
    </fill>
    <fill>
      <patternFill patternType="solid">
        <fgColor theme="0" tint="-0.14999847407452621"/>
        <bgColor rgb="FFDAE3F3"/>
      </patternFill>
    </fill>
    <fill>
      <patternFill patternType="solid">
        <fgColor theme="7" tint="0.59978026673177287"/>
        <bgColor rgb="FFFFCC99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4" fillId="0" borderId="0"/>
  </cellStyleXfs>
  <cellXfs count="86">
    <xf numFmtId="0" fontId="0" fillId="0" borderId="0" xfId="0"/>
    <xf numFmtId="0" fontId="1" fillId="0" borderId="0" xfId="1" applyFont="1"/>
    <xf numFmtId="0" fontId="1" fillId="0" borderId="0" xfId="0" applyFont="1"/>
    <xf numFmtId="0" fontId="1" fillId="2" borderId="0" xfId="1" applyFont="1" applyFill="1"/>
    <xf numFmtId="14" fontId="0" fillId="0" borderId="0" xfId="0" applyNumberFormat="1"/>
    <xf numFmtId="1" fontId="0" fillId="0" borderId="0" xfId="1" applyNumberFormat="1" applyFont="1" applyAlignment="1" applyProtection="1"/>
    <xf numFmtId="14" fontId="0" fillId="0" borderId="0" xfId="1" applyNumberFormat="1" applyFont="1"/>
    <xf numFmtId="2" fontId="0" fillId="0" borderId="0" xfId="1" applyNumberFormat="1" applyFont="1"/>
    <xf numFmtId="0" fontId="0" fillId="2" borderId="0" xfId="1" applyFont="1" applyFill="1"/>
    <xf numFmtId="164" fontId="0" fillId="0" borderId="0" xfId="0" applyNumberFormat="1"/>
    <xf numFmtId="0" fontId="0" fillId="0" borderId="0" xfId="0" applyAlignment="1" applyProtection="1"/>
    <xf numFmtId="0" fontId="2" fillId="3" borderId="1" xfId="1" applyFont="1" applyFill="1" applyBorder="1" applyAlignment="1" applyProtection="1">
      <alignment horizontal="center"/>
    </xf>
    <xf numFmtId="0" fontId="1" fillId="4" borderId="2" xfId="0" applyFont="1" applyFill="1" applyBorder="1" applyAlignment="1" applyProtection="1"/>
    <xf numFmtId="0" fontId="0" fillId="0" borderId="3" xfId="0" applyBorder="1" applyAlignment="1" applyProtection="1"/>
    <xf numFmtId="0" fontId="1" fillId="4" borderId="3" xfId="0" applyFont="1" applyFill="1" applyBorder="1" applyAlignment="1" applyProtection="1"/>
    <xf numFmtId="40" fontId="0" fillId="0" borderId="3" xfId="0" applyNumberFormat="1" applyBorder="1" applyAlignment="1" applyProtection="1"/>
    <xf numFmtId="40" fontId="0" fillId="5" borderId="3" xfId="0" applyNumberFormat="1" applyFill="1" applyBorder="1" applyAlignment="1" applyProtection="1"/>
    <xf numFmtId="40" fontId="0" fillId="0" borderId="0" xfId="0" applyNumberFormat="1" applyAlignment="1" applyProtection="1"/>
    <xf numFmtId="0" fontId="1" fillId="7" borderId="2" xfId="1" applyFont="1" applyFill="1" applyBorder="1" applyAlignment="1" applyProtection="1"/>
    <xf numFmtId="0" fontId="1" fillId="7" borderId="2" xfId="1" applyFont="1" applyFill="1" applyBorder="1" applyAlignment="1" applyProtection="1">
      <alignment horizontal="center"/>
    </xf>
    <xf numFmtId="0" fontId="0" fillId="0" borderId="2" xfId="0" applyBorder="1" applyAlignment="1" applyProtection="1"/>
    <xf numFmtId="2" fontId="0" fillId="0" borderId="3" xfId="0" applyNumberFormat="1" applyBorder="1" applyAlignment="1" applyProtection="1"/>
    <xf numFmtId="14" fontId="0" fillId="0" borderId="3" xfId="0" applyNumberFormat="1" applyBorder="1" applyAlignment="1" applyProtection="1"/>
    <xf numFmtId="0" fontId="0" fillId="0" borderId="3" xfId="0" applyBorder="1" applyAlignment="1" applyProtection="1">
      <alignment horizontal="center"/>
    </xf>
    <xf numFmtId="14" fontId="0" fillId="0" borderId="3" xfId="0" applyNumberFormat="1" applyBorder="1" applyAlignment="1" applyProtection="1">
      <alignment horizontal="center"/>
    </xf>
    <xf numFmtId="0" fontId="0" fillId="0" borderId="0" xfId="0" applyBorder="1" applyAlignment="1" applyProtection="1"/>
    <xf numFmtId="0" fontId="1" fillId="0" borderId="0" xfId="0" applyFont="1" applyAlignment="1" applyProtection="1"/>
    <xf numFmtId="0" fontId="2" fillId="3" borderId="6" xfId="1" applyFont="1" applyFill="1" applyBorder="1" applyAlignment="1" applyProtection="1">
      <alignment horizontal="center"/>
    </xf>
    <xf numFmtId="0" fontId="1" fillId="7" borderId="3" xfId="1" applyFont="1" applyFill="1" applyBorder="1" applyAlignment="1" applyProtection="1"/>
    <xf numFmtId="14" fontId="0" fillId="0" borderId="2" xfId="0" applyNumberFormat="1" applyBorder="1" applyAlignment="1" applyProtection="1"/>
    <xf numFmtId="165" fontId="0" fillId="0" borderId="3" xfId="0" applyNumberFormat="1" applyBorder="1" applyAlignment="1" applyProtection="1"/>
    <xf numFmtId="0" fontId="1" fillId="0" borderId="3" xfId="0" applyFont="1" applyBorder="1" applyAlignment="1" applyProtection="1"/>
    <xf numFmtId="165" fontId="0" fillId="5" borderId="3" xfId="0" applyNumberFormat="1" applyFill="1" applyBorder="1" applyAlignment="1" applyProtection="1"/>
    <xf numFmtId="0" fontId="0" fillId="6" borderId="0" xfId="0" applyFill="1" applyAlignment="1" applyProtection="1"/>
    <xf numFmtId="165" fontId="0" fillId="0" borderId="0" xfId="0" applyNumberFormat="1" applyAlignment="1" applyProtection="1"/>
    <xf numFmtId="14" fontId="0" fillId="0" borderId="0" xfId="0" applyNumberFormat="1" applyBorder="1" applyAlignment="1" applyProtection="1"/>
    <xf numFmtId="0" fontId="1" fillId="0" borderId="3" xfId="0" applyFont="1" applyBorder="1" applyAlignment="1" applyProtection="1">
      <alignment horizontal="center"/>
    </xf>
    <xf numFmtId="0" fontId="0" fillId="4" borderId="0" xfId="0" applyFont="1" applyFill="1"/>
    <xf numFmtId="0" fontId="0" fillId="0" borderId="0" xfId="1" applyFont="1" applyAlignment="1" applyProtection="1"/>
    <xf numFmtId="0" fontId="1" fillId="0" borderId="0" xfId="1" applyFont="1" applyAlignment="1" applyProtection="1"/>
    <xf numFmtId="14" fontId="0" fillId="0" borderId="0" xfId="1" applyNumberFormat="1" applyFont="1" applyAlignment="1" applyProtection="1"/>
    <xf numFmtId="165" fontId="0" fillId="0" borderId="0" xfId="1" applyNumberFormat="1" applyFont="1" applyAlignment="1" applyProtection="1"/>
    <xf numFmtId="0" fontId="1" fillId="0" borderId="3" xfId="0" applyFont="1" applyBorder="1"/>
    <xf numFmtId="14" fontId="0" fillId="0" borderId="3" xfId="0" applyNumberFormat="1" applyBorder="1"/>
    <xf numFmtId="0" fontId="0" fillId="0" borderId="3" xfId="0" applyFont="1" applyBorder="1"/>
    <xf numFmtId="166" fontId="0" fillId="0" borderId="3" xfId="0" applyNumberFormat="1" applyBorder="1"/>
    <xf numFmtId="14" fontId="0" fillId="0" borderId="0" xfId="0" applyNumberFormat="1" applyAlignment="1" applyProtection="1"/>
    <xf numFmtId="0" fontId="1" fillId="0" borderId="2" xfId="0" applyFont="1" applyBorder="1" applyAlignment="1" applyProtection="1"/>
    <xf numFmtId="166" fontId="0" fillId="0" borderId="3" xfId="0" applyNumberFormat="1" applyBorder="1" applyAlignment="1" applyProtection="1"/>
    <xf numFmtId="167" fontId="0" fillId="0" borderId="3" xfId="0" applyNumberFormat="1" applyBorder="1" applyAlignment="1" applyProtection="1"/>
    <xf numFmtId="166" fontId="0" fillId="0" borderId="0" xfId="0" applyNumberFormat="1" applyAlignment="1" applyProtection="1"/>
    <xf numFmtId="166" fontId="0" fillId="0" borderId="3" xfId="1" applyNumberFormat="1" applyFont="1" applyBorder="1" applyAlignment="1" applyProtection="1"/>
    <xf numFmtId="14" fontId="0" fillId="8" borderId="3" xfId="0" applyNumberFormat="1" applyFill="1" applyBorder="1" applyAlignment="1" applyProtection="1"/>
    <xf numFmtId="0" fontId="0" fillId="8" borderId="3" xfId="0" applyFont="1" applyFill="1" applyBorder="1" applyAlignment="1" applyProtection="1"/>
    <xf numFmtId="166" fontId="0" fillId="8" borderId="3" xfId="0" applyNumberFormat="1" applyFill="1" applyBorder="1" applyAlignment="1" applyProtection="1"/>
    <xf numFmtId="167" fontId="0" fillId="8" borderId="3" xfId="0" applyNumberFormat="1" applyFill="1" applyBorder="1" applyAlignment="1" applyProtection="1"/>
    <xf numFmtId="166" fontId="0" fillId="8" borderId="0" xfId="0" applyNumberFormat="1" applyFill="1" applyAlignment="1" applyProtection="1"/>
    <xf numFmtId="166" fontId="0" fillId="0" borderId="3" xfId="0" applyNumberFormat="1" applyBorder="1" applyAlignment="1" applyProtection="1">
      <alignment horizontal="center" vertical="center"/>
    </xf>
    <xf numFmtId="166" fontId="0" fillId="0" borderId="3" xfId="0" applyNumberFormat="1" applyFont="1" applyBorder="1" applyAlignment="1" applyProtection="1"/>
    <xf numFmtId="14" fontId="0" fillId="9" borderId="3" xfId="0" applyNumberFormat="1" applyFill="1" applyBorder="1" applyAlignment="1" applyProtection="1"/>
    <xf numFmtId="0" fontId="0" fillId="9" borderId="3" xfId="0" applyFill="1" applyBorder="1" applyAlignment="1" applyProtection="1"/>
    <xf numFmtId="166" fontId="0" fillId="9" borderId="3" xfId="0" applyNumberFormat="1" applyFill="1" applyBorder="1" applyAlignment="1" applyProtection="1"/>
    <xf numFmtId="167" fontId="0" fillId="9" borderId="3" xfId="0" applyNumberFormat="1" applyFill="1" applyBorder="1" applyAlignment="1" applyProtection="1"/>
    <xf numFmtId="0" fontId="0" fillId="0" borderId="3" xfId="1" applyFont="1" applyBorder="1" applyAlignment="1" applyProtection="1"/>
    <xf numFmtId="0" fontId="0" fillId="0" borderId="3" xfId="0" applyBorder="1" applyAlignment="1" applyProtection="1">
      <alignment horizontal="center" vertical="center"/>
    </xf>
    <xf numFmtId="14" fontId="0" fillId="2" borderId="3" xfId="0" applyNumberFormat="1" applyFill="1" applyBorder="1" applyAlignment="1" applyProtection="1"/>
    <xf numFmtId="0" fontId="0" fillId="2" borderId="3" xfId="0" applyFont="1" applyFill="1" applyBorder="1" applyAlignment="1" applyProtection="1"/>
    <xf numFmtId="166" fontId="0" fillId="2" borderId="3" xfId="0" applyNumberFormat="1" applyFill="1" applyBorder="1" applyAlignment="1" applyProtection="1"/>
    <xf numFmtId="167" fontId="0" fillId="2" borderId="3" xfId="0" applyNumberFormat="1" applyFill="1" applyBorder="1" applyAlignment="1" applyProtection="1"/>
    <xf numFmtId="0" fontId="0" fillId="8" borderId="0" xfId="0" applyFill="1" applyAlignment="1" applyProtection="1"/>
    <xf numFmtId="0" fontId="0" fillId="0" borderId="3" xfId="0" applyBorder="1"/>
    <xf numFmtId="164" fontId="0" fillId="10" borderId="0" xfId="0" applyNumberFormat="1" applyFill="1"/>
    <xf numFmtId="0" fontId="5" fillId="0" borderId="0" xfId="1" applyFont="1"/>
    <xf numFmtId="0" fontId="5" fillId="0" borderId="0" xfId="0" applyFont="1"/>
    <xf numFmtId="0" fontId="2" fillId="3" borderId="1" xfId="1" applyFont="1" applyFill="1" applyBorder="1" applyAlignment="1" applyProtection="1">
      <alignment horizontal="center"/>
    </xf>
    <xf numFmtId="0" fontId="1" fillId="5" borderId="3" xfId="0" applyFont="1" applyFill="1" applyBorder="1" applyAlignment="1" applyProtection="1"/>
    <xf numFmtId="0" fontId="2" fillId="3" borderId="6" xfId="1" applyFont="1" applyFill="1" applyBorder="1" applyAlignment="1" applyProtection="1">
      <alignment horizontal="center"/>
    </xf>
    <xf numFmtId="0" fontId="1" fillId="0" borderId="3" xfId="0" applyFont="1" applyBorder="1" applyAlignment="1" applyProtection="1">
      <alignment horizontal="center" vertical="center"/>
    </xf>
    <xf numFmtId="0" fontId="0" fillId="6" borderId="5" xfId="0" applyFill="1" applyBorder="1" applyAlignment="1" applyProtection="1"/>
    <xf numFmtId="0" fontId="2" fillId="3" borderId="4" xfId="1" applyFont="1" applyFill="1" applyBorder="1" applyAlignment="1" applyProtection="1">
      <alignment horizontal="center"/>
    </xf>
    <xf numFmtId="14" fontId="3" fillId="0" borderId="1" xfId="0" applyNumberFormat="1" applyFont="1" applyBorder="1" applyAlignment="1" applyProtection="1">
      <alignment horizontal="center"/>
    </xf>
    <xf numFmtId="0" fontId="3" fillId="0" borderId="1" xfId="0" applyFont="1" applyBorder="1" applyAlignment="1">
      <alignment horizontal="center"/>
    </xf>
    <xf numFmtId="0" fontId="0" fillId="0" borderId="3" xfId="0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center"/>
    </xf>
    <xf numFmtId="0" fontId="1" fillId="0" borderId="1" xfId="0" applyFont="1" applyBorder="1" applyAlignment="1" applyProtection="1">
      <alignment horizontal="center"/>
    </xf>
    <xf numFmtId="166" fontId="0" fillId="0" borderId="3" xfId="0" applyNumberFormat="1" applyFont="1" applyBorder="1" applyAlignment="1" applyProtection="1">
      <alignment horizontal="center" vertical="center"/>
    </xf>
  </cellXfs>
  <cellStyles count="2">
    <cellStyle name="Normal" xfId="0" builtinId="0"/>
    <cellStyle name="Normal 2" xfId="1" xr:uid="{00000000-0005-0000-0000-000006000000}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5E0B4"/>
      <rgbColor rgb="FFC6EFCE"/>
      <rgbColor rgb="FFFFE6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6464C-3494-4102-88B0-325A64823E58}">
  <sheetPr>
    <tabColor rgb="FF92D050"/>
  </sheetPr>
  <dimension ref="A1:C2"/>
  <sheetViews>
    <sheetView workbookViewId="0">
      <selection activeCell="B37" sqref="B37"/>
    </sheetView>
  </sheetViews>
  <sheetFormatPr defaultRowHeight="15" x14ac:dyDescent="0.25"/>
  <cols>
    <col min="1" max="1" width="14" bestFit="1" customWidth="1"/>
    <col min="2" max="2" width="17.5703125" bestFit="1" customWidth="1"/>
    <col min="3" max="3" width="11.140625" bestFit="1" customWidth="1"/>
  </cols>
  <sheetData>
    <row r="1" spans="1:3" x14ac:dyDescent="0.25">
      <c r="A1" s="1" t="s">
        <v>122</v>
      </c>
      <c r="B1" s="72" t="s">
        <v>123</v>
      </c>
      <c r="C1" s="72" t="s">
        <v>124</v>
      </c>
    </row>
    <row r="2" spans="1:3" x14ac:dyDescent="0.25">
      <c r="A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C918F-B3CE-4E93-B909-B2CF7E898D40}">
  <sheetPr>
    <tabColor rgb="FF92D050"/>
  </sheetPr>
  <dimension ref="A1:E1"/>
  <sheetViews>
    <sheetView workbookViewId="0">
      <selection activeCell="A2" sqref="A2:E7"/>
    </sheetView>
  </sheetViews>
  <sheetFormatPr defaultRowHeight="15" x14ac:dyDescent="0.25"/>
  <cols>
    <col min="1" max="1" width="9.5703125" bestFit="1" customWidth="1"/>
    <col min="2" max="2" width="25.5703125" bestFit="1" customWidth="1"/>
    <col min="3" max="3" width="26.140625" bestFit="1" customWidth="1"/>
    <col min="4" max="4" width="27.85546875" bestFit="1" customWidth="1"/>
    <col min="5" max="5" width="8.140625" bestFit="1" customWidth="1"/>
  </cols>
  <sheetData>
    <row r="1" spans="1:5" x14ac:dyDescent="0.25">
      <c r="A1" s="73" t="s">
        <v>12</v>
      </c>
      <c r="B1" s="73" t="s">
        <v>13</v>
      </c>
      <c r="C1" s="73" t="s">
        <v>19</v>
      </c>
      <c r="D1" s="73" t="s">
        <v>125</v>
      </c>
      <c r="E1" s="73" t="s">
        <v>16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I6"/>
  <sheetViews>
    <sheetView zoomScaleNormal="100" workbookViewId="0">
      <selection activeCell="A2" sqref="A2:I6"/>
    </sheetView>
  </sheetViews>
  <sheetFormatPr defaultColWidth="8.7109375" defaultRowHeight="15" customHeight="1" x14ac:dyDescent="0.25"/>
  <cols>
    <col min="1" max="1" width="11.7109375" customWidth="1"/>
    <col min="2" max="2" width="13.140625" customWidth="1"/>
    <col min="3" max="3" width="12.5703125" customWidth="1"/>
    <col min="4" max="4" width="10.85546875" customWidth="1"/>
    <col min="5" max="5" width="31.7109375" customWidth="1"/>
    <col min="6" max="6" width="31.42578125" customWidth="1"/>
    <col min="7" max="7" width="29.7109375" customWidth="1"/>
    <col min="8" max="8" width="30.5703125" customWidth="1"/>
    <col min="9" max="9" width="30.42578125" customWidth="1"/>
  </cols>
  <sheetData>
    <row r="1" spans="1:9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4"/>
      <c r="B2" s="4"/>
      <c r="D2" s="5"/>
      <c r="F2" s="6"/>
      <c r="G2" s="6"/>
      <c r="H2" s="7"/>
      <c r="I2" s="7"/>
    </row>
    <row r="3" spans="1:9" x14ac:dyDescent="0.25">
      <c r="A3" s="4"/>
      <c r="B3" s="4"/>
      <c r="D3" s="5"/>
      <c r="F3" s="6"/>
      <c r="G3" s="6"/>
      <c r="H3" s="7"/>
      <c r="I3" s="7"/>
    </row>
    <row r="4" spans="1:9" x14ac:dyDescent="0.25">
      <c r="A4" s="4"/>
      <c r="B4" s="4"/>
      <c r="D4" s="5"/>
      <c r="F4" s="6"/>
      <c r="G4" s="6"/>
      <c r="H4" s="7"/>
      <c r="I4" s="7"/>
    </row>
    <row r="5" spans="1:9" x14ac:dyDescent="0.25">
      <c r="A5" s="4"/>
      <c r="B5" s="4"/>
      <c r="D5" s="5"/>
      <c r="F5" s="6"/>
      <c r="G5" s="6"/>
      <c r="H5" s="7"/>
      <c r="I5" s="7"/>
    </row>
    <row r="6" spans="1:9" x14ac:dyDescent="0.25">
      <c r="A6" s="4"/>
      <c r="B6" s="4"/>
      <c r="D6" s="5"/>
      <c r="F6" s="6"/>
      <c r="G6" s="6"/>
      <c r="H6" s="7"/>
      <c r="I6" s="7"/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F2"/>
  <sheetViews>
    <sheetView zoomScaleNormal="100" workbookViewId="0">
      <selection activeCell="A2" sqref="A2:G2"/>
    </sheetView>
  </sheetViews>
  <sheetFormatPr defaultColWidth="8.7109375" defaultRowHeight="15" customHeight="1" x14ac:dyDescent="0.25"/>
  <cols>
    <col min="1" max="1" width="11.7109375" customWidth="1"/>
    <col min="2" max="2" width="13.140625" customWidth="1"/>
    <col min="3" max="3" width="12.5703125" customWidth="1"/>
    <col min="4" max="4" width="10.85546875" customWidth="1"/>
    <col min="5" max="5" width="39.85546875" customWidth="1"/>
    <col min="6" max="6" width="42" customWidth="1"/>
  </cols>
  <sheetData>
    <row r="1" spans="1:6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9</v>
      </c>
      <c r="F1" s="3" t="s">
        <v>10</v>
      </c>
    </row>
    <row r="2" spans="1:6" ht="15" customHeight="1" x14ac:dyDescent="0.25">
      <c r="A2" s="4"/>
      <c r="B2" s="4"/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H6"/>
  <sheetViews>
    <sheetView zoomScaleNormal="100" workbookViewId="0">
      <selection activeCell="A2" sqref="A2:H6"/>
    </sheetView>
  </sheetViews>
  <sheetFormatPr defaultColWidth="8.7109375" defaultRowHeight="15" customHeight="1" x14ac:dyDescent="0.25"/>
  <cols>
    <col min="1" max="1" width="11.7109375" customWidth="1"/>
    <col min="2" max="2" width="13.140625" customWidth="1"/>
    <col min="3" max="3" width="12.5703125" customWidth="1"/>
    <col min="4" max="4" width="10.85546875" customWidth="1"/>
    <col min="5" max="5" width="34" customWidth="1"/>
    <col min="6" max="6" width="35.7109375" customWidth="1"/>
    <col min="7" max="7" width="52" customWidth="1"/>
    <col min="8" max="8" width="58.28515625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8" t="s">
        <v>118</v>
      </c>
      <c r="F1" s="8" t="s">
        <v>119</v>
      </c>
      <c r="G1" s="8" t="s">
        <v>120</v>
      </c>
      <c r="H1" s="8" t="s">
        <v>121</v>
      </c>
    </row>
    <row r="2" spans="1:8" x14ac:dyDescent="0.25">
      <c r="A2" s="4"/>
      <c r="B2" s="4"/>
      <c r="E2" s="9"/>
      <c r="F2" s="9"/>
      <c r="G2" s="9"/>
    </row>
    <row r="3" spans="1:8" x14ac:dyDescent="0.25">
      <c r="A3" s="4"/>
      <c r="B3" s="4"/>
      <c r="E3" s="9"/>
      <c r="F3" s="9"/>
      <c r="G3" s="9"/>
      <c r="H3" s="9"/>
    </row>
    <row r="4" spans="1:8" x14ac:dyDescent="0.25">
      <c r="A4" s="4"/>
      <c r="B4" s="4"/>
      <c r="E4" s="9"/>
      <c r="F4" s="9"/>
      <c r="G4" s="9"/>
    </row>
    <row r="5" spans="1:8" x14ac:dyDescent="0.25">
      <c r="A5" s="4"/>
      <c r="B5" s="4"/>
      <c r="E5" s="9"/>
      <c r="F5" s="9"/>
      <c r="G5" s="9"/>
    </row>
    <row r="6" spans="1:8" x14ac:dyDescent="0.25">
      <c r="A6" s="4"/>
      <c r="B6" s="4"/>
      <c r="E6" s="9"/>
      <c r="F6" s="9"/>
      <c r="G6" s="9"/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G27"/>
  <sheetViews>
    <sheetView tabSelected="1" zoomScaleNormal="100" workbookViewId="0">
      <selection activeCell="H8" sqref="H8"/>
    </sheetView>
  </sheetViews>
  <sheetFormatPr defaultColWidth="8.7109375" defaultRowHeight="15" customHeight="1" x14ac:dyDescent="0.25"/>
  <cols>
    <col min="1" max="1" width="9.5703125" style="10" customWidth="1"/>
    <col min="2" max="2" width="25.5703125" style="10" customWidth="1"/>
    <col min="3" max="3" width="26.140625" style="10" customWidth="1"/>
    <col min="4" max="4" width="27.85546875" style="10" customWidth="1"/>
    <col min="6" max="6" width="21.7109375" style="10" customWidth="1"/>
  </cols>
  <sheetData>
    <row r="1" spans="1:6" ht="21" x14ac:dyDescent="0.35">
      <c r="A1" s="74" t="s">
        <v>11</v>
      </c>
      <c r="B1" s="74"/>
      <c r="C1" s="74"/>
      <c r="D1" s="74"/>
      <c r="E1" s="74"/>
    </row>
    <row r="2" spans="1:6" x14ac:dyDescent="0.25">
      <c r="A2" s="12" t="s">
        <v>12</v>
      </c>
      <c r="B2" s="12" t="s">
        <v>13</v>
      </c>
      <c r="C2" s="12" t="s">
        <v>14</v>
      </c>
      <c r="D2" s="12" t="s">
        <v>15</v>
      </c>
      <c r="E2" s="12" t="s">
        <v>16</v>
      </c>
    </row>
    <row r="3" spans="1:6" x14ac:dyDescent="0.25">
      <c r="A3" s="70" t="str">
        <f>IF(CATALOG!A2="","",CATALOG!A2)</f>
        <v/>
      </c>
      <c r="B3" s="70" t="str">
        <f>IF(CATALOG!B2="","",CATALOG!B2)</f>
        <v/>
      </c>
      <c r="C3" s="70" t="str">
        <f>IF(CATALOG!C2="","",CATALOG!C2)</f>
        <v/>
      </c>
      <c r="D3" s="70" t="str">
        <f>IF(CATALOG!D2="","",CATALOG!D2)</f>
        <v/>
      </c>
      <c r="E3" s="70" t="str">
        <f>IF(CATALOG!E2="","",CATALOG!E2)</f>
        <v/>
      </c>
    </row>
    <row r="4" spans="1:6" x14ac:dyDescent="0.25">
      <c r="A4" s="70" t="str">
        <f>IF(CATALOG!A3="","",CATALOG!A3)</f>
        <v/>
      </c>
      <c r="B4" s="70" t="str">
        <f>IF(CATALOG!B3="","",CATALOG!B3)</f>
        <v/>
      </c>
      <c r="C4" s="70" t="str">
        <f>IF(CATALOG!C3="","",CATALOG!C3)</f>
        <v/>
      </c>
      <c r="D4" s="70" t="str">
        <f>IF(CATALOG!D3="","",CATALOG!D3)</f>
        <v/>
      </c>
      <c r="E4" s="70" t="str">
        <f>IF(CATALOG!E3="","",CATALOG!E3)</f>
        <v/>
      </c>
    </row>
    <row r="5" spans="1:6" x14ac:dyDescent="0.25">
      <c r="A5" s="70" t="str">
        <f>IF(CATALOG!A4="","",CATALOG!A4)</f>
        <v/>
      </c>
      <c r="B5" s="70" t="str">
        <f>IF(CATALOG!B4="","",CATALOG!B4)</f>
        <v/>
      </c>
      <c r="C5" s="70" t="str">
        <f>IF(CATALOG!C4="","",CATALOG!C4)</f>
        <v/>
      </c>
      <c r="D5" s="70" t="str">
        <f>IF(CATALOG!D4="","",CATALOG!D4)</f>
        <v/>
      </c>
      <c r="E5" s="70" t="str">
        <f>IF(CATALOG!E4="","",CATALOG!E4)</f>
        <v/>
      </c>
    </row>
    <row r="6" spans="1:6" x14ac:dyDescent="0.25">
      <c r="A6" s="70" t="str">
        <f>IF(CATALOG!A5="","",CATALOG!A5)</f>
        <v/>
      </c>
      <c r="B6" s="70" t="str">
        <f>IF(CATALOG!B5="","",CATALOG!B5)</f>
        <v/>
      </c>
      <c r="C6" s="70" t="str">
        <f>IF(CATALOG!C5="","",CATALOG!C5)</f>
        <v/>
      </c>
      <c r="D6" s="70" t="str">
        <f>IF(CATALOG!D5="","",CATALOG!D5)</f>
        <v/>
      </c>
      <c r="E6" s="70" t="str">
        <f>IF(CATALOG!E5="","",CATALOG!E5)</f>
        <v/>
      </c>
    </row>
    <row r="7" spans="1:6" x14ac:dyDescent="0.25">
      <c r="A7" s="70" t="str">
        <f>IF(CATALOG!A6="","",CATALOG!A6)</f>
        <v/>
      </c>
      <c r="B7" s="70" t="str">
        <f>IF(CATALOG!B6="","",CATALOG!B6)</f>
        <v/>
      </c>
      <c r="C7" s="70" t="str">
        <f>IF(CATALOG!C6="","",CATALOG!C6)</f>
        <v/>
      </c>
      <c r="D7" s="70" t="str">
        <f>IF(CATALOG!D6="","",CATALOG!D6)</f>
        <v/>
      </c>
      <c r="E7" s="70" t="str">
        <f>IF(CATALOG!E6="","",CATALOG!E6)</f>
        <v/>
      </c>
    </row>
    <row r="8" spans="1:6" x14ac:dyDescent="0.25">
      <c r="A8" s="70" t="str">
        <f>IF(CATALOG!A7="","",CATALOG!A7)</f>
        <v/>
      </c>
      <c r="B8" s="70" t="str">
        <f>IF(CATALOG!B7="","",CATALOG!B7)</f>
        <v/>
      </c>
      <c r="C8" s="70" t="str">
        <f>IF(CATALOG!C7="","",CATALOG!C7)</f>
        <v/>
      </c>
      <c r="D8" s="70" t="str">
        <f>IF(CATALOG!D7="","",CATALOG!D7)</f>
        <v/>
      </c>
      <c r="E8" s="70" t="str">
        <f>IF(CATALOG!E7="","",CATALOG!E7)</f>
        <v/>
      </c>
    </row>
    <row r="11" spans="1:6" ht="21" x14ac:dyDescent="0.35">
      <c r="A11" s="74" t="s">
        <v>17</v>
      </c>
      <c r="B11" s="74"/>
      <c r="C11" s="74"/>
      <c r="D11" s="74"/>
      <c r="E11" s="74"/>
      <c r="F11" s="74"/>
    </row>
    <row r="12" spans="1:6" x14ac:dyDescent="0.25">
      <c r="A12" s="12" t="s">
        <v>12</v>
      </c>
      <c r="B12" s="12" t="s">
        <v>13</v>
      </c>
      <c r="C12" s="14" t="s">
        <v>18</v>
      </c>
      <c r="D12" s="14" t="s">
        <v>19</v>
      </c>
      <c r="E12" s="14" t="s">
        <v>20</v>
      </c>
      <c r="F12" s="14" t="s">
        <v>21</v>
      </c>
    </row>
    <row r="13" spans="1:6" x14ac:dyDescent="0.25">
      <c r="A13" s="13" t="str">
        <f>C22</f>
        <v/>
      </c>
      <c r="B13" s="13" t="str">
        <f>IFERROR(VLOOKUP(A13,A3:$B$7,2,FALSE()),"")</f>
        <v/>
      </c>
      <c r="C13" s="15" t="str">
        <f>IFERROR(VLOOKUP(A13,REV!$E$2:$I$8,4,FALSE())*VLOOKUP(A13,REV!$E$2:$I$8,5,FALSE()),"")</f>
        <v/>
      </c>
      <c r="D13" s="15" t="str">
        <f>IFERROR(IF(VLOOKUP(B13,$B$3:$C$7,2,FALSE())="USE SALES PRICE",C13,VLOOKUP(B13,$B$3:$E$7,4,FALSE())),"")</f>
        <v/>
      </c>
      <c r="E13" s="15" t="str">
        <f>IFERROR(D13/$D$18,"")</f>
        <v/>
      </c>
      <c r="F13" s="15" t="str">
        <f>IFERROR(E13*$C$18,"")</f>
        <v/>
      </c>
    </row>
    <row r="14" spans="1:6" x14ac:dyDescent="0.25">
      <c r="A14" s="13" t="str">
        <f>C23</f>
        <v/>
      </c>
      <c r="B14" s="13" t="str">
        <f>IFERROR(VLOOKUP(A14,A4:$B$7,2,FALSE()),"")</f>
        <v/>
      </c>
      <c r="C14" s="15" t="str">
        <f>IFERROR(VLOOKUP(A14,REV!$E$2:$I$8,4,FALSE())*VLOOKUP(A14,REV!$E$2:$I$8,5,FALSE()),"")</f>
        <v/>
      </c>
      <c r="D14" s="15" t="str">
        <f>IFERROR(IF(VLOOKUP(B14,$B$3:$C$7,2,FALSE())="USE SALES PRICE",C14,VLOOKUP(B14,$B$3:$E$7,4,FALSE())),"")</f>
        <v/>
      </c>
      <c r="E14" s="15" t="str">
        <f>IFERROR(D14/$D$18,"")</f>
        <v/>
      </c>
      <c r="F14" s="15" t="str">
        <f>IFERROR(E14*$C$18,"")</f>
        <v/>
      </c>
    </row>
    <row r="15" spans="1:6" x14ac:dyDescent="0.25">
      <c r="A15" s="13" t="str">
        <f>C24</f>
        <v/>
      </c>
      <c r="B15" s="13" t="str">
        <f>IFERROR(VLOOKUP(A15,A5:$B$7,2,FALSE()),"")</f>
        <v/>
      </c>
      <c r="C15" s="15" t="str">
        <f>IFERROR(VLOOKUP(A15,REV!$E$2:$I$8,4,FALSE())*VLOOKUP(A15,REV!$E$2:$I$8,5,FALSE()),"")</f>
        <v/>
      </c>
      <c r="D15" s="15" t="str">
        <f>IFERROR(IF(VLOOKUP(B15,$B$3:$C$7,2,FALSE())="USE SALES PRICE",C15,VLOOKUP(B15,$B$3:$E$7,4,FALSE())),"")</f>
        <v/>
      </c>
      <c r="E15" s="15" t="str">
        <f>IFERROR(D15/$D$18,"")</f>
        <v/>
      </c>
      <c r="F15" s="15" t="str">
        <f>IFERROR(E15*$C$18,"")</f>
        <v/>
      </c>
    </row>
    <row r="16" spans="1:6" x14ac:dyDescent="0.25">
      <c r="A16" s="13" t="str">
        <f>C25</f>
        <v/>
      </c>
      <c r="B16" s="13" t="str">
        <f>IFERROR(VLOOKUP(A16,A6:$B$7,2,FALSE()),"")</f>
        <v/>
      </c>
      <c r="C16" s="15" t="str">
        <f>IFERROR(VLOOKUP(A16,REV!$E$2:$I$8,4,FALSE())*VLOOKUP(A16,REV!$E$2:$I$8,5,FALSE()),"")</f>
        <v/>
      </c>
      <c r="D16" s="15" t="str">
        <f>IFERROR(IF(VLOOKUP(B16,$B$3:$C$7,2,FALSE())="USE SALES PRICE",C16,VLOOKUP(B16,$B$3:$E$7,4,FALSE())),"")</f>
        <v/>
      </c>
      <c r="E16" s="15" t="str">
        <f>IFERROR(D16/$D$18,"")</f>
        <v/>
      </c>
      <c r="F16" s="15" t="str">
        <f>IFERROR(E16*$C$18,"")</f>
        <v/>
      </c>
    </row>
    <row r="17" spans="1:7" x14ac:dyDescent="0.25">
      <c r="A17" s="13" t="str">
        <f>C26</f>
        <v/>
      </c>
      <c r="B17" s="13" t="str">
        <f>IFERROR(VLOOKUP(A17,A7:$B$7,2,FALSE()),"")</f>
        <v/>
      </c>
      <c r="C17" s="15" t="str">
        <f>IFERROR(VLOOKUP(A17,REV!$E$2:$I$8,4,FALSE())*VLOOKUP(A17,REV!$E$2:$I$8,5,FALSE()),"")</f>
        <v/>
      </c>
      <c r="D17" s="15" t="str">
        <f>IFERROR(IF(VLOOKUP(B17,$B$3:$C$7,2,FALSE())="USE SALES PRICE",C17,VLOOKUP(B17,$B$3:$E$7,4,FALSE())),"")</f>
        <v/>
      </c>
      <c r="E17" s="15" t="str">
        <f>IFERROR(D17/$D$18,"")</f>
        <v/>
      </c>
      <c r="F17" s="15" t="str">
        <f>IFERROR(E17*$C$18,"")</f>
        <v/>
      </c>
    </row>
    <row r="18" spans="1:7" x14ac:dyDescent="0.25">
      <c r="A18" s="75" t="s">
        <v>22</v>
      </c>
      <c r="B18" s="75"/>
      <c r="C18" s="16">
        <f>SUM(C13:C17)</f>
        <v>0</v>
      </c>
      <c r="D18" s="16">
        <f>SUM(D13:D17)</f>
        <v>0</v>
      </c>
      <c r="E18" s="16">
        <f>SUM(E13:E17)</f>
        <v>0</v>
      </c>
      <c r="F18" s="16">
        <f>SUM(F13:F17)</f>
        <v>0</v>
      </c>
      <c r="G18" s="17" t="b">
        <f>F18=C18</f>
        <v>1</v>
      </c>
    </row>
    <row r="19" spans="1:7" ht="15" customHeight="1" thickBot="1" x14ac:dyDescent="0.3"/>
    <row r="20" spans="1:7" ht="15" customHeight="1" thickBot="1" x14ac:dyDescent="0.4">
      <c r="A20" s="76" t="s">
        <v>115</v>
      </c>
      <c r="B20" s="76"/>
      <c r="C20" s="76"/>
      <c r="D20" s="76"/>
      <c r="E20" s="74"/>
      <c r="F20" s="74"/>
    </row>
    <row r="21" spans="1:7" ht="15" customHeight="1" x14ac:dyDescent="0.25">
      <c r="A21" s="14" t="s">
        <v>41</v>
      </c>
      <c r="B21" s="14" t="s">
        <v>40</v>
      </c>
      <c r="C21" s="14" t="s">
        <v>116</v>
      </c>
      <c r="D21" s="14" t="s">
        <v>117</v>
      </c>
    </row>
    <row r="22" spans="1:7" ht="15" customHeight="1" x14ac:dyDescent="0.25">
      <c r="A22" s="21">
        <f>VALUE(REV!E2)</f>
        <v>0</v>
      </c>
      <c r="B22" s="13">
        <f>VALUE(REV!D2)</f>
        <v>0</v>
      </c>
      <c r="C22" s="70" t="str">
        <f t="shared" ref="C22:C27" si="0">IFERROR(SMALL($A$22:$A$27, ROW(A1) + COUNTIF($A$22:$A$27,0)),"")</f>
        <v/>
      </c>
      <c r="D22" s="70" t="str">
        <f t="shared" ref="D22:D25" si="1">IFERROR(VLOOKUP(C22,$A$22:$B$27,2,FALSE),"")</f>
        <v/>
      </c>
    </row>
    <row r="23" spans="1:7" ht="15" customHeight="1" x14ac:dyDescent="0.25">
      <c r="A23" s="21">
        <f>VALUE(REV!E3)</f>
        <v>0</v>
      </c>
      <c r="B23" s="13">
        <f>VALUE(REV!D3)</f>
        <v>0</v>
      </c>
      <c r="C23" s="70" t="str">
        <f t="shared" si="0"/>
        <v/>
      </c>
      <c r="D23" s="70" t="str">
        <f t="shared" si="1"/>
        <v/>
      </c>
    </row>
    <row r="24" spans="1:7" ht="15" customHeight="1" x14ac:dyDescent="0.25">
      <c r="A24" s="21">
        <f>VALUE(REV!E4)</f>
        <v>0</v>
      </c>
      <c r="B24" s="13">
        <f>VALUE(REV!D4)</f>
        <v>0</v>
      </c>
      <c r="C24" s="70" t="str">
        <f t="shared" si="0"/>
        <v/>
      </c>
      <c r="D24" s="70" t="str">
        <f t="shared" si="1"/>
        <v/>
      </c>
    </row>
    <row r="25" spans="1:7" ht="15" customHeight="1" x14ac:dyDescent="0.25">
      <c r="A25" s="21">
        <f>VALUE(REV!E5)</f>
        <v>0</v>
      </c>
      <c r="B25" s="13">
        <f>VALUE(REV!D5)</f>
        <v>0</v>
      </c>
      <c r="C25" s="70" t="str">
        <f t="shared" si="0"/>
        <v/>
      </c>
      <c r="D25" s="70" t="str">
        <f t="shared" si="1"/>
        <v/>
      </c>
    </row>
    <row r="26" spans="1:7" ht="15" customHeight="1" x14ac:dyDescent="0.25">
      <c r="A26" s="21">
        <f>VALUE(REV!E6)</f>
        <v>0</v>
      </c>
      <c r="B26" s="13">
        <f>VALUE(REV!D6)</f>
        <v>0</v>
      </c>
      <c r="C26" s="70" t="str">
        <f t="shared" si="0"/>
        <v/>
      </c>
      <c r="D26" s="70" t="str">
        <f>IFERROR(VLOOKUP(C26,$A$22:$B$27,2,FALSE),"")</f>
        <v/>
      </c>
    </row>
    <row r="27" spans="1:7" ht="15" customHeight="1" x14ac:dyDescent="0.25">
      <c r="A27" s="21">
        <f>VALUE(REV!E7)</f>
        <v>0</v>
      </c>
      <c r="B27" s="13">
        <f>VALUE(REV!D7)</f>
        <v>0</v>
      </c>
      <c r="C27" s="70" t="str">
        <f t="shared" si="0"/>
        <v/>
      </c>
      <c r="D27" s="70" t="str">
        <f t="shared" ref="D27" si="2">IFERROR(VLOOKUP(C27,$A$22:$B$27,2,FALSE),"")</f>
        <v/>
      </c>
    </row>
  </sheetData>
  <mergeCells count="4">
    <mergeCell ref="A1:E1"/>
    <mergeCell ref="A11:F11"/>
    <mergeCell ref="A18:B18"/>
    <mergeCell ref="A20:F20"/>
  </mergeCells>
  <conditionalFormatting sqref="G18">
    <cfRule type="cellIs" dxfId="1" priority="2" operator="equal">
      <formula>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DD51"/>
  <sheetViews>
    <sheetView zoomScale="96" zoomScaleNormal="96" workbookViewId="0">
      <selection activeCell="I24" sqref="I24"/>
    </sheetView>
  </sheetViews>
  <sheetFormatPr defaultColWidth="8.7109375" defaultRowHeight="15" customHeight="1" x14ac:dyDescent="0.25"/>
  <cols>
    <col min="1" max="1" width="11.7109375" style="10" customWidth="1"/>
    <col min="2" max="2" width="15.7109375" style="10" customWidth="1"/>
    <col min="3" max="3" width="18.5703125" style="10" customWidth="1"/>
    <col min="4" max="4" width="15.5703125" style="10" customWidth="1"/>
    <col min="5" max="5" width="9.85546875" style="10" customWidth="1"/>
    <col min="6" max="6" width="17.5703125" style="10" customWidth="1"/>
    <col min="7" max="7" width="16.140625" style="10" customWidth="1"/>
    <col min="8" max="8" width="13" style="10" customWidth="1"/>
    <col min="9" max="9" width="28.5703125" style="10" customWidth="1"/>
    <col min="10" max="10" width="9.85546875" style="10" customWidth="1"/>
    <col min="11" max="11" width="22.5703125" style="10" customWidth="1"/>
    <col min="12" max="12" width="29.85546875" style="10" customWidth="1"/>
    <col min="13" max="13" width="10.7109375" style="10" customWidth="1"/>
    <col min="14" max="14" width="9.7109375" style="10" customWidth="1"/>
    <col min="15" max="26" width="3" style="10" customWidth="1"/>
    <col min="27" max="27" width="4.85546875" style="10" customWidth="1"/>
    <col min="28" max="28" width="23.140625" style="10" customWidth="1"/>
    <col min="29" max="37" width="9.7109375" style="10" customWidth="1"/>
    <col min="38" max="40" width="10.7109375" style="10" customWidth="1"/>
    <col min="41" max="41" width="9.7109375" style="10" customWidth="1"/>
    <col min="42" max="53" width="3" style="10" customWidth="1"/>
    <col min="55" max="55" width="23.140625" style="10" customWidth="1"/>
    <col min="56" max="56" width="16.140625" style="10" customWidth="1"/>
    <col min="57" max="80" width="3" style="10" customWidth="1"/>
    <col min="82" max="82" width="13" style="10" customWidth="1"/>
    <col min="83" max="95" width="12" style="10" customWidth="1"/>
    <col min="96" max="107" width="3" style="10" customWidth="1"/>
  </cols>
  <sheetData>
    <row r="1" spans="1:108" ht="21" x14ac:dyDescent="0.35">
      <c r="A1" s="74" t="s">
        <v>23</v>
      </c>
      <c r="B1" s="74"/>
      <c r="C1" s="74"/>
      <c r="D1" s="74"/>
      <c r="E1" s="74"/>
      <c r="F1" s="74"/>
      <c r="G1" s="74"/>
      <c r="H1" s="74"/>
      <c r="I1" s="74"/>
      <c r="J1" s="79" t="s">
        <v>24</v>
      </c>
      <c r="K1" s="79"/>
      <c r="L1" s="11" t="s">
        <v>25</v>
      </c>
      <c r="AA1" s="78"/>
      <c r="BB1" s="78"/>
      <c r="CC1" s="78"/>
      <c r="DD1" s="78"/>
    </row>
    <row r="2" spans="1:108" x14ac:dyDescent="0.25">
      <c r="A2" s="18" t="s">
        <v>26</v>
      </c>
      <c r="B2" s="18" t="s">
        <v>27</v>
      </c>
      <c r="C2" s="18" t="s">
        <v>28</v>
      </c>
      <c r="D2" s="18" t="s">
        <v>29</v>
      </c>
      <c r="E2" s="18" t="s">
        <v>30</v>
      </c>
      <c r="F2" s="18" t="s">
        <v>31</v>
      </c>
      <c r="G2" s="18" t="s">
        <v>32</v>
      </c>
      <c r="H2" s="18" t="s">
        <v>33</v>
      </c>
      <c r="I2" s="18" t="s">
        <v>34</v>
      </c>
      <c r="J2" s="19" t="s">
        <v>31</v>
      </c>
      <c r="K2" s="19" t="s">
        <v>35</v>
      </c>
      <c r="L2" s="20"/>
      <c r="AA2" s="78"/>
      <c r="BB2" s="78"/>
      <c r="CC2" s="78"/>
      <c r="DD2" s="78"/>
    </row>
    <row r="3" spans="1:108" x14ac:dyDescent="0.25">
      <c r="A3" s="13" t="str">
        <f>ProductCatalog_Allocation_Calc!A13</f>
        <v/>
      </c>
      <c r="B3" s="13" t="str">
        <f>ProductCatalog_Allocation_Calc!D22</f>
        <v/>
      </c>
      <c r="C3" s="21" t="str">
        <f>IF($A3="","",ProductCatalog_Allocation_Calc!F13)</f>
        <v/>
      </c>
      <c r="D3" s="22" t="str">
        <f>IF($A3="","",VLOOKUP(A3,REV!$E$2:$I$8,2,FALSE()))</f>
        <v/>
      </c>
      <c r="E3" s="22" t="str">
        <f>IF($A3="","",VLOOKUP(A3,REV!$E$2:$I$8,3,FALSE()))</f>
        <v/>
      </c>
      <c r="F3" s="13" t="str">
        <f>IF($A3="","",IF(E3-D3=0,0,E3-D3))</f>
        <v/>
      </c>
      <c r="G3" s="15" t="str">
        <f>IFERROR(IF($A3="","",C3/F3),C3)</f>
        <v/>
      </c>
      <c r="H3" s="13" t="str">
        <f>IF($A3="","",REV!C3)</f>
        <v/>
      </c>
      <c r="I3" s="13" t="str">
        <f>IF($A3="","",VLOOKUP(A3,ProductCatalog_Allocation_Calc!$A$3:$D$7,4,FALSE()))</f>
        <v/>
      </c>
      <c r="J3" s="23" t="str">
        <f>IF(A3="","",IF(SUM(BD11:CB11)-$F3=0,"Pass","Fail"))</f>
        <v/>
      </c>
      <c r="K3" s="23" t="str">
        <f>IF(A3="","",IF(ROUND(SUM(CE11:DC11),4)-$C3=0,"Pass","Fail"))</f>
        <v/>
      </c>
      <c r="L3" s="24">
        <f>EOD!A2</f>
        <v>0</v>
      </c>
      <c r="AA3" s="78"/>
      <c r="BB3" s="78"/>
      <c r="CC3" s="78"/>
      <c r="DD3" s="78"/>
    </row>
    <row r="4" spans="1:108" x14ac:dyDescent="0.25">
      <c r="A4" s="13" t="str">
        <f>ProductCatalog_Allocation_Calc!A14</f>
        <v/>
      </c>
      <c r="B4" s="13" t="str">
        <f>ProductCatalog_Allocation_Calc!D23</f>
        <v/>
      </c>
      <c r="C4" s="21" t="str">
        <f>IF($A4="","",ProductCatalog_Allocation_Calc!F14)</f>
        <v/>
      </c>
      <c r="D4" s="22" t="str">
        <f>IF($A4="","",VLOOKUP(A4,REV!$E$2:$I$8,2,FALSE()))</f>
        <v/>
      </c>
      <c r="E4" s="22" t="str">
        <f>IF($A4="","",VLOOKUP(A4,REV!$E$2:$I$8,3,FALSE()))</f>
        <v/>
      </c>
      <c r="F4" s="13" t="str">
        <f>IF($A4="","",IF(E4-D4=0,0,E4-D4))</f>
        <v/>
      </c>
      <c r="G4" s="15" t="str">
        <f>IFERROR(IF($A4="","",C4/F4),C4)</f>
        <v/>
      </c>
      <c r="H4" s="13" t="str">
        <f>IF($A4="","",REV!C4)</f>
        <v/>
      </c>
      <c r="I4" s="13" t="str">
        <f>IF($A4="","",VLOOKUP(A4,ProductCatalog_Allocation_Calc!$A$3:$D$7,4,FALSE()))</f>
        <v/>
      </c>
      <c r="J4" s="23" t="str">
        <f>IF(A4="","",IF(SUM(BD12:CB12)-$F4=0,"Pass","Fail"))</f>
        <v/>
      </c>
      <c r="K4" s="23" t="str">
        <f>IF(A4="","",IF(ROUND(SUM(CE12:DC12),4)-ROUND($C4,4)=0,"Pass","Fail"))</f>
        <v/>
      </c>
      <c r="L4" s="13"/>
      <c r="AA4" s="78"/>
      <c r="BB4" s="78"/>
      <c r="CC4" s="78"/>
      <c r="DD4" s="78"/>
    </row>
    <row r="5" spans="1:108" x14ac:dyDescent="0.25">
      <c r="A5" s="13" t="str">
        <f>ProductCatalog_Allocation_Calc!A15</f>
        <v/>
      </c>
      <c r="B5" s="13" t="str">
        <f>ProductCatalog_Allocation_Calc!D24</f>
        <v/>
      </c>
      <c r="C5" s="21" t="str">
        <f>IF($A5="","",ProductCatalog_Allocation_Calc!F15)</f>
        <v/>
      </c>
      <c r="D5" s="22" t="str">
        <f>IF($A5="","",VLOOKUP(A5,REV!$E$2:$I$8,2,FALSE()))</f>
        <v/>
      </c>
      <c r="E5" s="22" t="str">
        <f>IF($A5="","",VLOOKUP(A5,REV!$E$2:$I$8,3,FALSE()))</f>
        <v/>
      </c>
      <c r="F5" s="13" t="str">
        <f>IF($A5="","",IF(E5-D5=0,0,E5-D5))</f>
        <v/>
      </c>
      <c r="G5" s="15" t="str">
        <f>IFERROR(IF($A5="","",C5/F5),C5)</f>
        <v/>
      </c>
      <c r="H5" s="13" t="str">
        <f>IF($A5="","",REV!C5)</f>
        <v/>
      </c>
      <c r="I5" s="13" t="str">
        <f>IF($A5="","",VLOOKUP(A5,ProductCatalog_Allocation_Calc!$A$3:$D$7,4,FALSE()))</f>
        <v/>
      </c>
      <c r="J5" s="23" t="str">
        <f>IF(A5="","",IF(SUM(BD13:CB13)-$F5=0,"Pass","Fail"))</f>
        <v/>
      </c>
      <c r="K5" s="23" t="str">
        <f>IF(A5="","",IF(ROUND(SUM(CE13:DC13),4)-ROUND($C5,4)=0,"Pass","Fail"))</f>
        <v/>
      </c>
      <c r="L5" s="13"/>
      <c r="AA5" s="78"/>
      <c r="BB5" s="78"/>
      <c r="CC5" s="78"/>
      <c r="DD5" s="78"/>
    </row>
    <row r="6" spans="1:108" x14ac:dyDescent="0.25">
      <c r="A6" s="13" t="str">
        <f>ProductCatalog_Allocation_Calc!A16</f>
        <v/>
      </c>
      <c r="B6" s="13" t="str">
        <f>ProductCatalog_Allocation_Calc!D25</f>
        <v/>
      </c>
      <c r="C6" s="21" t="str">
        <f>IF($A6="","",ProductCatalog_Allocation_Calc!F16)</f>
        <v/>
      </c>
      <c r="D6" s="22" t="str">
        <f>IF($A6="","",VLOOKUP(A6,REV!$E$2:$I$8,2,FALSE()))</f>
        <v/>
      </c>
      <c r="E6" s="22" t="str">
        <f>IF($A6="","",VLOOKUP(A6,REV!$E$2:$I$8,3,FALSE()))</f>
        <v/>
      </c>
      <c r="F6" s="13" t="str">
        <f>IF($A6="","",IF(E6-D6=0,0,E6-D6))</f>
        <v/>
      </c>
      <c r="G6" s="15" t="str">
        <f>IFERROR(IF($A6="","",C6/F6),C6)</f>
        <v/>
      </c>
      <c r="H6" s="13" t="str">
        <f>IF($A6="","",REV!C6)</f>
        <v/>
      </c>
      <c r="I6" s="13" t="str">
        <f>IF($A6="","",VLOOKUP(A6,ProductCatalog_Allocation_Calc!$A$3:$D$7,4,FALSE()))</f>
        <v/>
      </c>
      <c r="J6" s="23" t="str">
        <f>IF(A6="","",IF(SUM(BD14:CB14)-$F6=0,"Pass","Fail"))</f>
        <v/>
      </c>
      <c r="K6" s="23" t="str">
        <f>IF(A6="","",IF(ROUND(SUM(CE14:DC14),4)-ROUND($C6,4)=0,"Pass","Fail"))</f>
        <v/>
      </c>
      <c r="L6" s="13"/>
      <c r="AA6" s="78"/>
      <c r="BB6" s="78"/>
      <c r="CC6" s="78"/>
      <c r="DD6" s="78"/>
    </row>
    <row r="7" spans="1:108" x14ac:dyDescent="0.25">
      <c r="A7" s="13" t="str">
        <f>ProductCatalog_Allocation_Calc!A17</f>
        <v/>
      </c>
      <c r="B7" s="13" t="str">
        <f>ProductCatalog_Allocation_Calc!D26</f>
        <v/>
      </c>
      <c r="C7" s="21" t="str">
        <f>IF($A7="","",ProductCatalog_Allocation_Calc!F17)</f>
        <v/>
      </c>
      <c r="D7" s="22" t="str">
        <f>IF($A7="","",VLOOKUP(A7,REV!$E$2:$I$8,2,FALSE()))</f>
        <v/>
      </c>
      <c r="E7" s="22" t="str">
        <f>IF($A7="","",#REF!)</f>
        <v/>
      </c>
      <c r="F7" s="13" t="str">
        <f>IF($A7="","",IF(E7-D7=0,0,E7-D7))</f>
        <v/>
      </c>
      <c r="G7" s="15" t="str">
        <f>IFERROR(IF($A7="","",C7/F7),C7)</f>
        <v/>
      </c>
      <c r="H7" s="13" t="str">
        <f>IF($A7="","",REV!C7)</f>
        <v/>
      </c>
      <c r="I7" s="13" t="str">
        <f>IF($A7="","",VLOOKUP(A7,ProductCatalog_Allocation_Calc!$A$3:$D$7,4,FALSE()))</f>
        <v/>
      </c>
      <c r="J7" s="23" t="str">
        <f>IF(A7="","",IF(SUM(BD15:CB15)-$F7=0,"Pass","Fail"))</f>
        <v/>
      </c>
      <c r="K7" s="23" t="str">
        <f>IF(A7="","",IF(ROUND(SUM(CE15:DC15),4)-$C7=0,"Pass","Fail"))</f>
        <v/>
      </c>
      <c r="L7" s="13"/>
      <c r="AA7" s="78"/>
      <c r="BB7" s="78"/>
      <c r="CC7" s="78"/>
      <c r="DD7" s="78"/>
    </row>
    <row r="8" spans="1:108" x14ac:dyDescent="0.25">
      <c r="A8" s="25"/>
      <c r="B8" s="25"/>
      <c r="C8" s="25"/>
      <c r="D8" s="25"/>
      <c r="E8" s="25"/>
      <c r="F8" s="25"/>
      <c r="G8" s="25"/>
      <c r="H8" s="25"/>
      <c r="AA8" s="78"/>
      <c r="BB8" s="78"/>
      <c r="CC8" s="78"/>
      <c r="DD8" s="78"/>
    </row>
    <row r="9" spans="1:108" ht="21" x14ac:dyDescent="0.35">
      <c r="A9" s="11" t="s">
        <v>36</v>
      </c>
      <c r="B9" s="26"/>
      <c r="AA9" s="78"/>
      <c r="AB9" s="27" t="s">
        <v>37</v>
      </c>
      <c r="BB9" s="78"/>
      <c r="BC9" s="11" t="s">
        <v>38</v>
      </c>
      <c r="CC9" s="78"/>
      <c r="CD9" s="11" t="s">
        <v>39</v>
      </c>
      <c r="DD9" s="78"/>
    </row>
    <row r="10" spans="1:108" x14ac:dyDescent="0.25">
      <c r="A10" s="28" t="s">
        <v>40</v>
      </c>
      <c r="B10" s="28">
        <v>0</v>
      </c>
      <c r="C10" s="28">
        <v>1</v>
      </c>
      <c r="D10" s="28">
        <v>2</v>
      </c>
      <c r="E10" s="28">
        <v>3</v>
      </c>
      <c r="F10" s="28">
        <v>4</v>
      </c>
      <c r="G10" s="28">
        <v>5</v>
      </c>
      <c r="H10" s="28">
        <v>6</v>
      </c>
      <c r="I10" s="28">
        <v>7</v>
      </c>
      <c r="J10" s="28">
        <v>8</v>
      </c>
      <c r="K10" s="28">
        <v>9</v>
      </c>
      <c r="L10" s="28">
        <v>10</v>
      </c>
      <c r="M10" s="28">
        <v>11</v>
      </c>
      <c r="N10" s="28">
        <v>12</v>
      </c>
      <c r="O10" s="28">
        <v>13</v>
      </c>
      <c r="P10" s="28">
        <v>14</v>
      </c>
      <c r="Q10" s="28">
        <v>15</v>
      </c>
      <c r="R10" s="28">
        <v>16</v>
      </c>
      <c r="S10" s="28">
        <v>17</v>
      </c>
      <c r="T10" s="28">
        <v>18</v>
      </c>
      <c r="U10" s="28">
        <v>19</v>
      </c>
      <c r="V10" s="28">
        <v>20</v>
      </c>
      <c r="W10" s="28">
        <v>21</v>
      </c>
      <c r="X10" s="28">
        <v>22</v>
      </c>
      <c r="Y10" s="28">
        <v>23</v>
      </c>
      <c r="Z10" s="28">
        <v>24</v>
      </c>
      <c r="AA10" s="78"/>
      <c r="AB10" s="28" t="s">
        <v>41</v>
      </c>
      <c r="AC10" s="28">
        <v>0</v>
      </c>
      <c r="AD10" s="28">
        <v>1</v>
      </c>
      <c r="AE10" s="28">
        <v>2</v>
      </c>
      <c r="AF10" s="28">
        <v>3</v>
      </c>
      <c r="AG10" s="28">
        <v>4</v>
      </c>
      <c r="AH10" s="28">
        <v>5</v>
      </c>
      <c r="AI10" s="28">
        <v>6</v>
      </c>
      <c r="AJ10" s="28">
        <v>7</v>
      </c>
      <c r="AK10" s="28">
        <v>8</v>
      </c>
      <c r="AL10" s="28">
        <v>9</v>
      </c>
      <c r="AM10" s="28">
        <v>10</v>
      </c>
      <c r="AN10" s="28">
        <v>11</v>
      </c>
      <c r="AO10" s="28">
        <v>12</v>
      </c>
      <c r="AP10" s="28">
        <v>13</v>
      </c>
      <c r="AQ10" s="28">
        <v>14</v>
      </c>
      <c r="AR10" s="28">
        <v>15</v>
      </c>
      <c r="AS10" s="28">
        <v>16</v>
      </c>
      <c r="AT10" s="28">
        <v>17</v>
      </c>
      <c r="AU10" s="28">
        <v>18</v>
      </c>
      <c r="AV10" s="28">
        <v>19</v>
      </c>
      <c r="AW10" s="28">
        <v>20</v>
      </c>
      <c r="AX10" s="28">
        <v>21</v>
      </c>
      <c r="AY10" s="28">
        <v>22</v>
      </c>
      <c r="AZ10" s="28">
        <v>23</v>
      </c>
      <c r="BA10" s="28">
        <v>24</v>
      </c>
      <c r="BB10" s="78"/>
      <c r="BC10" s="28" t="s">
        <v>41</v>
      </c>
      <c r="BD10" s="28">
        <v>0</v>
      </c>
      <c r="BE10" s="28">
        <v>1</v>
      </c>
      <c r="BF10" s="28">
        <v>2</v>
      </c>
      <c r="BG10" s="28">
        <v>3</v>
      </c>
      <c r="BH10" s="28">
        <v>4</v>
      </c>
      <c r="BI10" s="28">
        <v>5</v>
      </c>
      <c r="BJ10" s="28">
        <v>6</v>
      </c>
      <c r="BK10" s="28">
        <v>7</v>
      </c>
      <c r="BL10" s="28">
        <v>8</v>
      </c>
      <c r="BM10" s="28">
        <v>9</v>
      </c>
      <c r="BN10" s="28">
        <v>10</v>
      </c>
      <c r="BO10" s="28">
        <v>11</v>
      </c>
      <c r="BP10" s="28">
        <v>12</v>
      </c>
      <c r="BQ10" s="28">
        <v>13</v>
      </c>
      <c r="BR10" s="28">
        <v>14</v>
      </c>
      <c r="BS10" s="28">
        <v>15</v>
      </c>
      <c r="BT10" s="28">
        <v>16</v>
      </c>
      <c r="BU10" s="28">
        <v>17</v>
      </c>
      <c r="BV10" s="28">
        <v>18</v>
      </c>
      <c r="BW10" s="28">
        <v>19</v>
      </c>
      <c r="BX10" s="28">
        <v>20</v>
      </c>
      <c r="BY10" s="28">
        <v>21</v>
      </c>
      <c r="BZ10" s="28">
        <v>22</v>
      </c>
      <c r="CA10" s="28">
        <v>23</v>
      </c>
      <c r="CB10" s="28">
        <v>24</v>
      </c>
      <c r="CC10" s="78"/>
      <c r="CD10" s="28" t="s">
        <v>41</v>
      </c>
      <c r="CE10" s="28">
        <v>0</v>
      </c>
      <c r="CF10" s="28">
        <v>1</v>
      </c>
      <c r="CG10" s="28">
        <v>2</v>
      </c>
      <c r="CH10" s="28">
        <v>3</v>
      </c>
      <c r="CI10" s="28">
        <v>4</v>
      </c>
      <c r="CJ10" s="28">
        <v>5</v>
      </c>
      <c r="CK10" s="28">
        <v>6</v>
      </c>
      <c r="CL10" s="28">
        <v>7</v>
      </c>
      <c r="CM10" s="28">
        <v>8</v>
      </c>
      <c r="CN10" s="28">
        <v>9</v>
      </c>
      <c r="CO10" s="28">
        <v>10</v>
      </c>
      <c r="CP10" s="28">
        <v>11</v>
      </c>
      <c r="CQ10" s="28">
        <v>12</v>
      </c>
      <c r="CR10" s="28">
        <v>13</v>
      </c>
      <c r="CS10" s="28">
        <v>14</v>
      </c>
      <c r="CT10" s="28">
        <v>15</v>
      </c>
      <c r="CU10" s="28">
        <v>16</v>
      </c>
      <c r="CV10" s="28">
        <v>17</v>
      </c>
      <c r="CW10" s="28">
        <v>18</v>
      </c>
      <c r="CX10" s="28">
        <v>19</v>
      </c>
      <c r="CY10" s="28">
        <v>20</v>
      </c>
      <c r="CZ10" s="28">
        <v>21</v>
      </c>
      <c r="DA10" s="28">
        <v>22</v>
      </c>
      <c r="DB10" s="28">
        <v>23</v>
      </c>
      <c r="DC10" s="28">
        <v>24</v>
      </c>
      <c r="DD10" s="78"/>
    </row>
    <row r="11" spans="1:108" x14ac:dyDescent="0.25">
      <c r="A11" s="13" t="str">
        <f>IF($B3="","",$B3)</f>
        <v/>
      </c>
      <c r="B11" s="29" t="str">
        <f>IF(A11="","",IF(EOMONTH($D3,B$10)=EOMONTH($E3,0),$E3,IF(EOMONTH($D3,B$10)&gt;EOMONTH($E3,0),"",EOMONTH($D3,B$10))))</f>
        <v/>
      </c>
      <c r="C11" s="29" t="str">
        <f t="shared" ref="C11:Z11" si="0">IFERROR(IF(EOMONTH($D3,C$10)=EOMONTH($E3,0),$E3,IF(EOMONTH($D3,C$10)&gt;EOMONTH($E3,0),"",EOMONTH($D3,C$10))),"")</f>
        <v/>
      </c>
      <c r="D11" s="29" t="str">
        <f t="shared" si="0"/>
        <v/>
      </c>
      <c r="E11" s="29" t="str">
        <f t="shared" si="0"/>
        <v/>
      </c>
      <c r="F11" s="29" t="str">
        <f t="shared" si="0"/>
        <v/>
      </c>
      <c r="G11" s="29" t="str">
        <f t="shared" si="0"/>
        <v/>
      </c>
      <c r="H11" s="29" t="str">
        <f t="shared" si="0"/>
        <v/>
      </c>
      <c r="I11" s="29" t="str">
        <f t="shared" si="0"/>
        <v/>
      </c>
      <c r="J11" s="29" t="str">
        <f t="shared" si="0"/>
        <v/>
      </c>
      <c r="K11" s="29" t="str">
        <f t="shared" si="0"/>
        <v/>
      </c>
      <c r="L11" s="29" t="str">
        <f t="shared" si="0"/>
        <v/>
      </c>
      <c r="M11" s="29" t="str">
        <f t="shared" si="0"/>
        <v/>
      </c>
      <c r="N11" s="29" t="str">
        <f t="shared" si="0"/>
        <v/>
      </c>
      <c r="O11" s="29" t="str">
        <f t="shared" si="0"/>
        <v/>
      </c>
      <c r="P11" s="29" t="str">
        <f t="shared" si="0"/>
        <v/>
      </c>
      <c r="Q11" s="29" t="str">
        <f t="shared" si="0"/>
        <v/>
      </c>
      <c r="R11" s="29" t="str">
        <f t="shared" si="0"/>
        <v/>
      </c>
      <c r="S11" s="29" t="str">
        <f t="shared" si="0"/>
        <v/>
      </c>
      <c r="T11" s="29" t="str">
        <f t="shared" si="0"/>
        <v/>
      </c>
      <c r="U11" s="29" t="str">
        <f t="shared" si="0"/>
        <v/>
      </c>
      <c r="V11" s="29" t="str">
        <f t="shared" si="0"/>
        <v/>
      </c>
      <c r="W11" s="29" t="str">
        <f t="shared" si="0"/>
        <v/>
      </c>
      <c r="X11" s="29" t="str">
        <f t="shared" si="0"/>
        <v/>
      </c>
      <c r="Y11" s="29" t="str">
        <f t="shared" si="0"/>
        <v/>
      </c>
      <c r="Z11" s="29" t="str">
        <f t="shared" si="0"/>
        <v/>
      </c>
      <c r="AA11" s="78"/>
      <c r="AB11" s="13" t="str">
        <f>IF($A3="","",$A3)</f>
        <v/>
      </c>
      <c r="AC11" s="22" t="str">
        <f t="shared" ref="AC11:AL15" si="1">IF($L$3&gt;=B11,$L$3,B11)</f>
        <v/>
      </c>
      <c r="AD11" s="22" t="str">
        <f t="shared" si="1"/>
        <v/>
      </c>
      <c r="AE11" s="22" t="str">
        <f t="shared" si="1"/>
        <v/>
      </c>
      <c r="AF11" s="22" t="str">
        <f t="shared" si="1"/>
        <v/>
      </c>
      <c r="AG11" s="22" t="str">
        <f t="shared" si="1"/>
        <v/>
      </c>
      <c r="AH11" s="22" t="str">
        <f t="shared" si="1"/>
        <v/>
      </c>
      <c r="AI11" s="22" t="str">
        <f t="shared" si="1"/>
        <v/>
      </c>
      <c r="AJ11" s="22" t="str">
        <f t="shared" si="1"/>
        <v/>
      </c>
      <c r="AK11" s="22" t="str">
        <f t="shared" si="1"/>
        <v/>
      </c>
      <c r="AL11" s="22" t="str">
        <f t="shared" si="1"/>
        <v/>
      </c>
      <c r="AM11" s="22" t="str">
        <f t="shared" ref="AM11:AV15" si="2">IF($L$3&gt;=L11,$L$3,L11)</f>
        <v/>
      </c>
      <c r="AN11" s="22" t="str">
        <f t="shared" si="2"/>
        <v/>
      </c>
      <c r="AO11" s="22" t="str">
        <f t="shared" si="2"/>
        <v/>
      </c>
      <c r="AP11" s="22" t="str">
        <f t="shared" si="2"/>
        <v/>
      </c>
      <c r="AQ11" s="22" t="str">
        <f t="shared" si="2"/>
        <v/>
      </c>
      <c r="AR11" s="22" t="str">
        <f t="shared" si="2"/>
        <v/>
      </c>
      <c r="AS11" s="22" t="str">
        <f t="shared" si="2"/>
        <v/>
      </c>
      <c r="AT11" s="22" t="str">
        <f t="shared" si="2"/>
        <v/>
      </c>
      <c r="AU11" s="22" t="str">
        <f t="shared" si="2"/>
        <v/>
      </c>
      <c r="AV11" s="22" t="str">
        <f t="shared" si="2"/>
        <v/>
      </c>
      <c r="AW11" s="22" t="str">
        <f t="shared" ref="AW11:BA15" si="3">IF($L$3&gt;=V11,$L$3,V11)</f>
        <v/>
      </c>
      <c r="AX11" s="22" t="str">
        <f t="shared" si="3"/>
        <v/>
      </c>
      <c r="AY11" s="22" t="str">
        <f t="shared" si="3"/>
        <v/>
      </c>
      <c r="AZ11" s="22" t="str">
        <f t="shared" si="3"/>
        <v/>
      </c>
      <c r="BA11" s="22" t="str">
        <f t="shared" si="3"/>
        <v/>
      </c>
      <c r="BB11" s="78"/>
      <c r="BC11" s="13" t="str">
        <f>IF($A3="","",$A3)</f>
        <v/>
      </c>
      <c r="BD11" s="70" t="str">
        <f t="shared" ref="BD11:CB12" si="4">IFERROR(ROUND(IF(BD$10=0,B11-$D3,IF(AC11=$E3,(B11-A11),B11-A11)),0),"")</f>
        <v/>
      </c>
      <c r="BE11" s="70" t="str">
        <f t="shared" si="4"/>
        <v/>
      </c>
      <c r="BF11" s="70" t="str">
        <f t="shared" si="4"/>
        <v/>
      </c>
      <c r="BG11" s="70" t="str">
        <f t="shared" si="4"/>
        <v/>
      </c>
      <c r="BH11" s="70" t="str">
        <f t="shared" si="4"/>
        <v/>
      </c>
      <c r="BI11" s="70" t="str">
        <f t="shared" si="4"/>
        <v/>
      </c>
      <c r="BJ11" s="70" t="str">
        <f t="shared" si="4"/>
        <v/>
      </c>
      <c r="BK11" s="70" t="str">
        <f t="shared" si="4"/>
        <v/>
      </c>
      <c r="BL11" s="70" t="str">
        <f t="shared" si="4"/>
        <v/>
      </c>
      <c r="BM11" s="70" t="str">
        <f t="shared" si="4"/>
        <v/>
      </c>
      <c r="BN11" s="70" t="str">
        <f t="shared" si="4"/>
        <v/>
      </c>
      <c r="BO11" s="70" t="str">
        <f t="shared" si="4"/>
        <v/>
      </c>
      <c r="BP11" s="70" t="str">
        <f t="shared" si="4"/>
        <v/>
      </c>
      <c r="BQ11" s="70" t="str">
        <f t="shared" si="4"/>
        <v/>
      </c>
      <c r="BR11" s="70" t="str">
        <f t="shared" si="4"/>
        <v/>
      </c>
      <c r="BS11" s="70" t="str">
        <f t="shared" si="4"/>
        <v/>
      </c>
      <c r="BT11" s="70" t="str">
        <f t="shared" si="4"/>
        <v/>
      </c>
      <c r="BU11" s="70" t="str">
        <f t="shared" si="4"/>
        <v/>
      </c>
      <c r="BV11" s="70" t="str">
        <f t="shared" si="4"/>
        <v/>
      </c>
      <c r="BW11" s="70" t="str">
        <f t="shared" si="4"/>
        <v/>
      </c>
      <c r="BX11" s="70" t="str">
        <f t="shared" si="4"/>
        <v/>
      </c>
      <c r="BY11" s="70" t="str">
        <f t="shared" si="4"/>
        <v/>
      </c>
      <c r="BZ11" s="70" t="str">
        <f t="shared" si="4"/>
        <v/>
      </c>
      <c r="CA11" s="70" t="str">
        <f t="shared" si="4"/>
        <v/>
      </c>
      <c r="CB11" s="70" t="str">
        <f t="shared" si="4"/>
        <v/>
      </c>
      <c r="CC11" s="78"/>
      <c r="CD11" s="30" t="str">
        <f>IF($A3="","",$A3)</f>
        <v/>
      </c>
      <c r="CE11" s="30" t="str">
        <f>IFERROR(IF(B11="","",IF(AND(CE$10=0,I3="POINT_IN_TIME"),$G3,$G3*BD11)),"")</f>
        <v/>
      </c>
      <c r="CF11" s="30" t="str">
        <f t="shared" ref="CF11:CO15" si="5">IFERROR(IF(C11="","",$G3*BE11),"")</f>
        <v/>
      </c>
      <c r="CG11" s="30" t="str">
        <f t="shared" si="5"/>
        <v/>
      </c>
      <c r="CH11" s="30" t="str">
        <f t="shared" si="5"/>
        <v/>
      </c>
      <c r="CI11" s="30" t="str">
        <f t="shared" si="5"/>
        <v/>
      </c>
      <c r="CJ11" s="30" t="str">
        <f t="shared" si="5"/>
        <v/>
      </c>
      <c r="CK11" s="30" t="str">
        <f t="shared" si="5"/>
        <v/>
      </c>
      <c r="CL11" s="30" t="str">
        <f t="shared" si="5"/>
        <v/>
      </c>
      <c r="CM11" s="30" t="str">
        <f t="shared" si="5"/>
        <v/>
      </c>
      <c r="CN11" s="30" t="str">
        <f t="shared" si="5"/>
        <v/>
      </c>
      <c r="CO11" s="30" t="str">
        <f t="shared" si="5"/>
        <v/>
      </c>
      <c r="CP11" s="30" t="str">
        <f t="shared" ref="CP11:CY15" si="6">IFERROR(IF(M11="","",$G3*BO11),"")</f>
        <v/>
      </c>
      <c r="CQ11" s="30" t="str">
        <f t="shared" si="6"/>
        <v/>
      </c>
      <c r="CR11" s="30" t="str">
        <f t="shared" si="6"/>
        <v/>
      </c>
      <c r="CS11" s="30" t="str">
        <f t="shared" si="6"/>
        <v/>
      </c>
      <c r="CT11" s="30" t="str">
        <f t="shared" si="6"/>
        <v/>
      </c>
      <c r="CU11" s="30" t="str">
        <f t="shared" si="6"/>
        <v/>
      </c>
      <c r="CV11" s="30" t="str">
        <f t="shared" si="6"/>
        <v/>
      </c>
      <c r="CW11" s="30" t="str">
        <f t="shared" si="6"/>
        <v/>
      </c>
      <c r="CX11" s="30" t="str">
        <f t="shared" si="6"/>
        <v/>
      </c>
      <c r="CY11" s="30" t="str">
        <f t="shared" si="6"/>
        <v/>
      </c>
      <c r="CZ11" s="30" t="str">
        <f t="shared" ref="CZ11:DC15" si="7">IFERROR(IF(W11="","",$G3*BY11),"")</f>
        <v/>
      </c>
      <c r="DA11" s="30" t="str">
        <f t="shared" si="7"/>
        <v/>
      </c>
      <c r="DB11" s="30" t="str">
        <f t="shared" si="7"/>
        <v/>
      </c>
      <c r="DC11" s="30" t="str">
        <f t="shared" si="7"/>
        <v/>
      </c>
      <c r="DD11" s="78"/>
    </row>
    <row r="12" spans="1:108" x14ac:dyDescent="0.25">
      <c r="A12" s="13" t="str">
        <f>IF($B4="","",$B4)</f>
        <v/>
      </c>
      <c r="B12" s="29" t="str">
        <f>IF(A12="","",IF(EOMONTH($D4,B$10)=EOMONTH($E4,0),$E4,IF(EOMONTH($D4,B$10)&gt;EOMONTH($E4,0),"",EOMONTH($D4,B$10))))</f>
        <v/>
      </c>
      <c r="C12" s="29" t="str">
        <f t="shared" ref="C12:Z12" si="8">IFERROR(IF(EOMONTH($D4,C$10)=EOMONTH($E4,0),$E4,IF(EOMONTH($D4,C$10)&gt;EOMONTH($E4,0),"",EOMONTH($D4,C$10))),"")</f>
        <v/>
      </c>
      <c r="D12" s="29" t="str">
        <f t="shared" si="8"/>
        <v/>
      </c>
      <c r="E12" s="29" t="str">
        <f t="shared" si="8"/>
        <v/>
      </c>
      <c r="F12" s="29" t="str">
        <f t="shared" si="8"/>
        <v/>
      </c>
      <c r="G12" s="29" t="str">
        <f t="shared" si="8"/>
        <v/>
      </c>
      <c r="H12" s="29" t="str">
        <f t="shared" si="8"/>
        <v/>
      </c>
      <c r="I12" s="29" t="str">
        <f t="shared" si="8"/>
        <v/>
      </c>
      <c r="J12" s="29" t="str">
        <f t="shared" si="8"/>
        <v/>
      </c>
      <c r="K12" s="29" t="str">
        <f t="shared" si="8"/>
        <v/>
      </c>
      <c r="L12" s="29" t="str">
        <f t="shared" si="8"/>
        <v/>
      </c>
      <c r="M12" s="29" t="str">
        <f t="shared" si="8"/>
        <v/>
      </c>
      <c r="N12" s="29" t="str">
        <f t="shared" si="8"/>
        <v/>
      </c>
      <c r="O12" s="29" t="str">
        <f t="shared" si="8"/>
        <v/>
      </c>
      <c r="P12" s="29" t="str">
        <f t="shared" si="8"/>
        <v/>
      </c>
      <c r="Q12" s="29" t="str">
        <f t="shared" si="8"/>
        <v/>
      </c>
      <c r="R12" s="29" t="str">
        <f t="shared" si="8"/>
        <v/>
      </c>
      <c r="S12" s="29" t="str">
        <f t="shared" si="8"/>
        <v/>
      </c>
      <c r="T12" s="29" t="str">
        <f t="shared" si="8"/>
        <v/>
      </c>
      <c r="U12" s="29" t="str">
        <f t="shared" si="8"/>
        <v/>
      </c>
      <c r="V12" s="29" t="str">
        <f t="shared" si="8"/>
        <v/>
      </c>
      <c r="W12" s="29" t="str">
        <f t="shared" si="8"/>
        <v/>
      </c>
      <c r="X12" s="29" t="str">
        <f t="shared" si="8"/>
        <v/>
      </c>
      <c r="Y12" s="29" t="str">
        <f t="shared" si="8"/>
        <v/>
      </c>
      <c r="Z12" s="29" t="str">
        <f t="shared" si="8"/>
        <v/>
      </c>
      <c r="AA12" s="78"/>
      <c r="AB12" s="13" t="str">
        <f>IF($A4="","",$A4)</f>
        <v/>
      </c>
      <c r="AC12" s="22" t="str">
        <f t="shared" si="1"/>
        <v/>
      </c>
      <c r="AD12" s="22" t="str">
        <f t="shared" si="1"/>
        <v/>
      </c>
      <c r="AE12" s="22" t="str">
        <f t="shared" si="1"/>
        <v/>
      </c>
      <c r="AF12" s="22" t="str">
        <f t="shared" si="1"/>
        <v/>
      </c>
      <c r="AG12" s="22" t="str">
        <f t="shared" si="1"/>
        <v/>
      </c>
      <c r="AH12" s="22" t="str">
        <f t="shared" si="1"/>
        <v/>
      </c>
      <c r="AI12" s="22" t="str">
        <f t="shared" si="1"/>
        <v/>
      </c>
      <c r="AJ12" s="22" t="str">
        <f t="shared" si="1"/>
        <v/>
      </c>
      <c r="AK12" s="22" t="str">
        <f t="shared" si="1"/>
        <v/>
      </c>
      <c r="AL12" s="22" t="str">
        <f t="shared" si="1"/>
        <v/>
      </c>
      <c r="AM12" s="22" t="str">
        <f t="shared" si="2"/>
        <v/>
      </c>
      <c r="AN12" s="22" t="str">
        <f t="shared" si="2"/>
        <v/>
      </c>
      <c r="AO12" s="22" t="str">
        <f t="shared" si="2"/>
        <v/>
      </c>
      <c r="AP12" s="22" t="str">
        <f t="shared" si="2"/>
        <v/>
      </c>
      <c r="AQ12" s="22" t="str">
        <f t="shared" si="2"/>
        <v/>
      </c>
      <c r="AR12" s="22" t="str">
        <f t="shared" si="2"/>
        <v/>
      </c>
      <c r="AS12" s="22" t="str">
        <f t="shared" si="2"/>
        <v/>
      </c>
      <c r="AT12" s="22" t="str">
        <f t="shared" si="2"/>
        <v/>
      </c>
      <c r="AU12" s="22" t="str">
        <f t="shared" si="2"/>
        <v/>
      </c>
      <c r="AV12" s="22" t="str">
        <f t="shared" si="2"/>
        <v/>
      </c>
      <c r="AW12" s="22" t="str">
        <f t="shared" si="3"/>
        <v/>
      </c>
      <c r="AX12" s="22" t="str">
        <f t="shared" si="3"/>
        <v/>
      </c>
      <c r="AY12" s="22" t="str">
        <f t="shared" si="3"/>
        <v/>
      </c>
      <c r="AZ12" s="22" t="str">
        <f t="shared" si="3"/>
        <v/>
      </c>
      <c r="BA12" s="22" t="str">
        <f t="shared" si="3"/>
        <v/>
      </c>
      <c r="BB12" s="78"/>
      <c r="BC12" s="13" t="str">
        <f>IF($A4="","",$A4)</f>
        <v/>
      </c>
      <c r="BD12" s="70" t="str">
        <f>IFERROR(ROUND(IF(BD$10=0,B12-$D4,IF(AC12=$E4,(B12-A12),B12-A12)),0),"")</f>
        <v/>
      </c>
      <c r="BE12" s="70" t="str">
        <f t="shared" si="4"/>
        <v/>
      </c>
      <c r="BF12" s="70" t="str">
        <f t="shared" si="4"/>
        <v/>
      </c>
      <c r="BG12" s="70" t="str">
        <f t="shared" si="4"/>
        <v/>
      </c>
      <c r="BH12" s="70" t="str">
        <f t="shared" si="4"/>
        <v/>
      </c>
      <c r="BI12" s="70" t="str">
        <f t="shared" si="4"/>
        <v/>
      </c>
      <c r="BJ12" s="70" t="str">
        <f t="shared" si="4"/>
        <v/>
      </c>
      <c r="BK12" s="70" t="str">
        <f t="shared" si="4"/>
        <v/>
      </c>
      <c r="BL12" s="70" t="str">
        <f t="shared" si="4"/>
        <v/>
      </c>
      <c r="BM12" s="70" t="str">
        <f t="shared" si="4"/>
        <v/>
      </c>
      <c r="BN12" s="70" t="str">
        <f t="shared" si="4"/>
        <v/>
      </c>
      <c r="BO12" s="70" t="str">
        <f t="shared" si="4"/>
        <v/>
      </c>
      <c r="BP12" s="70" t="str">
        <f t="shared" si="4"/>
        <v/>
      </c>
      <c r="BQ12" s="70" t="str">
        <f t="shared" si="4"/>
        <v/>
      </c>
      <c r="BR12" s="70" t="str">
        <f t="shared" si="4"/>
        <v/>
      </c>
      <c r="BS12" s="70" t="str">
        <f t="shared" si="4"/>
        <v/>
      </c>
      <c r="BT12" s="70" t="str">
        <f t="shared" si="4"/>
        <v/>
      </c>
      <c r="BU12" s="70" t="str">
        <f t="shared" si="4"/>
        <v/>
      </c>
      <c r="BV12" s="70" t="str">
        <f t="shared" si="4"/>
        <v/>
      </c>
      <c r="BW12" s="70" t="str">
        <f t="shared" si="4"/>
        <v/>
      </c>
      <c r="BX12" s="70" t="str">
        <f t="shared" si="4"/>
        <v/>
      </c>
      <c r="BY12" s="70" t="str">
        <f t="shared" si="4"/>
        <v/>
      </c>
      <c r="BZ12" s="70" t="str">
        <f t="shared" si="4"/>
        <v/>
      </c>
      <c r="CA12" s="70" t="str">
        <f t="shared" si="4"/>
        <v/>
      </c>
      <c r="CB12" s="70" t="str">
        <f t="shared" si="4"/>
        <v/>
      </c>
      <c r="CC12" s="78"/>
      <c r="CD12" s="30" t="str">
        <f>IF($A4="","",$A4)</f>
        <v/>
      </c>
      <c r="CE12" s="30" t="str">
        <f>IFERROR(IF(B12="","",IF(AND(CE$10=0,I4="POINT_IN_TIME"),$G4,$G4*BD12)),"")</f>
        <v/>
      </c>
      <c r="CF12" s="30" t="str">
        <f t="shared" si="5"/>
        <v/>
      </c>
      <c r="CG12" s="30" t="str">
        <f t="shared" si="5"/>
        <v/>
      </c>
      <c r="CH12" s="30" t="str">
        <f t="shared" si="5"/>
        <v/>
      </c>
      <c r="CI12" s="30" t="str">
        <f t="shared" si="5"/>
        <v/>
      </c>
      <c r="CJ12" s="30" t="str">
        <f t="shared" si="5"/>
        <v/>
      </c>
      <c r="CK12" s="30" t="str">
        <f t="shared" si="5"/>
        <v/>
      </c>
      <c r="CL12" s="30" t="str">
        <f t="shared" si="5"/>
        <v/>
      </c>
      <c r="CM12" s="30" t="str">
        <f t="shared" si="5"/>
        <v/>
      </c>
      <c r="CN12" s="30" t="str">
        <f t="shared" si="5"/>
        <v/>
      </c>
      <c r="CO12" s="30" t="str">
        <f t="shared" si="5"/>
        <v/>
      </c>
      <c r="CP12" s="30" t="str">
        <f t="shared" si="6"/>
        <v/>
      </c>
      <c r="CQ12" s="30" t="str">
        <f t="shared" si="6"/>
        <v/>
      </c>
      <c r="CR12" s="30" t="str">
        <f t="shared" si="6"/>
        <v/>
      </c>
      <c r="CS12" s="30" t="str">
        <f t="shared" si="6"/>
        <v/>
      </c>
      <c r="CT12" s="30" t="str">
        <f t="shared" si="6"/>
        <v/>
      </c>
      <c r="CU12" s="30" t="str">
        <f t="shared" si="6"/>
        <v/>
      </c>
      <c r="CV12" s="30" t="str">
        <f t="shared" si="6"/>
        <v/>
      </c>
      <c r="CW12" s="30" t="str">
        <f t="shared" si="6"/>
        <v/>
      </c>
      <c r="CX12" s="30" t="str">
        <f t="shared" si="6"/>
        <v/>
      </c>
      <c r="CY12" s="30" t="str">
        <f t="shared" si="6"/>
        <v/>
      </c>
      <c r="CZ12" s="30" t="str">
        <f t="shared" si="7"/>
        <v/>
      </c>
      <c r="DA12" s="30" t="str">
        <f t="shared" si="7"/>
        <v/>
      </c>
      <c r="DB12" s="30" t="str">
        <f t="shared" si="7"/>
        <v/>
      </c>
      <c r="DC12" s="30" t="str">
        <f t="shared" si="7"/>
        <v/>
      </c>
      <c r="DD12" s="78"/>
    </row>
    <row r="13" spans="1:108" x14ac:dyDescent="0.25">
      <c r="A13" s="13" t="str">
        <f>IF($A5="","",$A5)</f>
        <v/>
      </c>
      <c r="B13" s="29" t="str">
        <f>IF(A13="","",IF(EOMONTH($D5,B$10)=EOMONTH($E5,0),$E5,IF(EOMONTH($D5,B$10)&gt;EOMONTH($E5,0),"",EOMONTH($D5,B$10))))</f>
        <v/>
      </c>
      <c r="C13" s="29" t="str">
        <f t="shared" ref="C13:Z13" si="9">IFERROR(IF(EOMONTH($D5,C$10)=EOMONTH($E5,0),$E5,IF(EOMONTH($D5,C$10)&gt;EOMONTH($E5,0),"",EOMONTH($D5,C$10))),"")</f>
        <v/>
      </c>
      <c r="D13" s="29" t="str">
        <f t="shared" si="9"/>
        <v/>
      </c>
      <c r="E13" s="29" t="str">
        <f t="shared" si="9"/>
        <v/>
      </c>
      <c r="F13" s="29" t="str">
        <f t="shared" si="9"/>
        <v/>
      </c>
      <c r="G13" s="29" t="str">
        <f t="shared" si="9"/>
        <v/>
      </c>
      <c r="H13" s="29" t="str">
        <f t="shared" si="9"/>
        <v/>
      </c>
      <c r="I13" s="29" t="str">
        <f t="shared" si="9"/>
        <v/>
      </c>
      <c r="J13" s="29" t="str">
        <f t="shared" si="9"/>
        <v/>
      </c>
      <c r="K13" s="29" t="str">
        <f t="shared" si="9"/>
        <v/>
      </c>
      <c r="L13" s="29" t="str">
        <f t="shared" si="9"/>
        <v/>
      </c>
      <c r="M13" s="29" t="str">
        <f t="shared" si="9"/>
        <v/>
      </c>
      <c r="N13" s="29" t="str">
        <f t="shared" si="9"/>
        <v/>
      </c>
      <c r="O13" s="29" t="str">
        <f t="shared" si="9"/>
        <v/>
      </c>
      <c r="P13" s="29" t="str">
        <f t="shared" si="9"/>
        <v/>
      </c>
      <c r="Q13" s="29" t="str">
        <f t="shared" si="9"/>
        <v/>
      </c>
      <c r="R13" s="29" t="str">
        <f t="shared" si="9"/>
        <v/>
      </c>
      <c r="S13" s="29" t="str">
        <f t="shared" si="9"/>
        <v/>
      </c>
      <c r="T13" s="29" t="str">
        <f t="shared" si="9"/>
        <v/>
      </c>
      <c r="U13" s="29" t="str">
        <f t="shared" si="9"/>
        <v/>
      </c>
      <c r="V13" s="29" t="str">
        <f t="shared" si="9"/>
        <v/>
      </c>
      <c r="W13" s="29" t="str">
        <f t="shared" si="9"/>
        <v/>
      </c>
      <c r="X13" s="29" t="str">
        <f t="shared" si="9"/>
        <v/>
      </c>
      <c r="Y13" s="29" t="str">
        <f t="shared" si="9"/>
        <v/>
      </c>
      <c r="Z13" s="29" t="str">
        <f t="shared" si="9"/>
        <v/>
      </c>
      <c r="AA13" s="78"/>
      <c r="AB13" s="13" t="str">
        <f>IF($A5="","",$A5)</f>
        <v/>
      </c>
      <c r="AC13" s="22" t="str">
        <f t="shared" si="1"/>
        <v/>
      </c>
      <c r="AD13" s="22" t="str">
        <f t="shared" si="1"/>
        <v/>
      </c>
      <c r="AE13" s="22" t="str">
        <f t="shared" si="1"/>
        <v/>
      </c>
      <c r="AF13" s="22" t="str">
        <f t="shared" si="1"/>
        <v/>
      </c>
      <c r="AG13" s="22" t="str">
        <f t="shared" si="1"/>
        <v/>
      </c>
      <c r="AH13" s="22" t="str">
        <f t="shared" si="1"/>
        <v/>
      </c>
      <c r="AI13" s="22" t="str">
        <f t="shared" si="1"/>
        <v/>
      </c>
      <c r="AJ13" s="22" t="str">
        <f t="shared" si="1"/>
        <v/>
      </c>
      <c r="AK13" s="22" t="str">
        <f t="shared" si="1"/>
        <v/>
      </c>
      <c r="AL13" s="22" t="str">
        <f t="shared" si="1"/>
        <v/>
      </c>
      <c r="AM13" s="22" t="str">
        <f t="shared" si="2"/>
        <v/>
      </c>
      <c r="AN13" s="22" t="str">
        <f t="shared" si="2"/>
        <v/>
      </c>
      <c r="AO13" s="22" t="str">
        <f t="shared" si="2"/>
        <v/>
      </c>
      <c r="AP13" s="22" t="str">
        <f t="shared" si="2"/>
        <v/>
      </c>
      <c r="AQ13" s="22" t="str">
        <f t="shared" si="2"/>
        <v/>
      </c>
      <c r="AR13" s="22" t="str">
        <f t="shared" si="2"/>
        <v/>
      </c>
      <c r="AS13" s="22" t="str">
        <f t="shared" si="2"/>
        <v/>
      </c>
      <c r="AT13" s="22" t="str">
        <f t="shared" si="2"/>
        <v/>
      </c>
      <c r="AU13" s="22" t="str">
        <f t="shared" si="2"/>
        <v/>
      </c>
      <c r="AV13" s="22" t="str">
        <f t="shared" si="2"/>
        <v/>
      </c>
      <c r="AW13" s="22" t="str">
        <f t="shared" si="3"/>
        <v/>
      </c>
      <c r="AX13" s="22" t="str">
        <f t="shared" si="3"/>
        <v/>
      </c>
      <c r="AY13" s="22" t="str">
        <f t="shared" si="3"/>
        <v/>
      </c>
      <c r="AZ13" s="22" t="str">
        <f t="shared" si="3"/>
        <v/>
      </c>
      <c r="BA13" s="22" t="str">
        <f t="shared" si="3"/>
        <v/>
      </c>
      <c r="BB13" s="78"/>
      <c r="BC13" s="13" t="str">
        <f>IF($A5="","",$A5)</f>
        <v/>
      </c>
      <c r="BD13" s="70" t="str">
        <f t="shared" ref="BD13:CB15" si="10">IFERROR(ROUND(IF(BD$10=0,B13-$D5,IF(AC13=$E5,(B13-A13),B13-A13)),0),"")</f>
        <v/>
      </c>
      <c r="BE13" s="70" t="str">
        <f t="shared" si="10"/>
        <v/>
      </c>
      <c r="BF13" s="70" t="str">
        <f t="shared" si="10"/>
        <v/>
      </c>
      <c r="BG13" s="70" t="str">
        <f t="shared" si="10"/>
        <v/>
      </c>
      <c r="BH13" s="70" t="str">
        <f t="shared" si="10"/>
        <v/>
      </c>
      <c r="BI13" s="70" t="str">
        <f t="shared" si="10"/>
        <v/>
      </c>
      <c r="BJ13" s="70" t="str">
        <f t="shared" si="10"/>
        <v/>
      </c>
      <c r="BK13" s="70" t="str">
        <f t="shared" si="10"/>
        <v/>
      </c>
      <c r="BL13" s="70" t="str">
        <f t="shared" si="10"/>
        <v/>
      </c>
      <c r="BM13" s="70" t="str">
        <f t="shared" si="10"/>
        <v/>
      </c>
      <c r="BN13" s="70" t="str">
        <f t="shared" si="10"/>
        <v/>
      </c>
      <c r="BO13" s="70" t="str">
        <f t="shared" si="10"/>
        <v/>
      </c>
      <c r="BP13" s="70" t="str">
        <f t="shared" si="10"/>
        <v/>
      </c>
      <c r="BQ13" s="70" t="str">
        <f t="shared" si="10"/>
        <v/>
      </c>
      <c r="BR13" s="70" t="str">
        <f t="shared" si="10"/>
        <v/>
      </c>
      <c r="BS13" s="70" t="str">
        <f t="shared" si="10"/>
        <v/>
      </c>
      <c r="BT13" s="70" t="str">
        <f t="shared" si="10"/>
        <v/>
      </c>
      <c r="BU13" s="70" t="str">
        <f t="shared" si="10"/>
        <v/>
      </c>
      <c r="BV13" s="70" t="str">
        <f t="shared" si="10"/>
        <v/>
      </c>
      <c r="BW13" s="70" t="str">
        <f t="shared" si="10"/>
        <v/>
      </c>
      <c r="BX13" s="70" t="str">
        <f t="shared" si="10"/>
        <v/>
      </c>
      <c r="BY13" s="70" t="str">
        <f t="shared" si="10"/>
        <v/>
      </c>
      <c r="BZ13" s="70" t="str">
        <f t="shared" si="10"/>
        <v/>
      </c>
      <c r="CA13" s="70" t="str">
        <f t="shared" si="10"/>
        <v/>
      </c>
      <c r="CB13" s="70" t="str">
        <f t="shared" si="10"/>
        <v/>
      </c>
      <c r="CC13" s="78"/>
      <c r="CD13" s="30" t="str">
        <f>IF($A5="","",$A5)</f>
        <v/>
      </c>
      <c r="CE13" s="30" t="str">
        <f>IFERROR(IF(B13="","",IF(AND(CE$10=0,I5="POINT_IN_TIME"),$G5,$G5*BD13)),"")</f>
        <v/>
      </c>
      <c r="CF13" s="30" t="str">
        <f t="shared" si="5"/>
        <v/>
      </c>
      <c r="CG13" s="30" t="str">
        <f t="shared" si="5"/>
        <v/>
      </c>
      <c r="CH13" s="30" t="str">
        <f t="shared" si="5"/>
        <v/>
      </c>
      <c r="CI13" s="30" t="str">
        <f t="shared" si="5"/>
        <v/>
      </c>
      <c r="CJ13" s="30" t="str">
        <f t="shared" si="5"/>
        <v/>
      </c>
      <c r="CK13" s="30" t="str">
        <f t="shared" si="5"/>
        <v/>
      </c>
      <c r="CL13" s="30" t="str">
        <f t="shared" si="5"/>
        <v/>
      </c>
      <c r="CM13" s="30" t="str">
        <f t="shared" si="5"/>
        <v/>
      </c>
      <c r="CN13" s="30" t="str">
        <f t="shared" si="5"/>
        <v/>
      </c>
      <c r="CO13" s="30" t="str">
        <f t="shared" si="5"/>
        <v/>
      </c>
      <c r="CP13" s="30" t="str">
        <f t="shared" si="6"/>
        <v/>
      </c>
      <c r="CQ13" s="30" t="str">
        <f t="shared" si="6"/>
        <v/>
      </c>
      <c r="CR13" s="30" t="str">
        <f t="shared" si="6"/>
        <v/>
      </c>
      <c r="CS13" s="30" t="str">
        <f t="shared" si="6"/>
        <v/>
      </c>
      <c r="CT13" s="30" t="str">
        <f t="shared" si="6"/>
        <v/>
      </c>
      <c r="CU13" s="30" t="str">
        <f t="shared" si="6"/>
        <v/>
      </c>
      <c r="CV13" s="30" t="str">
        <f t="shared" si="6"/>
        <v/>
      </c>
      <c r="CW13" s="30" t="str">
        <f t="shared" si="6"/>
        <v/>
      </c>
      <c r="CX13" s="30" t="str">
        <f t="shared" si="6"/>
        <v/>
      </c>
      <c r="CY13" s="30" t="str">
        <f t="shared" si="6"/>
        <v/>
      </c>
      <c r="CZ13" s="30" t="str">
        <f t="shared" si="7"/>
        <v/>
      </c>
      <c r="DA13" s="30" t="str">
        <f t="shared" si="7"/>
        <v/>
      </c>
      <c r="DB13" s="30" t="str">
        <f t="shared" si="7"/>
        <v/>
      </c>
      <c r="DC13" s="30" t="str">
        <f t="shared" si="7"/>
        <v/>
      </c>
      <c r="DD13" s="78"/>
    </row>
    <row r="14" spans="1:108" x14ac:dyDescent="0.25">
      <c r="A14" s="13" t="str">
        <f>IF($A6="","",$A6)</f>
        <v/>
      </c>
      <c r="B14" s="29" t="str">
        <f>IF(A14="","",IF(EOMONTH($D6,B$10)=EOMONTH($E6,0),$E6,IF(EOMONTH($D6,B$10)&gt;EOMONTH($E6,0),"",EOMONTH($D6,B$10))))</f>
        <v/>
      </c>
      <c r="C14" s="29" t="str">
        <f t="shared" ref="C14:Z14" si="11">IFERROR(IF(EOMONTH($D6,C$10)=EOMONTH($E6,0),$E6,IF(EOMONTH($D6,C$10)&gt;EOMONTH($E6,0),"",EOMONTH($D6,C$10))),"")</f>
        <v/>
      </c>
      <c r="D14" s="29" t="str">
        <f t="shared" si="11"/>
        <v/>
      </c>
      <c r="E14" s="29" t="str">
        <f t="shared" si="11"/>
        <v/>
      </c>
      <c r="F14" s="29" t="str">
        <f t="shared" si="11"/>
        <v/>
      </c>
      <c r="G14" s="29" t="str">
        <f t="shared" si="11"/>
        <v/>
      </c>
      <c r="H14" s="29" t="str">
        <f t="shared" si="11"/>
        <v/>
      </c>
      <c r="I14" s="29" t="str">
        <f t="shared" si="11"/>
        <v/>
      </c>
      <c r="J14" s="29" t="str">
        <f t="shared" si="11"/>
        <v/>
      </c>
      <c r="K14" s="29" t="str">
        <f t="shared" si="11"/>
        <v/>
      </c>
      <c r="L14" s="29" t="str">
        <f t="shared" si="11"/>
        <v/>
      </c>
      <c r="M14" s="29" t="str">
        <f t="shared" si="11"/>
        <v/>
      </c>
      <c r="N14" s="29" t="str">
        <f t="shared" si="11"/>
        <v/>
      </c>
      <c r="O14" s="29" t="str">
        <f t="shared" si="11"/>
        <v/>
      </c>
      <c r="P14" s="29" t="str">
        <f t="shared" si="11"/>
        <v/>
      </c>
      <c r="Q14" s="29" t="str">
        <f t="shared" si="11"/>
        <v/>
      </c>
      <c r="R14" s="29" t="str">
        <f t="shared" si="11"/>
        <v/>
      </c>
      <c r="S14" s="29" t="str">
        <f t="shared" si="11"/>
        <v/>
      </c>
      <c r="T14" s="29" t="str">
        <f t="shared" si="11"/>
        <v/>
      </c>
      <c r="U14" s="29" t="str">
        <f t="shared" si="11"/>
        <v/>
      </c>
      <c r="V14" s="29" t="str">
        <f t="shared" si="11"/>
        <v/>
      </c>
      <c r="W14" s="29" t="str">
        <f t="shared" si="11"/>
        <v/>
      </c>
      <c r="X14" s="29" t="str">
        <f t="shared" si="11"/>
        <v/>
      </c>
      <c r="Y14" s="29" t="str">
        <f t="shared" si="11"/>
        <v/>
      </c>
      <c r="Z14" s="29" t="str">
        <f t="shared" si="11"/>
        <v/>
      </c>
      <c r="AA14" s="78"/>
      <c r="AB14" s="13" t="str">
        <f>IF($A6="","",$A6)</f>
        <v/>
      </c>
      <c r="AC14" s="22" t="str">
        <f t="shared" si="1"/>
        <v/>
      </c>
      <c r="AD14" s="22" t="str">
        <f t="shared" si="1"/>
        <v/>
      </c>
      <c r="AE14" s="22" t="str">
        <f t="shared" si="1"/>
        <v/>
      </c>
      <c r="AF14" s="22" t="str">
        <f t="shared" si="1"/>
        <v/>
      </c>
      <c r="AG14" s="22" t="str">
        <f t="shared" si="1"/>
        <v/>
      </c>
      <c r="AH14" s="22" t="str">
        <f t="shared" si="1"/>
        <v/>
      </c>
      <c r="AI14" s="22" t="str">
        <f t="shared" si="1"/>
        <v/>
      </c>
      <c r="AJ14" s="22" t="str">
        <f t="shared" si="1"/>
        <v/>
      </c>
      <c r="AK14" s="22" t="str">
        <f t="shared" si="1"/>
        <v/>
      </c>
      <c r="AL14" s="22" t="str">
        <f t="shared" si="1"/>
        <v/>
      </c>
      <c r="AM14" s="22" t="str">
        <f t="shared" si="2"/>
        <v/>
      </c>
      <c r="AN14" s="22" t="str">
        <f t="shared" si="2"/>
        <v/>
      </c>
      <c r="AO14" s="22" t="str">
        <f t="shared" si="2"/>
        <v/>
      </c>
      <c r="AP14" s="22" t="str">
        <f t="shared" si="2"/>
        <v/>
      </c>
      <c r="AQ14" s="22" t="str">
        <f t="shared" si="2"/>
        <v/>
      </c>
      <c r="AR14" s="22" t="str">
        <f t="shared" si="2"/>
        <v/>
      </c>
      <c r="AS14" s="22" t="str">
        <f t="shared" si="2"/>
        <v/>
      </c>
      <c r="AT14" s="22" t="str">
        <f t="shared" si="2"/>
        <v/>
      </c>
      <c r="AU14" s="22" t="str">
        <f t="shared" si="2"/>
        <v/>
      </c>
      <c r="AV14" s="22" t="str">
        <f t="shared" si="2"/>
        <v/>
      </c>
      <c r="AW14" s="22" t="str">
        <f t="shared" si="3"/>
        <v/>
      </c>
      <c r="AX14" s="22" t="str">
        <f t="shared" si="3"/>
        <v/>
      </c>
      <c r="AY14" s="22" t="str">
        <f t="shared" si="3"/>
        <v/>
      </c>
      <c r="AZ14" s="22" t="str">
        <f t="shared" si="3"/>
        <v/>
      </c>
      <c r="BA14" s="22" t="str">
        <f t="shared" si="3"/>
        <v/>
      </c>
      <c r="BB14" s="78"/>
      <c r="BC14" s="13" t="str">
        <f>IF($A6="","",$A6)</f>
        <v/>
      </c>
      <c r="BD14" s="70" t="str">
        <f t="shared" si="10"/>
        <v/>
      </c>
      <c r="BE14" s="70" t="str">
        <f t="shared" si="10"/>
        <v/>
      </c>
      <c r="BF14" s="70" t="str">
        <f t="shared" si="10"/>
        <v/>
      </c>
      <c r="BG14" s="70" t="str">
        <f t="shared" si="10"/>
        <v/>
      </c>
      <c r="BH14" s="70" t="str">
        <f t="shared" si="10"/>
        <v/>
      </c>
      <c r="BI14" s="70" t="str">
        <f t="shared" si="10"/>
        <v/>
      </c>
      <c r="BJ14" s="70" t="str">
        <f t="shared" si="10"/>
        <v/>
      </c>
      <c r="BK14" s="70" t="str">
        <f t="shared" si="10"/>
        <v/>
      </c>
      <c r="BL14" s="70" t="str">
        <f t="shared" si="10"/>
        <v/>
      </c>
      <c r="BM14" s="70" t="str">
        <f t="shared" si="10"/>
        <v/>
      </c>
      <c r="BN14" s="70" t="str">
        <f t="shared" si="10"/>
        <v/>
      </c>
      <c r="BO14" s="70" t="str">
        <f t="shared" si="10"/>
        <v/>
      </c>
      <c r="BP14" s="70" t="str">
        <f t="shared" si="10"/>
        <v/>
      </c>
      <c r="BQ14" s="70" t="str">
        <f t="shared" si="10"/>
        <v/>
      </c>
      <c r="BR14" s="70" t="str">
        <f t="shared" si="10"/>
        <v/>
      </c>
      <c r="BS14" s="70" t="str">
        <f t="shared" si="10"/>
        <v/>
      </c>
      <c r="BT14" s="70" t="str">
        <f t="shared" si="10"/>
        <v/>
      </c>
      <c r="BU14" s="70" t="str">
        <f t="shared" si="10"/>
        <v/>
      </c>
      <c r="BV14" s="70" t="str">
        <f t="shared" si="10"/>
        <v/>
      </c>
      <c r="BW14" s="70" t="str">
        <f t="shared" si="10"/>
        <v/>
      </c>
      <c r="BX14" s="70" t="str">
        <f t="shared" si="10"/>
        <v/>
      </c>
      <c r="BY14" s="70" t="str">
        <f t="shared" si="10"/>
        <v/>
      </c>
      <c r="BZ14" s="70" t="str">
        <f t="shared" si="10"/>
        <v/>
      </c>
      <c r="CA14" s="70" t="str">
        <f t="shared" si="10"/>
        <v/>
      </c>
      <c r="CB14" s="70" t="str">
        <f t="shared" si="10"/>
        <v/>
      </c>
      <c r="CC14" s="78"/>
      <c r="CD14" s="30" t="str">
        <f>IF($A6="","",$A6)</f>
        <v/>
      </c>
      <c r="CE14" s="30" t="str">
        <f>IFERROR(IF(B14="","",$G6*BD14),"")</f>
        <v/>
      </c>
      <c r="CF14" s="30" t="str">
        <f t="shared" si="5"/>
        <v/>
      </c>
      <c r="CG14" s="30" t="str">
        <f t="shared" si="5"/>
        <v/>
      </c>
      <c r="CH14" s="30" t="str">
        <f t="shared" si="5"/>
        <v/>
      </c>
      <c r="CI14" s="30" t="str">
        <f t="shared" si="5"/>
        <v/>
      </c>
      <c r="CJ14" s="30" t="str">
        <f t="shared" si="5"/>
        <v/>
      </c>
      <c r="CK14" s="30" t="str">
        <f t="shared" si="5"/>
        <v/>
      </c>
      <c r="CL14" s="30" t="str">
        <f t="shared" si="5"/>
        <v/>
      </c>
      <c r="CM14" s="30" t="str">
        <f t="shared" si="5"/>
        <v/>
      </c>
      <c r="CN14" s="30" t="str">
        <f t="shared" si="5"/>
        <v/>
      </c>
      <c r="CO14" s="30" t="str">
        <f t="shared" si="5"/>
        <v/>
      </c>
      <c r="CP14" s="30" t="str">
        <f t="shared" si="6"/>
        <v/>
      </c>
      <c r="CQ14" s="30" t="str">
        <f t="shared" si="6"/>
        <v/>
      </c>
      <c r="CR14" s="30" t="str">
        <f t="shared" si="6"/>
        <v/>
      </c>
      <c r="CS14" s="30" t="str">
        <f t="shared" si="6"/>
        <v/>
      </c>
      <c r="CT14" s="30" t="str">
        <f t="shared" si="6"/>
        <v/>
      </c>
      <c r="CU14" s="30" t="str">
        <f t="shared" si="6"/>
        <v/>
      </c>
      <c r="CV14" s="30" t="str">
        <f t="shared" si="6"/>
        <v/>
      </c>
      <c r="CW14" s="30" t="str">
        <f t="shared" si="6"/>
        <v/>
      </c>
      <c r="CX14" s="30" t="str">
        <f t="shared" si="6"/>
        <v/>
      </c>
      <c r="CY14" s="30" t="str">
        <f t="shared" si="6"/>
        <v/>
      </c>
      <c r="CZ14" s="30" t="str">
        <f t="shared" si="7"/>
        <v/>
      </c>
      <c r="DA14" s="30" t="str">
        <f t="shared" si="7"/>
        <v/>
      </c>
      <c r="DB14" s="30" t="str">
        <f t="shared" si="7"/>
        <v/>
      </c>
      <c r="DC14" s="30" t="str">
        <f t="shared" si="7"/>
        <v/>
      </c>
      <c r="DD14" s="78"/>
    </row>
    <row r="15" spans="1:108" x14ac:dyDescent="0.25">
      <c r="A15" s="13" t="str">
        <f>IF($A7="","",$A7)</f>
        <v/>
      </c>
      <c r="B15" s="29" t="str">
        <f>IF(A15="","",IF(EOMONTH($D7,B$10)=EOMONTH($E7,0),$E7,IF(EOMONTH($D7,B$10)&gt;EOMONTH($E7,0),"",EOMONTH($D7,B$10))))</f>
        <v/>
      </c>
      <c r="C15" s="29" t="str">
        <f t="shared" ref="C15:Z15" si="12">IFERROR(IF(EOMONTH($D7,C$10)=EOMONTH($E7,0),$E7,IF(EOMONTH($D7,C$10)&gt;EOMONTH($E7,0),"",EOMONTH($D7,C$10))),"")</f>
        <v/>
      </c>
      <c r="D15" s="29" t="str">
        <f t="shared" si="12"/>
        <v/>
      </c>
      <c r="E15" s="29" t="str">
        <f t="shared" si="12"/>
        <v/>
      </c>
      <c r="F15" s="29" t="str">
        <f t="shared" si="12"/>
        <v/>
      </c>
      <c r="G15" s="29" t="str">
        <f t="shared" si="12"/>
        <v/>
      </c>
      <c r="H15" s="29" t="str">
        <f t="shared" si="12"/>
        <v/>
      </c>
      <c r="I15" s="29" t="str">
        <f t="shared" si="12"/>
        <v/>
      </c>
      <c r="J15" s="29" t="str">
        <f t="shared" si="12"/>
        <v/>
      </c>
      <c r="K15" s="29" t="str">
        <f t="shared" si="12"/>
        <v/>
      </c>
      <c r="L15" s="29" t="str">
        <f t="shared" si="12"/>
        <v/>
      </c>
      <c r="M15" s="29" t="str">
        <f t="shared" si="12"/>
        <v/>
      </c>
      <c r="N15" s="29" t="str">
        <f t="shared" si="12"/>
        <v/>
      </c>
      <c r="O15" s="29" t="str">
        <f t="shared" si="12"/>
        <v/>
      </c>
      <c r="P15" s="29" t="str">
        <f t="shared" si="12"/>
        <v/>
      </c>
      <c r="Q15" s="29" t="str">
        <f t="shared" si="12"/>
        <v/>
      </c>
      <c r="R15" s="29" t="str">
        <f t="shared" si="12"/>
        <v/>
      </c>
      <c r="S15" s="29" t="str">
        <f t="shared" si="12"/>
        <v/>
      </c>
      <c r="T15" s="29" t="str">
        <f t="shared" si="12"/>
        <v/>
      </c>
      <c r="U15" s="29" t="str">
        <f t="shared" si="12"/>
        <v/>
      </c>
      <c r="V15" s="29" t="str">
        <f t="shared" si="12"/>
        <v/>
      </c>
      <c r="W15" s="29" t="str">
        <f t="shared" si="12"/>
        <v/>
      </c>
      <c r="X15" s="29" t="str">
        <f t="shared" si="12"/>
        <v/>
      </c>
      <c r="Y15" s="29" t="str">
        <f t="shared" si="12"/>
        <v/>
      </c>
      <c r="Z15" s="29" t="str">
        <f t="shared" si="12"/>
        <v/>
      </c>
      <c r="AA15" s="78"/>
      <c r="AB15" s="13" t="str">
        <f>IF($A7="","",$A7)</f>
        <v/>
      </c>
      <c r="AC15" s="22" t="str">
        <f t="shared" si="1"/>
        <v/>
      </c>
      <c r="AD15" s="22" t="str">
        <f t="shared" si="1"/>
        <v/>
      </c>
      <c r="AE15" s="22" t="str">
        <f t="shared" si="1"/>
        <v/>
      </c>
      <c r="AF15" s="22" t="str">
        <f t="shared" si="1"/>
        <v/>
      </c>
      <c r="AG15" s="22" t="str">
        <f t="shared" si="1"/>
        <v/>
      </c>
      <c r="AH15" s="22" t="str">
        <f t="shared" si="1"/>
        <v/>
      </c>
      <c r="AI15" s="22" t="str">
        <f t="shared" si="1"/>
        <v/>
      </c>
      <c r="AJ15" s="22" t="str">
        <f t="shared" si="1"/>
        <v/>
      </c>
      <c r="AK15" s="22" t="str">
        <f t="shared" si="1"/>
        <v/>
      </c>
      <c r="AL15" s="22" t="str">
        <f t="shared" si="1"/>
        <v/>
      </c>
      <c r="AM15" s="22" t="str">
        <f t="shared" si="2"/>
        <v/>
      </c>
      <c r="AN15" s="22" t="str">
        <f t="shared" si="2"/>
        <v/>
      </c>
      <c r="AO15" s="22" t="str">
        <f t="shared" si="2"/>
        <v/>
      </c>
      <c r="AP15" s="22" t="str">
        <f t="shared" si="2"/>
        <v/>
      </c>
      <c r="AQ15" s="22" t="str">
        <f t="shared" si="2"/>
        <v/>
      </c>
      <c r="AR15" s="22" t="str">
        <f t="shared" si="2"/>
        <v/>
      </c>
      <c r="AS15" s="22" t="str">
        <f t="shared" si="2"/>
        <v/>
      </c>
      <c r="AT15" s="22" t="str">
        <f t="shared" si="2"/>
        <v/>
      </c>
      <c r="AU15" s="22" t="str">
        <f t="shared" si="2"/>
        <v/>
      </c>
      <c r="AV15" s="22" t="str">
        <f t="shared" si="2"/>
        <v/>
      </c>
      <c r="AW15" s="22" t="str">
        <f t="shared" si="3"/>
        <v/>
      </c>
      <c r="AX15" s="22" t="str">
        <f t="shared" si="3"/>
        <v/>
      </c>
      <c r="AY15" s="22" t="str">
        <f t="shared" si="3"/>
        <v/>
      </c>
      <c r="AZ15" s="22" t="str">
        <f t="shared" si="3"/>
        <v/>
      </c>
      <c r="BA15" s="22" t="str">
        <f t="shared" si="3"/>
        <v/>
      </c>
      <c r="BB15" s="78"/>
      <c r="BC15" s="13" t="str">
        <f>IF($A7="","",$A7)</f>
        <v/>
      </c>
      <c r="BD15" s="70" t="str">
        <f t="shared" si="10"/>
        <v/>
      </c>
      <c r="BE15" s="70" t="str">
        <f t="shared" si="10"/>
        <v/>
      </c>
      <c r="BF15" s="70" t="str">
        <f t="shared" si="10"/>
        <v/>
      </c>
      <c r="BG15" s="70" t="str">
        <f t="shared" si="10"/>
        <v/>
      </c>
      <c r="BH15" s="70" t="str">
        <f t="shared" si="10"/>
        <v/>
      </c>
      <c r="BI15" s="70" t="str">
        <f t="shared" si="10"/>
        <v/>
      </c>
      <c r="BJ15" s="70" t="str">
        <f t="shared" si="10"/>
        <v/>
      </c>
      <c r="BK15" s="70" t="str">
        <f t="shared" si="10"/>
        <v/>
      </c>
      <c r="BL15" s="70" t="str">
        <f t="shared" si="10"/>
        <v/>
      </c>
      <c r="BM15" s="70" t="str">
        <f t="shared" si="10"/>
        <v/>
      </c>
      <c r="BN15" s="70" t="str">
        <f t="shared" si="10"/>
        <v/>
      </c>
      <c r="BO15" s="70" t="str">
        <f t="shared" si="10"/>
        <v/>
      </c>
      <c r="BP15" s="70" t="str">
        <f t="shared" si="10"/>
        <v/>
      </c>
      <c r="BQ15" s="70" t="str">
        <f t="shared" si="10"/>
        <v/>
      </c>
      <c r="BR15" s="70" t="str">
        <f t="shared" si="10"/>
        <v/>
      </c>
      <c r="BS15" s="70" t="str">
        <f t="shared" si="10"/>
        <v/>
      </c>
      <c r="BT15" s="70" t="str">
        <f t="shared" si="10"/>
        <v/>
      </c>
      <c r="BU15" s="70" t="str">
        <f t="shared" si="10"/>
        <v/>
      </c>
      <c r="BV15" s="70" t="str">
        <f t="shared" si="10"/>
        <v/>
      </c>
      <c r="BW15" s="70" t="str">
        <f t="shared" si="10"/>
        <v/>
      </c>
      <c r="BX15" s="70" t="str">
        <f t="shared" si="10"/>
        <v/>
      </c>
      <c r="BY15" s="70" t="str">
        <f t="shared" si="10"/>
        <v/>
      </c>
      <c r="BZ15" s="70" t="str">
        <f t="shared" si="10"/>
        <v/>
      </c>
      <c r="CA15" s="70" t="str">
        <f t="shared" si="10"/>
        <v/>
      </c>
      <c r="CB15" s="70" t="str">
        <f t="shared" si="10"/>
        <v/>
      </c>
      <c r="CC15" s="78"/>
      <c r="CD15" s="30" t="str">
        <f>IF($A7="","",$A7)</f>
        <v/>
      </c>
      <c r="CE15" s="30" t="str">
        <f>IFERROR(IF(B15="","",$G7*BD15),"")</f>
        <v/>
      </c>
      <c r="CF15" s="30" t="str">
        <f t="shared" si="5"/>
        <v/>
      </c>
      <c r="CG15" s="30" t="str">
        <f t="shared" si="5"/>
        <v/>
      </c>
      <c r="CH15" s="30" t="str">
        <f t="shared" si="5"/>
        <v/>
      </c>
      <c r="CI15" s="30" t="str">
        <f t="shared" si="5"/>
        <v/>
      </c>
      <c r="CJ15" s="30" t="str">
        <f t="shared" si="5"/>
        <v/>
      </c>
      <c r="CK15" s="30" t="str">
        <f t="shared" si="5"/>
        <v/>
      </c>
      <c r="CL15" s="30" t="str">
        <f t="shared" si="5"/>
        <v/>
      </c>
      <c r="CM15" s="30" t="str">
        <f t="shared" si="5"/>
        <v/>
      </c>
      <c r="CN15" s="30" t="str">
        <f t="shared" si="5"/>
        <v/>
      </c>
      <c r="CO15" s="30" t="str">
        <f t="shared" si="5"/>
        <v/>
      </c>
      <c r="CP15" s="30" t="str">
        <f t="shared" si="6"/>
        <v/>
      </c>
      <c r="CQ15" s="30" t="str">
        <f t="shared" si="6"/>
        <v/>
      </c>
      <c r="CR15" s="30" t="str">
        <f t="shared" si="6"/>
        <v/>
      </c>
      <c r="CS15" s="30" t="str">
        <f t="shared" si="6"/>
        <v/>
      </c>
      <c r="CT15" s="30" t="str">
        <f t="shared" si="6"/>
        <v/>
      </c>
      <c r="CU15" s="30" t="str">
        <f t="shared" si="6"/>
        <v/>
      </c>
      <c r="CV15" s="30" t="str">
        <f t="shared" si="6"/>
        <v/>
      </c>
      <c r="CW15" s="30" t="str">
        <f t="shared" si="6"/>
        <v/>
      </c>
      <c r="CX15" s="30" t="str">
        <f t="shared" si="6"/>
        <v/>
      </c>
      <c r="CY15" s="30" t="str">
        <f t="shared" si="6"/>
        <v/>
      </c>
      <c r="CZ15" s="30" t="str">
        <f t="shared" si="7"/>
        <v/>
      </c>
      <c r="DA15" s="30" t="str">
        <f t="shared" si="7"/>
        <v/>
      </c>
      <c r="DB15" s="30" t="str">
        <f t="shared" si="7"/>
        <v/>
      </c>
      <c r="DC15" s="30" t="str">
        <f t="shared" si="7"/>
        <v/>
      </c>
      <c r="DD15" s="78"/>
    </row>
    <row r="17" spans="1:8" ht="21" x14ac:dyDescent="0.35">
      <c r="A17" s="74" t="s">
        <v>42</v>
      </c>
      <c r="B17" s="74"/>
      <c r="C17" s="74"/>
      <c r="D17" s="74"/>
      <c r="E17" s="74"/>
      <c r="F17" s="74"/>
      <c r="G17" s="74"/>
      <c r="H17" s="74"/>
    </row>
    <row r="18" spans="1:8" x14ac:dyDescent="0.25">
      <c r="A18" s="28" t="s">
        <v>40</v>
      </c>
      <c r="B18" s="18" t="s">
        <v>43</v>
      </c>
      <c r="C18" s="18" t="s">
        <v>44</v>
      </c>
      <c r="D18" s="18" t="s">
        <v>35</v>
      </c>
      <c r="E18" s="18" t="s">
        <v>45</v>
      </c>
      <c r="F18" s="18" t="s">
        <v>46</v>
      </c>
    </row>
    <row r="19" spans="1:8" x14ac:dyDescent="0.25">
      <c r="A19" s="23">
        <v>0</v>
      </c>
      <c r="B19" s="22">
        <f t="shared" ref="B19:B24" si="13">IF(A19="","",$L$3)</f>
        <v>0</v>
      </c>
      <c r="C19" s="30" cm="1">
        <f t="array" ref="C19">VLOOKUP(A19,VALUE(EOD!$D$2:$H$6),2,FALSE)-(INV!E2+INV!F2)</f>
        <v>0</v>
      </c>
      <c r="D19" s="30">
        <v>0</v>
      </c>
      <c r="E19" s="30" cm="1">
        <f t="array" ref="E19">VLOOKUP(A19,VALUE(EOD!$D$2:$H$6),3,FALSE)</f>
        <v>0</v>
      </c>
      <c r="F19" s="30">
        <f>IF(A19="","",SUM(EOD!H2:H7))</f>
        <v>0</v>
      </c>
    </row>
    <row r="20" spans="1:8" x14ac:dyDescent="0.25">
      <c r="A20" s="13" t="str">
        <f>IF($B3="","",$B3)</f>
        <v/>
      </c>
      <c r="B20" s="22" t="str">
        <f t="shared" si="13"/>
        <v/>
      </c>
      <c r="C20" s="30" t="str">
        <f>IF(A20="","",0)</f>
        <v/>
      </c>
      <c r="D20" s="30" t="str">
        <f>IF(A20="","",EOD!G3)</f>
        <v/>
      </c>
      <c r="E20" s="30" t="str">
        <f>IF(A20="","",0)</f>
        <v/>
      </c>
      <c r="F20" s="30" t="str">
        <f>IF(A20="","",0)</f>
        <v/>
      </c>
    </row>
    <row r="21" spans="1:8" x14ac:dyDescent="0.25">
      <c r="A21" s="13" t="str">
        <f>IF($B4="","",$B4)</f>
        <v/>
      </c>
      <c r="B21" s="22" t="str">
        <f t="shared" si="13"/>
        <v/>
      </c>
      <c r="C21" s="30" t="str">
        <f>IF(A21="","",0)</f>
        <v/>
      </c>
      <c r="D21" s="30" t="str">
        <f>IF(A21="","",EOD!G4)</f>
        <v/>
      </c>
      <c r="E21" s="30" t="str">
        <f>IF(A21="","",0)</f>
        <v/>
      </c>
      <c r="F21" s="30" t="str">
        <f>IF(A21="","",0)</f>
        <v/>
      </c>
    </row>
    <row r="22" spans="1:8" x14ac:dyDescent="0.25">
      <c r="A22" s="13" t="str">
        <f>IF($B5="","",$B5)</f>
        <v/>
      </c>
      <c r="B22" s="22" t="str">
        <f t="shared" si="13"/>
        <v/>
      </c>
      <c r="C22" s="30" t="str">
        <f>IF(A22="","",0)</f>
        <v/>
      </c>
      <c r="D22" s="30" t="str">
        <f>IF(A22="","",EOD!G5)</f>
        <v/>
      </c>
      <c r="E22" s="30" t="str">
        <f>IF(A22="","",0)</f>
        <v/>
      </c>
      <c r="F22" s="30" t="str">
        <f>IF(A22="","",0)</f>
        <v/>
      </c>
    </row>
    <row r="23" spans="1:8" x14ac:dyDescent="0.25">
      <c r="A23" s="13" t="str">
        <f>IF($B6="","",$B6)</f>
        <v/>
      </c>
      <c r="B23" s="22" t="str">
        <f t="shared" si="13"/>
        <v/>
      </c>
      <c r="C23" s="30" t="str">
        <f>IF(A23="","",0)</f>
        <v/>
      </c>
      <c r="D23" s="30" t="str">
        <f>IF(A23="","",EOD!G6)</f>
        <v/>
      </c>
      <c r="E23" s="30" t="str">
        <f>IF(A23="","",0)</f>
        <v/>
      </c>
      <c r="F23" s="30" t="str">
        <f>IF(A23="","",0)</f>
        <v/>
      </c>
    </row>
    <row r="24" spans="1:8" x14ac:dyDescent="0.25">
      <c r="A24" s="13" t="str">
        <f>IF($B7="","",$B7)</f>
        <v/>
      </c>
      <c r="B24" s="22" t="str">
        <f t="shared" si="13"/>
        <v/>
      </c>
      <c r="C24" s="30" t="str">
        <f>IF(A24="","",0)</f>
        <v/>
      </c>
      <c r="D24" s="30" t="str">
        <f>IF(A24="","",EOD!G7)</f>
        <v/>
      </c>
      <c r="E24" s="30" t="str">
        <f>IF(A24="","",0)</f>
        <v/>
      </c>
      <c r="F24" s="30" t="str">
        <f>IF(A24="","",0)</f>
        <v/>
      </c>
    </row>
    <row r="25" spans="1:8" x14ac:dyDescent="0.25">
      <c r="A25" s="31" t="s">
        <v>22</v>
      </c>
      <c r="B25" s="22"/>
      <c r="C25" s="30">
        <f>SUM(C19:C24)</f>
        <v>0</v>
      </c>
      <c r="D25" s="30">
        <f>SUM(D19:D24)</f>
        <v>0</v>
      </c>
      <c r="E25" s="30">
        <f>SUM(E19:E24)</f>
        <v>0</v>
      </c>
      <c r="F25" s="30">
        <f>SUM(F19:F24)</f>
        <v>0</v>
      </c>
    </row>
    <row r="27" spans="1:8" ht="21" x14ac:dyDescent="0.35">
      <c r="A27" s="74" t="s">
        <v>47</v>
      </c>
      <c r="B27" s="74"/>
      <c r="C27" s="74"/>
      <c r="D27" s="74"/>
      <c r="E27" s="74"/>
      <c r="F27" s="74"/>
      <c r="G27" s="74"/>
      <c r="H27" s="74"/>
    </row>
    <row r="28" spans="1:8" x14ac:dyDescent="0.25">
      <c r="A28" s="28" t="s">
        <v>40</v>
      </c>
      <c r="B28" s="18" t="s">
        <v>43</v>
      </c>
      <c r="C28" s="18" t="s">
        <v>44</v>
      </c>
      <c r="D28" s="18" t="s">
        <v>35</v>
      </c>
      <c r="E28" s="18" t="s">
        <v>45</v>
      </c>
      <c r="F28" s="18" t="s">
        <v>46</v>
      </c>
    </row>
    <row r="29" spans="1:8" x14ac:dyDescent="0.25">
      <c r="A29" s="23">
        <v>0</v>
      </c>
      <c r="B29" s="22">
        <f t="shared" ref="B29:B34" si="14">IF(A29="","",$L$3)</f>
        <v>0</v>
      </c>
      <c r="C29" s="30">
        <f>IF(B29="","",C25+C37)</f>
        <v>0</v>
      </c>
      <c r="D29" s="30">
        <f>IF(B29="","",0)</f>
        <v>0</v>
      </c>
      <c r="E29" s="30">
        <f>IF(B29="","",IF(SUM(C29:D34)&gt;0,0,-SUM(C29:D34)))</f>
        <v>0</v>
      </c>
      <c r="F29" s="32">
        <f>IF(B29="","",SUM(C29:E34))</f>
        <v>0</v>
      </c>
    </row>
    <row r="30" spans="1:8" x14ac:dyDescent="0.25">
      <c r="A30" s="13" t="str">
        <f>IF($B3="","",$B3)</f>
        <v/>
      </c>
      <c r="B30" s="22" t="str">
        <f t="shared" si="14"/>
        <v/>
      </c>
      <c r="C30" s="30" t="str">
        <f>IF(A30="","",0)</f>
        <v/>
      </c>
      <c r="D30" s="30" t="str">
        <f>IF(B30="","",-SUMIF($AC11:$BA11,$L$3,$CE11:$DC11))</f>
        <v/>
      </c>
      <c r="E30" s="30" t="str">
        <f>IF(A30="","",0)</f>
        <v/>
      </c>
      <c r="F30" s="30" t="str">
        <f>IF(A30="","",0)</f>
        <v/>
      </c>
    </row>
    <row r="31" spans="1:8" x14ac:dyDescent="0.25">
      <c r="A31" s="13" t="str">
        <f>IF($B4="","",$B4)</f>
        <v/>
      </c>
      <c r="B31" s="22" t="str">
        <f t="shared" si="14"/>
        <v/>
      </c>
      <c r="C31" s="30" t="str">
        <f>IF(A31="","",0)</f>
        <v/>
      </c>
      <c r="D31" s="30" t="str">
        <f>IF(B31="","",-SUMIF($AC12:$BA12,$L$3,$CE12:$DC12))</f>
        <v/>
      </c>
      <c r="E31" s="30" t="str">
        <f>IF(A31="","",0)</f>
        <v/>
      </c>
      <c r="F31" s="30" t="str">
        <f>IF(A31="","",0)</f>
        <v/>
      </c>
    </row>
    <row r="32" spans="1:8" x14ac:dyDescent="0.25">
      <c r="A32" s="13" t="str">
        <f>IF($B5="","",$B5)</f>
        <v/>
      </c>
      <c r="B32" s="22" t="str">
        <f t="shared" si="14"/>
        <v/>
      </c>
      <c r="C32" s="30" t="str">
        <f>IF(A32="","",0)</f>
        <v/>
      </c>
      <c r="D32" s="30" t="str">
        <f>IF(B32="","",-SUMIF($AC13:$BA13,$L$3,$CE13:$DC13))</f>
        <v/>
      </c>
      <c r="E32" s="30" t="str">
        <f>IF(A32="","",0)</f>
        <v/>
      </c>
      <c r="F32" s="30" t="str">
        <f>IF(A32="","",0)</f>
        <v/>
      </c>
    </row>
    <row r="33" spans="1:9" x14ac:dyDescent="0.25">
      <c r="A33" s="13" t="str">
        <f>IF($B6="","",$B6)</f>
        <v/>
      </c>
      <c r="B33" s="22" t="str">
        <f t="shared" si="14"/>
        <v/>
      </c>
      <c r="C33" s="30" t="str">
        <f>IF(A33="","",0)</f>
        <v/>
      </c>
      <c r="D33" s="30" t="str">
        <f>IF(B33="","",-SUMIF($AC14:$BA14,$L$3,$CE14:$DC14))</f>
        <v/>
      </c>
      <c r="E33" s="30" t="str">
        <f>IF(A33="","",0)</f>
        <v/>
      </c>
      <c r="F33" s="30" t="str">
        <f>IF(A33="","",0)</f>
        <v/>
      </c>
    </row>
    <row r="34" spans="1:9" x14ac:dyDescent="0.25">
      <c r="A34" s="13" t="str">
        <f>IF($B7="","",$B7)</f>
        <v/>
      </c>
      <c r="B34" s="22" t="str">
        <f t="shared" si="14"/>
        <v/>
      </c>
      <c r="C34" s="30" t="str">
        <f>IF(A34="","",0)</f>
        <v/>
      </c>
      <c r="D34" s="30" t="str">
        <f>IF(B34="","",-SUMIF($AC15:$BA15,$L$3,$CE15:$DC15))</f>
        <v/>
      </c>
      <c r="E34" s="30" t="str">
        <f>IF(A34="","",0)</f>
        <v/>
      </c>
      <c r="F34" s="30" t="str">
        <f>IF(A34="","",0)</f>
        <v/>
      </c>
    </row>
    <row r="35" spans="1:9" ht="21" x14ac:dyDescent="0.35">
      <c r="A35" s="74" t="s">
        <v>48</v>
      </c>
      <c r="B35" s="74"/>
      <c r="C35" s="74"/>
      <c r="D35" s="74"/>
      <c r="E35" s="74"/>
      <c r="F35" s="74"/>
      <c r="G35" s="74"/>
      <c r="H35" s="74"/>
    </row>
    <row r="36" spans="1:9" ht="10.5" customHeight="1" x14ac:dyDescent="0.25">
      <c r="A36" s="33"/>
      <c r="B36" s="33"/>
      <c r="C36" s="33"/>
      <c r="D36" s="33"/>
      <c r="E36" s="33"/>
      <c r="F36" s="33"/>
      <c r="G36" s="33"/>
      <c r="H36" s="33"/>
    </row>
    <row r="37" spans="1:9" ht="30" customHeight="1" x14ac:dyDescent="0.25">
      <c r="A37" s="23">
        <v>0</v>
      </c>
      <c r="B37" s="22">
        <f t="shared" ref="B37:B42" si="15">IF(A37="","",$L$3)</f>
        <v>0</v>
      </c>
      <c r="C37" s="30">
        <f>INV!E2+INV!F2</f>
        <v>0</v>
      </c>
      <c r="D37" s="30">
        <f>IF(B37="","",0)</f>
        <v>0</v>
      </c>
      <c r="E37" s="30">
        <f>IF(B37="","",IF(SUM(C37:D42)&gt;0,0,-SUM(C37:D42)))</f>
        <v>0</v>
      </c>
      <c r="F37" s="32">
        <f>IF(B37="","",SUM(C37:E42))</f>
        <v>0</v>
      </c>
      <c r="H37" s="34"/>
      <c r="I37" s="34"/>
    </row>
    <row r="38" spans="1:9" x14ac:dyDescent="0.25">
      <c r="A38" s="13" t="str">
        <f>IF($B3="","",$B3)</f>
        <v/>
      </c>
      <c r="B38" s="22" t="str">
        <f t="shared" si="15"/>
        <v/>
      </c>
      <c r="C38" s="30" t="str">
        <f>IF(A38="","",0)</f>
        <v/>
      </c>
      <c r="D38" s="30" t="str">
        <f>IF(B38="","",D30-D20)</f>
        <v/>
      </c>
      <c r="E38" s="30" t="str">
        <f>IF(A38="","",0)</f>
        <v/>
      </c>
      <c r="F38" s="30" t="str">
        <f>IF(A38="","",0)</f>
        <v/>
      </c>
    </row>
    <row r="39" spans="1:9" x14ac:dyDescent="0.25">
      <c r="A39" s="13" t="str">
        <f>IF($B4="","",$B4)</f>
        <v/>
      </c>
      <c r="B39" s="22" t="str">
        <f t="shared" si="15"/>
        <v/>
      </c>
      <c r="C39" s="30" t="str">
        <f>IF(A39="","",0)</f>
        <v/>
      </c>
      <c r="D39" s="30" t="str">
        <f>IF(B39="","",D31-D21)</f>
        <v/>
      </c>
      <c r="E39" s="30" t="str">
        <f>IF(A39="","",0)</f>
        <v/>
      </c>
      <c r="F39" s="30" t="str">
        <f>IF(A39="","",0)</f>
        <v/>
      </c>
    </row>
    <row r="40" spans="1:9" x14ac:dyDescent="0.25">
      <c r="A40" s="13" t="str">
        <f>IF($B5="","",$B5)</f>
        <v/>
      </c>
      <c r="B40" s="22" t="str">
        <f t="shared" si="15"/>
        <v/>
      </c>
      <c r="C40" s="30" t="str">
        <f>IF(A40="","",0)</f>
        <v/>
      </c>
      <c r="D40" s="30" t="str">
        <f>IF(B40="","",D32-D22)</f>
        <v/>
      </c>
      <c r="E40" s="30" t="str">
        <f>IF(A40="","",0)</f>
        <v/>
      </c>
      <c r="F40" s="30" t="str">
        <f>IF(A40="","",0)</f>
        <v/>
      </c>
    </row>
    <row r="41" spans="1:9" x14ac:dyDescent="0.25">
      <c r="A41" s="13" t="str">
        <f>IF($B6="","",$B6)</f>
        <v/>
      </c>
      <c r="B41" s="22" t="str">
        <f t="shared" si="15"/>
        <v/>
      </c>
      <c r="C41" s="30" t="str">
        <f>IF(B41="","",C33+$C$25)</f>
        <v/>
      </c>
      <c r="D41" s="30" t="str">
        <f>IF(B41="","",D33-D23)</f>
        <v/>
      </c>
      <c r="E41" s="30" t="str">
        <f>IF(A41="","",0)</f>
        <v/>
      </c>
      <c r="F41" s="30" t="str">
        <f>IF(A41="","",0)</f>
        <v/>
      </c>
    </row>
    <row r="42" spans="1:9" x14ac:dyDescent="0.25">
      <c r="A42" s="13" t="str">
        <f>IF($B7="","",$B7)</f>
        <v/>
      </c>
      <c r="B42" s="22" t="str">
        <f t="shared" si="15"/>
        <v/>
      </c>
      <c r="C42" s="30" t="str">
        <f>IF(B42="","",C34+$C$25)</f>
        <v/>
      </c>
      <c r="D42" s="30" t="str">
        <f>IF(B42="","",D34-D24)</f>
        <v/>
      </c>
      <c r="E42" s="30" t="str">
        <f>IF(A42="","",0)</f>
        <v/>
      </c>
      <c r="F42" s="30" t="str">
        <f>IF(A42="","",0)</f>
        <v/>
      </c>
    </row>
    <row r="43" spans="1:9" x14ac:dyDescent="0.25">
      <c r="A43" s="25"/>
      <c r="B43" s="35"/>
      <c r="C43" s="25"/>
      <c r="D43" s="25"/>
      <c r="E43" s="25"/>
      <c r="F43" s="25"/>
    </row>
    <row r="44" spans="1:9" ht="21" x14ac:dyDescent="0.35">
      <c r="A44" s="74" t="s">
        <v>49</v>
      </c>
      <c r="B44" s="74"/>
      <c r="C44" s="74"/>
      <c r="D44" s="74"/>
      <c r="E44" s="74"/>
      <c r="F44" s="74"/>
      <c r="G44" s="74"/>
      <c r="H44" s="74"/>
    </row>
    <row r="45" spans="1:9" x14ac:dyDescent="0.25">
      <c r="A45" s="18" t="s">
        <v>0</v>
      </c>
      <c r="B45" s="18" t="s">
        <v>50</v>
      </c>
      <c r="C45" s="18" t="s">
        <v>2</v>
      </c>
      <c r="D45" s="18" t="s">
        <v>51</v>
      </c>
      <c r="E45" s="18" t="s">
        <v>16</v>
      </c>
      <c r="F45" s="18" t="s">
        <v>3</v>
      </c>
      <c r="G45" s="28" t="s">
        <v>52</v>
      </c>
    </row>
    <row r="46" spans="1:9" x14ac:dyDescent="0.25">
      <c r="A46" s="22" t="str">
        <f>IF(D38=0,"",B38)</f>
        <v/>
      </c>
      <c r="B46" s="22" t="str">
        <f t="shared" ref="B46:B51" si="16">IF(A46="","",A46)</f>
        <v/>
      </c>
      <c r="C46" s="13" t="str">
        <f t="shared" ref="C46:C51" si="17">IF(A46="","",$H$3)</f>
        <v/>
      </c>
      <c r="D46" s="13" t="str">
        <f>IF(A46="","","Revenue")</f>
        <v/>
      </c>
      <c r="E46" s="30" t="str">
        <f>IF(D46="Revenue",D38,"")</f>
        <v/>
      </c>
      <c r="F46" s="13" t="str">
        <f>IF(A46="","",A38)</f>
        <v/>
      </c>
      <c r="G46" s="77" t="s">
        <v>35</v>
      </c>
    </row>
    <row r="47" spans="1:9" x14ac:dyDescent="0.25">
      <c r="A47" s="22" t="str">
        <f>IF(D39=0,"",B39)</f>
        <v/>
      </c>
      <c r="B47" s="22" t="str">
        <f t="shared" si="16"/>
        <v/>
      </c>
      <c r="C47" s="13" t="str">
        <f t="shared" si="17"/>
        <v/>
      </c>
      <c r="D47" s="13" t="str">
        <f>IF(A47="","","Revenue")</f>
        <v/>
      </c>
      <c r="E47" s="30" t="str">
        <f>IF(D47="Revenue",D39,"")</f>
        <v/>
      </c>
      <c r="F47" s="13" t="str">
        <f>IF(A47="","",A39)</f>
        <v/>
      </c>
      <c r="G47" s="77"/>
    </row>
    <row r="48" spans="1:9" x14ac:dyDescent="0.25">
      <c r="A48" s="22" t="str">
        <f>IF(D40=0,"",B40)</f>
        <v/>
      </c>
      <c r="B48" s="22" t="str">
        <f t="shared" si="16"/>
        <v/>
      </c>
      <c r="C48" s="13" t="str">
        <f t="shared" si="17"/>
        <v/>
      </c>
      <c r="D48" s="13" t="str">
        <f>IF(A48="","","Revenue")</f>
        <v/>
      </c>
      <c r="E48" s="30" t="str">
        <f>IF(D48="Revenue",D40,"")</f>
        <v/>
      </c>
      <c r="F48" s="13" t="str">
        <f>IF(A48="","",A40)</f>
        <v/>
      </c>
      <c r="G48" s="77"/>
    </row>
    <row r="49" spans="1:7" x14ac:dyDescent="0.25">
      <c r="A49" s="22" t="str">
        <f>IF(D41=0,"",B41)</f>
        <v/>
      </c>
      <c r="B49" s="22" t="str">
        <f t="shared" si="16"/>
        <v/>
      </c>
      <c r="C49" s="13" t="str">
        <f t="shared" si="17"/>
        <v/>
      </c>
      <c r="D49" s="13" t="str">
        <f>IF(A49="","","Revenue")</f>
        <v/>
      </c>
      <c r="E49" s="30" t="str">
        <f>IF(D49="Revenue",D41,"")</f>
        <v/>
      </c>
      <c r="F49" s="13" t="str">
        <f>IF(A49="","",A41)</f>
        <v/>
      </c>
      <c r="G49" s="77"/>
    </row>
    <row r="50" spans="1:7" x14ac:dyDescent="0.25">
      <c r="A50" s="22" t="str">
        <f>IF(D42=0,"",B42)</f>
        <v/>
      </c>
      <c r="B50" s="22" t="str">
        <f t="shared" si="16"/>
        <v/>
      </c>
      <c r="C50" s="13" t="str">
        <f t="shared" si="17"/>
        <v/>
      </c>
      <c r="D50" s="13" t="str">
        <f>IF(A50="","","Revenue")</f>
        <v/>
      </c>
      <c r="E50" s="30" t="str">
        <f>IF(D50="Revenue",D42,"")</f>
        <v/>
      </c>
      <c r="F50" s="13" t="str">
        <f>IF(A50="","",A42)</f>
        <v/>
      </c>
      <c r="G50" s="77"/>
    </row>
    <row r="51" spans="1:7" x14ac:dyDescent="0.25">
      <c r="A51" s="22" t="str">
        <f>IF(OR(E29&lt;&gt;0,E25&lt;&gt;0),L3,"")</f>
        <v/>
      </c>
      <c r="B51" s="22" t="str">
        <f t="shared" si="16"/>
        <v/>
      </c>
      <c r="C51" s="13" t="str">
        <f t="shared" si="17"/>
        <v/>
      </c>
      <c r="D51" s="13" t="str">
        <f>IF(A51="","","Unbilled_Charge")</f>
        <v/>
      </c>
      <c r="E51" s="30" t="str">
        <f>IF(A51="","",E29-E25)</f>
        <v/>
      </c>
      <c r="F51" s="13" t="str">
        <f>IF(A51="","",A37)</f>
        <v/>
      </c>
      <c r="G51" s="36" t="s">
        <v>53</v>
      </c>
    </row>
  </sheetData>
  <mergeCells count="11">
    <mergeCell ref="G46:G50"/>
    <mergeCell ref="DD1:DD15"/>
    <mergeCell ref="A17:H17"/>
    <mergeCell ref="A27:H27"/>
    <mergeCell ref="A35:H35"/>
    <mergeCell ref="A44:H44"/>
    <mergeCell ref="A1:I1"/>
    <mergeCell ref="J1:K1"/>
    <mergeCell ref="AA1:AA15"/>
    <mergeCell ref="BB1:BB15"/>
    <mergeCell ref="CC1:CC15"/>
  </mergeCells>
  <conditionalFormatting sqref="J3:K7">
    <cfRule type="cellIs" dxfId="0" priority="2" operator="equal">
      <formula>"Pass"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G14"/>
  <sheetViews>
    <sheetView zoomScaleNormal="100" workbookViewId="0">
      <selection activeCell="G13" sqref="G13"/>
    </sheetView>
  </sheetViews>
  <sheetFormatPr defaultColWidth="8.7109375" defaultRowHeight="15" customHeight="1" x14ac:dyDescent="0.25"/>
  <cols>
    <col min="1" max="1" width="28.85546875" customWidth="1"/>
    <col min="2" max="2" width="33.28515625" customWidth="1"/>
  </cols>
  <sheetData>
    <row r="1" spans="1:7" x14ac:dyDescent="0.25">
      <c r="A1" s="2" t="s">
        <v>54</v>
      </c>
      <c r="B1" s="2" t="s">
        <v>55</v>
      </c>
      <c r="C1" s="2" t="s">
        <v>56</v>
      </c>
      <c r="D1" s="2"/>
      <c r="E1" s="2" t="s">
        <v>57</v>
      </c>
    </row>
    <row r="2" spans="1:7" x14ac:dyDescent="0.25">
      <c r="A2" t="s">
        <v>58</v>
      </c>
      <c r="B2" t="s">
        <v>59</v>
      </c>
      <c r="C2" t="s">
        <v>60</v>
      </c>
      <c r="E2" t="s">
        <v>61</v>
      </c>
    </row>
    <row r="3" spans="1:7" x14ac:dyDescent="0.25">
      <c r="A3" t="s">
        <v>58</v>
      </c>
      <c r="B3" s="37" t="s">
        <v>40</v>
      </c>
      <c r="C3" t="s">
        <v>60</v>
      </c>
    </row>
    <row r="4" spans="1:7" x14ac:dyDescent="0.25">
      <c r="A4" t="s">
        <v>58</v>
      </c>
      <c r="B4" t="s">
        <v>62</v>
      </c>
      <c r="C4" t="s">
        <v>60</v>
      </c>
    </row>
    <row r="5" spans="1:7" x14ac:dyDescent="0.25">
      <c r="A5" t="s">
        <v>58</v>
      </c>
      <c r="B5" t="s">
        <v>63</v>
      </c>
      <c r="C5" t="s">
        <v>60</v>
      </c>
    </row>
    <row r="6" spans="1:7" x14ac:dyDescent="0.25">
      <c r="A6" t="s">
        <v>58</v>
      </c>
      <c r="B6" s="37" t="s">
        <v>64</v>
      </c>
      <c r="C6" t="s">
        <v>60</v>
      </c>
    </row>
    <row r="7" spans="1:7" x14ac:dyDescent="0.25">
      <c r="A7" t="s">
        <v>58</v>
      </c>
      <c r="B7" t="s">
        <v>65</v>
      </c>
      <c r="C7" t="s">
        <v>60</v>
      </c>
    </row>
    <row r="8" spans="1:7" x14ac:dyDescent="0.25">
      <c r="A8" t="s">
        <v>58</v>
      </c>
      <c r="B8" t="s">
        <v>66</v>
      </c>
      <c r="C8" t="s">
        <v>60</v>
      </c>
    </row>
    <row r="9" spans="1:7" x14ac:dyDescent="0.25">
      <c r="A9" t="s">
        <v>67</v>
      </c>
      <c r="B9" t="s">
        <v>68</v>
      </c>
      <c r="C9" t="s">
        <v>69</v>
      </c>
      <c r="E9" t="s">
        <v>61</v>
      </c>
    </row>
    <row r="10" spans="1:7" x14ac:dyDescent="0.25">
      <c r="A10" t="s">
        <v>67</v>
      </c>
      <c r="B10" t="s">
        <v>70</v>
      </c>
      <c r="C10" t="s">
        <v>69</v>
      </c>
    </row>
    <row r="11" spans="1:7" x14ac:dyDescent="0.25">
      <c r="A11" t="s">
        <v>67</v>
      </c>
      <c r="B11" t="s">
        <v>71</v>
      </c>
      <c r="C11" t="s">
        <v>69</v>
      </c>
    </row>
    <row r="12" spans="1:7" x14ac:dyDescent="0.25">
      <c r="A12" t="s">
        <v>67</v>
      </c>
      <c r="B12" t="s">
        <v>72</v>
      </c>
      <c r="C12" t="s">
        <v>69</v>
      </c>
    </row>
    <row r="13" spans="1:7" x14ac:dyDescent="0.25">
      <c r="A13" t="s">
        <v>73</v>
      </c>
      <c r="B13" t="s">
        <v>74</v>
      </c>
      <c r="C13" t="s">
        <v>75</v>
      </c>
      <c r="E13" t="s">
        <v>76</v>
      </c>
      <c r="G13" s="2" t="s">
        <v>77</v>
      </c>
    </row>
    <row r="14" spans="1:7" x14ac:dyDescent="0.25">
      <c r="A14" t="s">
        <v>73</v>
      </c>
      <c r="B14" t="s">
        <v>78</v>
      </c>
      <c r="C14" t="s">
        <v>75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F8"/>
  <sheetViews>
    <sheetView zoomScaleNormal="100" workbookViewId="0">
      <selection activeCell="D5" sqref="D5"/>
    </sheetView>
  </sheetViews>
  <sheetFormatPr defaultColWidth="8.7109375" defaultRowHeight="15" customHeight="1" x14ac:dyDescent="0.25"/>
  <cols>
    <col min="1" max="1" width="19.140625" style="38" customWidth="1"/>
    <col min="2" max="2" width="15.42578125" style="38" customWidth="1"/>
    <col min="3" max="3" width="12.5703125" style="38" customWidth="1"/>
    <col min="4" max="4" width="23.7109375" style="38" customWidth="1"/>
    <col min="5" max="5" width="23.140625" style="38" customWidth="1"/>
    <col min="6" max="6" width="10.85546875" style="38" customWidth="1"/>
    <col min="7" max="16384" width="8.7109375" style="38"/>
  </cols>
  <sheetData>
    <row r="1" spans="1:6" x14ac:dyDescent="0.25">
      <c r="A1" s="39" t="s">
        <v>0</v>
      </c>
      <c r="B1" s="39" t="s">
        <v>50</v>
      </c>
      <c r="C1" s="39" t="s">
        <v>2</v>
      </c>
      <c r="D1" s="39" t="s">
        <v>79</v>
      </c>
      <c r="E1" s="39" t="s">
        <v>16</v>
      </c>
      <c r="F1" s="39" t="s">
        <v>3</v>
      </c>
    </row>
    <row r="2" spans="1:6" x14ac:dyDescent="0.25">
      <c r="A2" s="40" t="str">
        <f>IF(RevRec_Calc!A46="","",RevRec_Calc!A46)</f>
        <v/>
      </c>
      <c r="B2" s="40" t="str">
        <f>IF(A2="","",RevRec_Calc!B46)</f>
        <v/>
      </c>
      <c r="C2" s="40" t="str">
        <f>IF(A2="","",RevRec_Calc!C46)</f>
        <v/>
      </c>
      <c r="D2" s="40" t="str">
        <f>IF(A2="","",RevRec_Calc!D46)</f>
        <v/>
      </c>
      <c r="E2" s="41" t="str">
        <f>IF(A2="","",RevRec_Calc!E46)</f>
        <v/>
      </c>
      <c r="F2" s="5" t="str">
        <f>IF(A2="","",RevRec_Calc!F46)</f>
        <v/>
      </c>
    </row>
    <row r="3" spans="1:6" x14ac:dyDescent="0.25">
      <c r="A3" s="40" t="str">
        <f>IF(RevRec_Calc!A47="","",RevRec_Calc!A47)</f>
        <v/>
      </c>
      <c r="B3" s="40" t="str">
        <f>IF(A3="","",RevRec_Calc!B47)</f>
        <v/>
      </c>
      <c r="C3" s="40" t="str">
        <f>IF(A3="","",RevRec_Calc!C47)</f>
        <v/>
      </c>
      <c r="D3" s="40" t="str">
        <f>IF(A3="","",RevRec_Calc!D47)</f>
        <v/>
      </c>
      <c r="E3" s="41" t="str">
        <f>IF(A3="","",RevRec_Calc!E47)</f>
        <v/>
      </c>
      <c r="F3" s="5" t="str">
        <f>IF(A3="","",RevRec_Calc!F47)</f>
        <v/>
      </c>
    </row>
    <row r="4" spans="1:6" x14ac:dyDescent="0.25">
      <c r="A4" s="40" t="str">
        <f>IF(RevRec_Calc!A48="","",RevRec_Calc!A48)</f>
        <v/>
      </c>
      <c r="B4" s="40" t="str">
        <f>IF(A4="","",RevRec_Calc!B48)</f>
        <v/>
      </c>
      <c r="C4" s="40" t="str">
        <f>IF(A4="","",RevRec_Calc!C48)</f>
        <v/>
      </c>
      <c r="D4" s="40" t="str">
        <f>IF(A4="","",RevRec_Calc!D48)</f>
        <v/>
      </c>
      <c r="E4" s="41" t="str">
        <f>IF(A4="","",RevRec_Calc!E48)</f>
        <v/>
      </c>
      <c r="F4" s="5" t="str">
        <f>IF(A4="","",RevRec_Calc!F48)</f>
        <v/>
      </c>
    </row>
    <row r="5" spans="1:6" x14ac:dyDescent="0.25">
      <c r="A5" s="40" t="str">
        <f>IF(RevRec_Calc!A49="","",RevRec_Calc!A49)</f>
        <v/>
      </c>
      <c r="B5" s="40" t="str">
        <f>IF(A5="","",RevRec_Calc!B49)</f>
        <v/>
      </c>
      <c r="C5" s="40" t="str">
        <f>IF(A5="","",RevRec_Calc!C49)</f>
        <v/>
      </c>
      <c r="D5" s="40" t="str">
        <f>IF(A5="","",RevRec_Calc!D49)</f>
        <v/>
      </c>
      <c r="E5" s="41" t="str">
        <f>IF(A5="","",RevRec_Calc!E49)</f>
        <v/>
      </c>
      <c r="F5" s="5" t="str">
        <f>IF(A5="","",RevRec_Calc!F49)</f>
        <v/>
      </c>
    </row>
    <row r="6" spans="1:6" x14ac:dyDescent="0.25">
      <c r="A6" s="40" t="str">
        <f>IF(RevRec_Calc!A50="","",RevRec_Calc!A50)</f>
        <v/>
      </c>
      <c r="B6" s="40" t="str">
        <f>IF(A6="","",RevRec_Calc!B50)</f>
        <v/>
      </c>
      <c r="C6" s="40" t="str">
        <f>IF(A6="","",RevRec_Calc!C50)</f>
        <v/>
      </c>
      <c r="D6" s="40" t="str">
        <f>IF(A6="","",RevRec_Calc!D50)</f>
        <v/>
      </c>
      <c r="E6" s="41" t="str">
        <f>IF(A6="","",RevRec_Calc!E50)</f>
        <v/>
      </c>
      <c r="F6" s="5" t="str">
        <f>IF(A6="","",RevRec_Calc!F50)</f>
        <v/>
      </c>
    </row>
    <row r="7" spans="1:6" x14ac:dyDescent="0.25">
      <c r="A7" s="40" t="str">
        <f>IF(RevRec_Calc!A51="","",RevRec_Calc!A51)</f>
        <v/>
      </c>
      <c r="B7" s="40" t="str">
        <f>IF(A7="","",RevRec_Calc!B51)</f>
        <v/>
      </c>
      <c r="C7" s="40" t="str">
        <f>IF(A7="","",RevRec_Calc!C51)</f>
        <v/>
      </c>
      <c r="D7" s="40" t="str">
        <f>IF(A7="","",RevRec_Calc!D51)</f>
        <v/>
      </c>
      <c r="E7" s="41" t="str">
        <f>IF(A7="","",RevRec_Calc!E51)</f>
        <v/>
      </c>
      <c r="F7" s="5" t="str">
        <f>IF(A7="","",RevRec_Calc!F51)</f>
        <v/>
      </c>
    </row>
    <row r="8" spans="1:6" x14ac:dyDescent="0.25">
      <c r="A8" s="40"/>
      <c r="B8" s="40"/>
      <c r="C8" s="40"/>
      <c r="D8" s="40"/>
      <c r="E8" s="41"/>
      <c r="F8" s="5"/>
    </row>
  </sheetData>
  <pageMargins left="0.7" right="0.7" top="0.75" bottom="0.75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Q105"/>
  <sheetViews>
    <sheetView topLeftCell="A29" zoomScaleNormal="100" workbookViewId="0">
      <selection activeCell="E34" sqref="E34"/>
    </sheetView>
  </sheetViews>
  <sheetFormatPr defaultColWidth="8.7109375" defaultRowHeight="15" customHeight="1" x14ac:dyDescent="0.25"/>
  <cols>
    <col min="1" max="1" width="11.7109375" customWidth="1"/>
    <col min="2" max="2" width="13.140625" customWidth="1"/>
    <col min="3" max="3" width="12.5703125" customWidth="1"/>
    <col min="4" max="4" width="10.85546875" customWidth="1"/>
    <col min="5" max="5" width="46.7109375" customWidth="1"/>
    <col min="6" max="6" width="45.5703125" customWidth="1"/>
    <col min="7" max="7" width="29.7109375" customWidth="1"/>
    <col min="8" max="8" width="52.140625" customWidth="1"/>
    <col min="9" max="9" width="30.42578125" customWidth="1"/>
    <col min="12" max="13" width="9.7109375" customWidth="1"/>
    <col min="16" max="16" width="18.7109375" customWidth="1"/>
  </cols>
  <sheetData>
    <row r="1" spans="1:17" ht="28.5" x14ac:dyDescent="0.45">
      <c r="A1" s="80">
        <v>44592</v>
      </c>
      <c r="B1" s="80"/>
      <c r="C1" s="80"/>
      <c r="D1" s="80"/>
      <c r="E1" s="80"/>
      <c r="F1" s="80"/>
      <c r="G1" s="80"/>
      <c r="H1" s="80"/>
      <c r="I1" s="80"/>
      <c r="L1" s="81" t="s">
        <v>80</v>
      </c>
      <c r="M1" s="81"/>
      <c r="N1" s="81"/>
      <c r="O1" s="81"/>
      <c r="P1" s="81"/>
      <c r="Q1" s="81"/>
    </row>
    <row r="2" spans="1:17" x14ac:dyDescent="0.25">
      <c r="A2" s="2" t="s">
        <v>60</v>
      </c>
    </row>
    <row r="3" spans="1:17" x14ac:dyDescent="0.25">
      <c r="A3" s="1" t="s">
        <v>0</v>
      </c>
      <c r="B3" s="2" t="s">
        <v>1</v>
      </c>
      <c r="C3" s="1" t="s">
        <v>2</v>
      </c>
      <c r="D3" s="1" t="s">
        <v>3</v>
      </c>
      <c r="E3" s="8" t="s">
        <v>81</v>
      </c>
      <c r="F3" s="8" t="s">
        <v>82</v>
      </c>
      <c r="G3" s="8" t="s">
        <v>83</v>
      </c>
      <c r="H3" s="8" t="s">
        <v>84</v>
      </c>
      <c r="I3" s="8" t="s">
        <v>85</v>
      </c>
      <c r="L3" s="42" t="s">
        <v>0</v>
      </c>
      <c r="M3" s="42" t="s">
        <v>50</v>
      </c>
      <c r="N3" s="42" t="s">
        <v>2</v>
      </c>
      <c r="O3" s="42" t="s">
        <v>79</v>
      </c>
      <c r="P3" s="42" t="s">
        <v>16</v>
      </c>
      <c r="Q3" s="42" t="s">
        <v>3</v>
      </c>
    </row>
    <row r="4" spans="1:17" x14ac:dyDescent="0.25">
      <c r="A4" s="4">
        <v>44592</v>
      </c>
      <c r="B4" s="4">
        <v>44592</v>
      </c>
      <c r="C4" t="s">
        <v>86</v>
      </c>
      <c r="D4" s="5">
        <v>0</v>
      </c>
      <c r="E4">
        <v>0</v>
      </c>
      <c r="F4" s="6"/>
      <c r="G4" s="6"/>
      <c r="H4" s="7"/>
      <c r="I4" s="7"/>
      <c r="L4" s="43">
        <v>44592</v>
      </c>
      <c r="M4" s="43">
        <v>44592</v>
      </c>
      <c r="N4" s="44" t="s">
        <v>86</v>
      </c>
      <c r="O4" s="44" t="s">
        <v>35</v>
      </c>
      <c r="P4" s="45">
        <v>-47.592954990215297</v>
      </c>
      <c r="Q4" s="44">
        <v>2</v>
      </c>
    </row>
    <row r="5" spans="1:17" x14ac:dyDescent="0.25">
      <c r="A5" s="4">
        <v>44592</v>
      </c>
      <c r="B5" s="4">
        <v>44592</v>
      </c>
      <c r="C5" t="s">
        <v>86</v>
      </c>
      <c r="D5" s="5">
        <v>1</v>
      </c>
      <c r="E5">
        <v>1</v>
      </c>
      <c r="F5" s="6">
        <v>44576</v>
      </c>
      <c r="G5" s="6">
        <v>44576</v>
      </c>
      <c r="H5" s="7">
        <v>-200</v>
      </c>
      <c r="I5" s="7">
        <v>1</v>
      </c>
      <c r="L5" s="43">
        <v>44592</v>
      </c>
      <c r="M5" s="43">
        <v>44592</v>
      </c>
      <c r="N5" s="44" t="s">
        <v>86</v>
      </c>
      <c r="O5" s="44" t="s">
        <v>35</v>
      </c>
      <c r="P5" s="45">
        <v>-271.42857142857099</v>
      </c>
      <c r="Q5" s="44">
        <v>3</v>
      </c>
    </row>
    <row r="6" spans="1:17" x14ac:dyDescent="0.25">
      <c r="A6" s="4">
        <v>44592</v>
      </c>
      <c r="B6" s="4">
        <v>44592</v>
      </c>
      <c r="C6" t="s">
        <v>86</v>
      </c>
      <c r="D6" s="5">
        <v>2</v>
      </c>
      <c r="E6">
        <v>2</v>
      </c>
      <c r="F6" s="6">
        <v>44576</v>
      </c>
      <c r="G6" s="6">
        <v>44941</v>
      </c>
      <c r="H6" s="7">
        <v>100</v>
      </c>
      <c r="I6" s="7">
        <v>12</v>
      </c>
      <c r="L6" s="43">
        <v>44592</v>
      </c>
      <c r="M6" s="43">
        <v>44592</v>
      </c>
      <c r="N6" s="44" t="s">
        <v>86</v>
      </c>
      <c r="O6" s="44" t="s">
        <v>35</v>
      </c>
      <c r="P6" s="45">
        <v>-23.796477495107599</v>
      </c>
      <c r="Q6" s="44">
        <v>4</v>
      </c>
    </row>
    <row r="7" spans="1:17" x14ac:dyDescent="0.25">
      <c r="A7" s="4">
        <v>44592</v>
      </c>
      <c r="B7" s="4">
        <v>44592</v>
      </c>
      <c r="C7" t="s">
        <v>86</v>
      </c>
      <c r="D7" s="5">
        <v>3</v>
      </c>
      <c r="E7">
        <v>3</v>
      </c>
      <c r="F7" s="6">
        <v>44576</v>
      </c>
      <c r="G7" s="6">
        <v>44576</v>
      </c>
      <c r="H7" s="7">
        <v>300</v>
      </c>
      <c r="I7" s="7">
        <v>1</v>
      </c>
      <c r="L7" s="43">
        <v>44592</v>
      </c>
      <c r="M7" s="43">
        <v>44592</v>
      </c>
      <c r="N7" s="44" t="s">
        <v>86</v>
      </c>
      <c r="O7" s="44" t="s">
        <v>53</v>
      </c>
      <c r="P7" s="45">
        <v>342.81800391389402</v>
      </c>
      <c r="Q7" s="44">
        <v>0</v>
      </c>
    </row>
    <row r="8" spans="1:17" x14ac:dyDescent="0.25">
      <c r="A8" s="4">
        <v>44592</v>
      </c>
      <c r="B8" s="4">
        <v>44592</v>
      </c>
      <c r="C8" t="s">
        <v>86</v>
      </c>
      <c r="D8" s="5">
        <v>4</v>
      </c>
      <c r="E8">
        <v>5</v>
      </c>
      <c r="F8" s="6">
        <v>44576</v>
      </c>
      <c r="G8" s="6">
        <v>44941</v>
      </c>
      <c r="H8" s="7">
        <v>50</v>
      </c>
      <c r="I8" s="7">
        <v>12</v>
      </c>
    </row>
    <row r="10" spans="1:17" x14ac:dyDescent="0.25">
      <c r="A10" s="2" t="s">
        <v>75</v>
      </c>
    </row>
    <row r="11" spans="1:17" x14ac:dyDescent="0.25">
      <c r="A11" s="1" t="s">
        <v>0</v>
      </c>
      <c r="B11" s="2" t="s">
        <v>1</v>
      </c>
      <c r="C11" s="1" t="s">
        <v>2</v>
      </c>
      <c r="D11" s="1" t="s">
        <v>3</v>
      </c>
      <c r="E11" s="3" t="s">
        <v>87</v>
      </c>
      <c r="F11" s="3" t="s">
        <v>88</v>
      </c>
    </row>
    <row r="13" spans="1:17" x14ac:dyDescent="0.25">
      <c r="A13" s="2" t="s">
        <v>69</v>
      </c>
    </row>
    <row r="14" spans="1:17" x14ac:dyDescent="0.25">
      <c r="A14" s="1" t="s">
        <v>0</v>
      </c>
      <c r="B14" s="2" t="s">
        <v>1</v>
      </c>
      <c r="C14" s="1" t="s">
        <v>2</v>
      </c>
      <c r="D14" s="1" t="s">
        <v>3</v>
      </c>
      <c r="E14" s="8" t="s">
        <v>89</v>
      </c>
      <c r="F14" s="8" t="s">
        <v>90</v>
      </c>
      <c r="G14" s="8" t="s">
        <v>91</v>
      </c>
      <c r="H14" s="8" t="s">
        <v>92</v>
      </c>
    </row>
    <row r="19" spans="1:17" ht="28.5" x14ac:dyDescent="0.45">
      <c r="A19" s="80">
        <v>44620</v>
      </c>
      <c r="B19" s="80"/>
      <c r="C19" s="80"/>
      <c r="D19" s="80"/>
      <c r="E19" s="80"/>
      <c r="F19" s="80"/>
      <c r="G19" s="80"/>
      <c r="H19" s="80"/>
      <c r="I19" s="80"/>
      <c r="L19" s="81" t="s">
        <v>80</v>
      </c>
      <c r="M19" s="81"/>
      <c r="N19" s="81"/>
      <c r="O19" s="81"/>
      <c r="P19" s="81"/>
      <c r="Q19" s="81"/>
    </row>
    <row r="20" spans="1:17" x14ac:dyDescent="0.25">
      <c r="A20" s="2" t="s">
        <v>60</v>
      </c>
    </row>
    <row r="21" spans="1:17" x14ac:dyDescent="0.25">
      <c r="A21" s="1" t="s">
        <v>0</v>
      </c>
      <c r="B21" s="2" t="s">
        <v>1</v>
      </c>
      <c r="C21" s="1" t="s">
        <v>2</v>
      </c>
      <c r="D21" s="1" t="s">
        <v>3</v>
      </c>
      <c r="E21" s="8" t="s">
        <v>81</v>
      </c>
      <c r="F21" s="8" t="s">
        <v>82</v>
      </c>
      <c r="G21" s="8" t="s">
        <v>83</v>
      </c>
      <c r="H21" s="8" t="s">
        <v>84</v>
      </c>
      <c r="I21" s="8" t="s">
        <v>85</v>
      </c>
      <c r="L21" s="42" t="s">
        <v>0</v>
      </c>
      <c r="M21" s="42" t="s">
        <v>50</v>
      </c>
      <c r="N21" s="42" t="s">
        <v>2</v>
      </c>
      <c r="O21" s="42" t="s">
        <v>79</v>
      </c>
      <c r="P21" s="42" t="s">
        <v>16</v>
      </c>
      <c r="Q21" s="42" t="s">
        <v>3</v>
      </c>
    </row>
    <row r="22" spans="1:17" x14ac:dyDescent="0.25">
      <c r="A22" s="4">
        <v>44592</v>
      </c>
      <c r="B22" s="4">
        <v>44592</v>
      </c>
      <c r="C22" t="s">
        <v>86</v>
      </c>
      <c r="D22" s="5">
        <v>0</v>
      </c>
      <c r="E22">
        <v>0</v>
      </c>
      <c r="F22" s="6"/>
      <c r="G22" s="6"/>
      <c r="H22" s="7"/>
      <c r="I22" s="7"/>
      <c r="L22" s="43">
        <v>44620</v>
      </c>
      <c r="M22" s="43">
        <v>44620</v>
      </c>
      <c r="N22" s="44" t="s">
        <v>86</v>
      </c>
      <c r="O22" s="44" t="s">
        <v>35</v>
      </c>
      <c r="P22" s="45">
        <v>-83.287671232876704</v>
      </c>
      <c r="Q22" s="44">
        <v>2</v>
      </c>
    </row>
    <row r="23" spans="1:17" x14ac:dyDescent="0.25">
      <c r="A23" s="4">
        <v>44592</v>
      </c>
      <c r="B23" s="4">
        <v>44592</v>
      </c>
      <c r="C23" t="s">
        <v>86</v>
      </c>
      <c r="D23" s="5">
        <v>1</v>
      </c>
      <c r="E23">
        <v>1</v>
      </c>
      <c r="F23" s="6">
        <v>44576</v>
      </c>
      <c r="G23" s="6">
        <v>44576</v>
      </c>
      <c r="H23" s="7">
        <v>-200</v>
      </c>
      <c r="I23" s="7">
        <v>1</v>
      </c>
      <c r="L23" s="43">
        <v>44620</v>
      </c>
      <c r="M23" s="43">
        <v>44620</v>
      </c>
      <c r="N23" s="44" t="s">
        <v>86</v>
      </c>
      <c r="O23" s="44" t="s">
        <v>35</v>
      </c>
      <c r="P23" s="45">
        <v>-3.97903932025656E-13</v>
      </c>
      <c r="Q23" s="44">
        <v>3</v>
      </c>
    </row>
    <row r="24" spans="1:17" x14ac:dyDescent="0.25">
      <c r="A24" s="4">
        <v>44592</v>
      </c>
      <c r="B24" s="4">
        <v>44592</v>
      </c>
      <c r="C24" t="s">
        <v>86</v>
      </c>
      <c r="D24" s="5">
        <v>2</v>
      </c>
      <c r="E24">
        <v>2</v>
      </c>
      <c r="F24" s="6">
        <v>44576</v>
      </c>
      <c r="G24" s="6">
        <v>44941</v>
      </c>
      <c r="H24" s="7">
        <v>100</v>
      </c>
      <c r="I24" s="7">
        <v>12</v>
      </c>
      <c r="L24" s="43">
        <v>44620</v>
      </c>
      <c r="M24" s="43">
        <v>44620</v>
      </c>
      <c r="N24" s="44" t="s">
        <v>86</v>
      </c>
      <c r="O24" s="44" t="s">
        <v>35</v>
      </c>
      <c r="P24" s="45">
        <v>-41.643835616438402</v>
      </c>
      <c r="Q24" s="44">
        <v>4</v>
      </c>
    </row>
    <row r="25" spans="1:17" x14ac:dyDescent="0.25">
      <c r="A25" s="4">
        <v>44592</v>
      </c>
      <c r="B25" s="4">
        <v>44592</v>
      </c>
      <c r="C25" t="s">
        <v>86</v>
      </c>
      <c r="D25" s="5">
        <v>3</v>
      </c>
      <c r="E25">
        <v>3</v>
      </c>
      <c r="F25" s="6">
        <v>44576</v>
      </c>
      <c r="G25" s="6">
        <v>44576</v>
      </c>
      <c r="H25" s="7">
        <v>300</v>
      </c>
      <c r="I25" s="7">
        <v>1</v>
      </c>
      <c r="L25" s="43">
        <v>44620</v>
      </c>
      <c r="M25" s="43">
        <v>44620</v>
      </c>
      <c r="N25" s="44" t="s">
        <v>86</v>
      </c>
      <c r="O25" s="44" t="s">
        <v>53</v>
      </c>
      <c r="P25" s="45">
        <v>-342.81800391389402</v>
      </c>
      <c r="Q25" s="44">
        <v>0</v>
      </c>
    </row>
    <row r="26" spans="1:17" x14ac:dyDescent="0.25">
      <c r="A26" s="4">
        <v>44592</v>
      </c>
      <c r="B26" s="4">
        <v>44592</v>
      </c>
      <c r="C26" t="s">
        <v>86</v>
      </c>
      <c r="D26" s="5">
        <v>4</v>
      </c>
      <c r="E26">
        <v>5</v>
      </c>
      <c r="F26" s="6">
        <v>44576</v>
      </c>
      <c r="G26" s="6">
        <v>44941</v>
      </c>
      <c r="H26" s="7">
        <v>50</v>
      </c>
      <c r="I26" s="7">
        <v>12</v>
      </c>
    </row>
    <row r="28" spans="1:17" x14ac:dyDescent="0.25">
      <c r="A28" s="2" t="s">
        <v>75</v>
      </c>
    </row>
    <row r="29" spans="1:17" x14ac:dyDescent="0.25">
      <c r="A29" s="1" t="s">
        <v>0</v>
      </c>
      <c r="B29" s="2" t="s">
        <v>1</v>
      </c>
      <c r="C29" s="1" t="s">
        <v>2</v>
      </c>
      <c r="D29" s="1" t="s">
        <v>3</v>
      </c>
      <c r="E29" s="3" t="s">
        <v>87</v>
      </c>
      <c r="F29" s="3" t="s">
        <v>88</v>
      </c>
    </row>
    <row r="30" spans="1:17" x14ac:dyDescent="0.25">
      <c r="A30" s="4">
        <v>44620</v>
      </c>
      <c r="B30" s="4">
        <v>44620</v>
      </c>
      <c r="C30" t="s">
        <v>86</v>
      </c>
      <c r="D30">
        <v>0</v>
      </c>
      <c r="E30">
        <v>1900</v>
      </c>
      <c r="F30">
        <v>0</v>
      </c>
    </row>
    <row r="32" spans="1:17" x14ac:dyDescent="0.25">
      <c r="A32" s="2" t="s">
        <v>69</v>
      </c>
    </row>
    <row r="33" spans="1:17" x14ac:dyDescent="0.25">
      <c r="A33" s="1" t="s">
        <v>0</v>
      </c>
      <c r="B33" s="2" t="s">
        <v>1</v>
      </c>
      <c r="C33" s="1" t="s">
        <v>2</v>
      </c>
      <c r="D33" s="1" t="s">
        <v>3</v>
      </c>
      <c r="E33" s="8" t="s">
        <v>89</v>
      </c>
      <c r="F33" s="8" t="s">
        <v>90</v>
      </c>
      <c r="G33" s="8" t="s">
        <v>91</v>
      </c>
      <c r="H33" s="8" t="s">
        <v>92</v>
      </c>
    </row>
    <row r="34" spans="1:17" x14ac:dyDescent="0.25">
      <c r="A34" s="4">
        <v>44620</v>
      </c>
      <c r="B34" s="4">
        <v>44620</v>
      </c>
      <c r="C34" t="s">
        <v>86</v>
      </c>
      <c r="D34">
        <v>0</v>
      </c>
      <c r="E34" s="71">
        <v>1900</v>
      </c>
      <c r="F34" s="9">
        <v>342.81800391389402</v>
      </c>
      <c r="G34" s="9">
        <v>0</v>
      </c>
      <c r="H34">
        <v>342.81799999999998</v>
      </c>
    </row>
    <row r="35" spans="1:17" x14ac:dyDescent="0.25">
      <c r="A35" s="4">
        <v>44620</v>
      </c>
      <c r="B35" s="4">
        <v>44620</v>
      </c>
      <c r="C35" t="s">
        <v>86</v>
      </c>
      <c r="D35">
        <v>1</v>
      </c>
      <c r="E35" s="9">
        <v>0</v>
      </c>
      <c r="F35" s="9">
        <v>0</v>
      </c>
      <c r="G35" s="9">
        <v>0</v>
      </c>
      <c r="H35" s="9">
        <v>0</v>
      </c>
    </row>
    <row r="36" spans="1:17" x14ac:dyDescent="0.25">
      <c r="A36" s="4">
        <v>44620</v>
      </c>
      <c r="B36" s="4">
        <v>44620</v>
      </c>
      <c r="C36" t="s">
        <v>86</v>
      </c>
      <c r="D36">
        <v>2</v>
      </c>
      <c r="E36" s="9">
        <v>0</v>
      </c>
      <c r="F36" s="9">
        <v>0</v>
      </c>
      <c r="G36" s="9">
        <v>-47.592954990215297</v>
      </c>
      <c r="H36">
        <v>-47.593000000000004</v>
      </c>
    </row>
    <row r="37" spans="1:17" x14ac:dyDescent="0.25">
      <c r="A37" s="4">
        <v>44620</v>
      </c>
      <c r="B37" s="4">
        <v>44620</v>
      </c>
      <c r="C37" t="s">
        <v>86</v>
      </c>
      <c r="D37">
        <v>3</v>
      </c>
      <c r="E37" s="9">
        <v>0</v>
      </c>
      <c r="F37" s="9">
        <v>0</v>
      </c>
      <c r="G37" s="9">
        <v>-271.42857142857099</v>
      </c>
      <c r="H37">
        <v>-271.42860000000002</v>
      </c>
    </row>
    <row r="38" spans="1:17" x14ac:dyDescent="0.25">
      <c r="A38" s="4">
        <v>44620</v>
      </c>
      <c r="B38" s="4">
        <v>44620</v>
      </c>
      <c r="C38" t="s">
        <v>86</v>
      </c>
      <c r="D38">
        <v>4</v>
      </c>
      <c r="E38" s="9">
        <v>0</v>
      </c>
      <c r="F38" s="9">
        <v>0</v>
      </c>
      <c r="G38" s="9">
        <v>-23.796477495107599</v>
      </c>
      <c r="H38">
        <v>-23.796500000000002</v>
      </c>
    </row>
    <row r="41" spans="1:17" ht="28.5" x14ac:dyDescent="0.45">
      <c r="A41" s="80">
        <v>44651</v>
      </c>
      <c r="B41" s="80"/>
      <c r="C41" s="80"/>
      <c r="D41" s="80"/>
      <c r="E41" s="80"/>
      <c r="F41" s="80"/>
      <c r="G41" s="80"/>
      <c r="H41" s="80"/>
      <c r="I41" s="80"/>
      <c r="L41" s="81" t="s">
        <v>80</v>
      </c>
      <c r="M41" s="81"/>
      <c r="N41" s="81"/>
      <c r="O41" s="81"/>
      <c r="P41" s="81"/>
      <c r="Q41" s="81"/>
    </row>
    <row r="43" spans="1:17" x14ac:dyDescent="0.25">
      <c r="A43" s="1" t="s">
        <v>0</v>
      </c>
      <c r="B43" s="2" t="s">
        <v>1</v>
      </c>
      <c r="C43" s="1" t="s">
        <v>2</v>
      </c>
      <c r="D43" s="1" t="s">
        <v>3</v>
      </c>
      <c r="E43" s="8" t="s">
        <v>81</v>
      </c>
      <c r="F43" s="8" t="s">
        <v>82</v>
      </c>
      <c r="G43" s="8" t="s">
        <v>83</v>
      </c>
      <c r="H43" s="8" t="s">
        <v>84</v>
      </c>
      <c r="I43" s="8" t="s">
        <v>85</v>
      </c>
      <c r="L43" s="42" t="s">
        <v>0</v>
      </c>
      <c r="M43" s="42" t="s">
        <v>50</v>
      </c>
      <c r="N43" s="42" t="s">
        <v>2</v>
      </c>
      <c r="O43" s="42" t="s">
        <v>79</v>
      </c>
      <c r="P43" s="42" t="s">
        <v>16</v>
      </c>
      <c r="Q43" s="42" t="s">
        <v>3</v>
      </c>
    </row>
    <row r="44" spans="1:17" x14ac:dyDescent="0.25">
      <c r="A44" s="4">
        <v>44592</v>
      </c>
      <c r="B44" s="4">
        <v>44592</v>
      </c>
      <c r="C44" t="s">
        <v>86</v>
      </c>
      <c r="D44" s="5">
        <v>0</v>
      </c>
      <c r="E44">
        <v>0</v>
      </c>
      <c r="F44" s="6"/>
      <c r="G44" s="6"/>
      <c r="H44" s="7"/>
      <c r="I44" s="7"/>
      <c r="L44" s="43">
        <v>44651</v>
      </c>
      <c r="M44" s="43">
        <v>44651</v>
      </c>
      <c r="N44" s="44" t="s">
        <v>86</v>
      </c>
      <c r="O44" s="44" t="s">
        <v>35</v>
      </c>
      <c r="P44" s="45">
        <v>-92.211376516634004</v>
      </c>
      <c r="Q44" s="44">
        <v>2</v>
      </c>
    </row>
    <row r="45" spans="1:17" x14ac:dyDescent="0.25">
      <c r="A45" s="4">
        <v>44592</v>
      </c>
      <c r="B45" s="4">
        <v>44592</v>
      </c>
      <c r="C45" t="s">
        <v>86</v>
      </c>
      <c r="D45" s="5">
        <v>1</v>
      </c>
      <c r="E45">
        <v>1</v>
      </c>
      <c r="F45" s="6">
        <v>44576</v>
      </c>
      <c r="G45" s="6">
        <v>44576</v>
      </c>
      <c r="H45" s="7">
        <v>-200</v>
      </c>
      <c r="I45" s="7">
        <v>1</v>
      </c>
      <c r="L45" s="43">
        <v>44651</v>
      </c>
      <c r="M45" s="43">
        <v>44651</v>
      </c>
      <c r="N45" s="44" t="s">
        <v>86</v>
      </c>
      <c r="O45" s="44" t="s">
        <v>35</v>
      </c>
      <c r="P45" s="45">
        <v>2.8571428629220501E-5</v>
      </c>
      <c r="Q45" s="44">
        <v>3</v>
      </c>
    </row>
    <row r="46" spans="1:17" x14ac:dyDescent="0.25">
      <c r="A46" s="4">
        <v>44592</v>
      </c>
      <c r="B46" s="4">
        <v>44592</v>
      </c>
      <c r="C46" t="s">
        <v>86</v>
      </c>
      <c r="D46" s="5">
        <v>2</v>
      </c>
      <c r="E46">
        <v>2</v>
      </c>
      <c r="F46" s="6">
        <v>44576</v>
      </c>
      <c r="G46" s="6">
        <v>44941</v>
      </c>
      <c r="H46" s="7">
        <v>100</v>
      </c>
      <c r="I46" s="7">
        <v>12</v>
      </c>
      <c r="L46" s="43">
        <v>44651</v>
      </c>
      <c r="M46" s="43">
        <v>44651</v>
      </c>
      <c r="N46" s="44" t="s">
        <v>86</v>
      </c>
      <c r="O46" s="44" t="s">
        <v>35</v>
      </c>
      <c r="P46" s="45">
        <v>-46.105688258317002</v>
      </c>
      <c r="Q46" s="44">
        <v>4</v>
      </c>
    </row>
    <row r="47" spans="1:17" x14ac:dyDescent="0.25">
      <c r="A47" s="4">
        <v>44592</v>
      </c>
      <c r="B47" s="4">
        <v>44592</v>
      </c>
      <c r="C47" t="s">
        <v>86</v>
      </c>
      <c r="D47" s="5">
        <v>3</v>
      </c>
      <c r="E47">
        <v>3</v>
      </c>
      <c r="F47" s="6">
        <v>44576</v>
      </c>
      <c r="G47" s="6">
        <v>44576</v>
      </c>
      <c r="H47" s="7">
        <v>300</v>
      </c>
      <c r="I47" s="7">
        <v>1</v>
      </c>
    </row>
    <row r="48" spans="1:17" x14ac:dyDescent="0.25">
      <c r="A48" s="4">
        <v>44592</v>
      </c>
      <c r="B48" s="4">
        <v>44592</v>
      </c>
      <c r="C48" t="s">
        <v>86</v>
      </c>
      <c r="D48" s="5">
        <v>4</v>
      </c>
      <c r="E48">
        <v>5</v>
      </c>
      <c r="F48" s="6">
        <v>44576</v>
      </c>
      <c r="G48" s="6">
        <v>44941</v>
      </c>
      <c r="H48" s="7">
        <v>50</v>
      </c>
      <c r="I48" s="7">
        <v>12</v>
      </c>
    </row>
    <row r="50" spans="1:17" x14ac:dyDescent="0.25">
      <c r="A50" s="2" t="s">
        <v>75</v>
      </c>
    </row>
    <row r="51" spans="1:17" x14ac:dyDescent="0.25">
      <c r="A51" s="1" t="s">
        <v>0</v>
      </c>
      <c r="B51" s="2" t="s">
        <v>1</v>
      </c>
      <c r="C51" s="1" t="s">
        <v>2</v>
      </c>
      <c r="D51" s="1" t="s">
        <v>3</v>
      </c>
      <c r="E51" s="3" t="s">
        <v>87</v>
      </c>
      <c r="F51" s="3" t="s">
        <v>88</v>
      </c>
    </row>
    <row r="53" spans="1:17" x14ac:dyDescent="0.25">
      <c r="A53" s="2" t="s">
        <v>69</v>
      </c>
    </row>
    <row r="54" spans="1:17" x14ac:dyDescent="0.25">
      <c r="A54" s="1" t="s">
        <v>0</v>
      </c>
      <c r="B54" s="2" t="s">
        <v>1</v>
      </c>
      <c r="C54" s="1" t="s">
        <v>2</v>
      </c>
      <c r="D54" s="1" t="s">
        <v>3</v>
      </c>
      <c r="E54" s="8" t="s">
        <v>89</v>
      </c>
      <c r="F54" s="8" t="s">
        <v>90</v>
      </c>
      <c r="G54" s="8" t="s">
        <v>91</v>
      </c>
      <c r="H54" s="8" t="s">
        <v>92</v>
      </c>
    </row>
    <row r="55" spans="1:17" x14ac:dyDescent="0.25">
      <c r="A55" s="4">
        <v>44651</v>
      </c>
      <c r="B55" s="4">
        <v>44651</v>
      </c>
      <c r="C55" t="s">
        <v>86</v>
      </c>
      <c r="D55">
        <v>0</v>
      </c>
      <c r="E55" s="9">
        <v>1900</v>
      </c>
      <c r="F55" s="9">
        <v>0</v>
      </c>
      <c r="G55" s="9">
        <v>0</v>
      </c>
      <c r="H55">
        <v>1900</v>
      </c>
    </row>
    <row r="56" spans="1:17" x14ac:dyDescent="0.25">
      <c r="A56" s="4">
        <v>44651</v>
      </c>
      <c r="B56" s="4">
        <v>44651</v>
      </c>
      <c r="C56" t="s">
        <v>86</v>
      </c>
      <c r="D56">
        <v>1</v>
      </c>
      <c r="E56" s="9">
        <v>0</v>
      </c>
      <c r="F56" s="9">
        <v>0</v>
      </c>
      <c r="G56" s="9">
        <v>0</v>
      </c>
      <c r="H56" s="9">
        <v>0</v>
      </c>
    </row>
    <row r="57" spans="1:17" x14ac:dyDescent="0.25">
      <c r="A57" s="4">
        <v>44651</v>
      </c>
      <c r="B57" s="4">
        <v>44651</v>
      </c>
      <c r="C57" t="s">
        <v>86</v>
      </c>
      <c r="D57">
        <v>2</v>
      </c>
      <c r="E57" s="9">
        <v>0</v>
      </c>
      <c r="F57" s="9">
        <v>0</v>
      </c>
      <c r="G57" s="9">
        <v>-130.88059999999999</v>
      </c>
      <c r="H57">
        <v>-130.88059999999999</v>
      </c>
    </row>
    <row r="58" spans="1:17" x14ac:dyDescent="0.25">
      <c r="A58" s="4">
        <v>44651</v>
      </c>
      <c r="B58" s="4">
        <v>44651</v>
      </c>
      <c r="C58" t="s">
        <v>86</v>
      </c>
      <c r="D58">
        <v>3</v>
      </c>
      <c r="E58" s="9">
        <v>0</v>
      </c>
      <c r="F58" s="9">
        <v>0</v>
      </c>
      <c r="G58" s="9">
        <v>-271.42860000000002</v>
      </c>
      <c r="H58">
        <v>-271.42860000000002</v>
      </c>
    </row>
    <row r="59" spans="1:17" x14ac:dyDescent="0.25">
      <c r="A59" s="4">
        <v>44651</v>
      </c>
      <c r="B59" s="4">
        <v>44651</v>
      </c>
      <c r="C59" t="s">
        <v>86</v>
      </c>
      <c r="D59">
        <v>4</v>
      </c>
      <c r="E59" s="9">
        <v>0</v>
      </c>
      <c r="F59" s="9">
        <v>0</v>
      </c>
      <c r="G59" s="9">
        <v>-65.440299999999993</v>
      </c>
      <c r="H59">
        <v>-65.440299999999993</v>
      </c>
    </row>
    <row r="62" spans="1:17" ht="28.5" x14ac:dyDescent="0.45">
      <c r="A62" s="80">
        <v>44681</v>
      </c>
      <c r="B62" s="80"/>
      <c r="C62" s="80"/>
      <c r="D62" s="80"/>
      <c r="E62" s="80"/>
      <c r="F62" s="80"/>
      <c r="G62" s="80"/>
      <c r="H62" s="80"/>
      <c r="I62" s="80"/>
      <c r="L62" s="81" t="s">
        <v>80</v>
      </c>
      <c r="M62" s="81"/>
      <c r="N62" s="81"/>
      <c r="O62" s="81"/>
      <c r="P62" s="81"/>
      <c r="Q62" s="81"/>
    </row>
    <row r="64" spans="1:17" x14ac:dyDescent="0.25">
      <c r="A64" s="2" t="s">
        <v>60</v>
      </c>
    </row>
    <row r="65" spans="1:17" x14ac:dyDescent="0.25">
      <c r="A65" s="1" t="s">
        <v>0</v>
      </c>
      <c r="B65" s="2" t="s">
        <v>1</v>
      </c>
      <c r="C65" s="1" t="s">
        <v>2</v>
      </c>
      <c r="D65" s="1" t="s">
        <v>3</v>
      </c>
      <c r="E65" s="8" t="s">
        <v>81</v>
      </c>
      <c r="F65" s="8" t="s">
        <v>82</v>
      </c>
      <c r="G65" s="8" t="s">
        <v>83</v>
      </c>
      <c r="H65" s="8" t="s">
        <v>84</v>
      </c>
      <c r="I65" s="8" t="s">
        <v>85</v>
      </c>
      <c r="L65" s="42" t="s">
        <v>0</v>
      </c>
      <c r="M65" s="42" t="s">
        <v>50</v>
      </c>
      <c r="N65" s="42" t="s">
        <v>2</v>
      </c>
      <c r="O65" s="42" t="s">
        <v>79</v>
      </c>
      <c r="P65" s="42" t="s">
        <v>16</v>
      </c>
      <c r="Q65" s="42" t="s">
        <v>3</v>
      </c>
    </row>
    <row r="66" spans="1:17" x14ac:dyDescent="0.25">
      <c r="A66" s="4">
        <v>44681</v>
      </c>
      <c r="B66" s="4">
        <v>44592</v>
      </c>
      <c r="C66" t="s">
        <v>86</v>
      </c>
      <c r="D66" s="5">
        <v>0</v>
      </c>
      <c r="E66">
        <v>0</v>
      </c>
      <c r="F66" s="6"/>
      <c r="G66" s="6"/>
      <c r="H66" s="7"/>
      <c r="I66" s="7"/>
      <c r="L66" s="43">
        <v>44681</v>
      </c>
      <c r="M66" s="43">
        <v>44681</v>
      </c>
      <c r="N66" s="44" t="s">
        <v>86</v>
      </c>
      <c r="O66" s="44" t="s">
        <v>35</v>
      </c>
      <c r="P66" s="45">
        <v>-96.542703196347006</v>
      </c>
      <c r="Q66" s="44">
        <v>2</v>
      </c>
    </row>
    <row r="67" spans="1:17" x14ac:dyDescent="0.25">
      <c r="A67" s="4">
        <v>44681</v>
      </c>
      <c r="B67" s="4">
        <v>44592</v>
      </c>
      <c r="C67" t="s">
        <v>86</v>
      </c>
      <c r="D67" s="5">
        <v>1</v>
      </c>
      <c r="E67">
        <v>1</v>
      </c>
      <c r="F67" s="6">
        <v>44576</v>
      </c>
      <c r="G67" s="6">
        <v>44576</v>
      </c>
      <c r="H67" s="7">
        <v>-200</v>
      </c>
      <c r="I67" s="7">
        <v>1</v>
      </c>
      <c r="L67" s="43">
        <v>44681</v>
      </c>
      <c r="M67" s="43">
        <v>44681</v>
      </c>
      <c r="N67" s="44" t="s">
        <v>86</v>
      </c>
      <c r="O67" s="44" t="s">
        <v>35</v>
      </c>
      <c r="P67" s="45">
        <v>-6.3491777777777498</v>
      </c>
      <c r="Q67" s="44">
        <v>3</v>
      </c>
    </row>
    <row r="68" spans="1:17" x14ac:dyDescent="0.25">
      <c r="A68" s="4">
        <v>44681</v>
      </c>
      <c r="B68" s="4">
        <v>44592</v>
      </c>
      <c r="C68" t="s">
        <v>86</v>
      </c>
      <c r="D68" s="5">
        <v>2</v>
      </c>
      <c r="E68">
        <v>2</v>
      </c>
      <c r="F68" s="6">
        <v>44576</v>
      </c>
      <c r="G68" s="6">
        <v>44941</v>
      </c>
      <c r="H68" s="7">
        <v>100</v>
      </c>
      <c r="I68" s="7">
        <v>12</v>
      </c>
      <c r="L68" s="43">
        <v>44681</v>
      </c>
      <c r="M68" s="43">
        <v>44681</v>
      </c>
      <c r="N68" s="44" t="s">
        <v>86</v>
      </c>
      <c r="O68" s="44" t="s">
        <v>35</v>
      </c>
      <c r="P68" s="45">
        <v>-208.08870319634701</v>
      </c>
      <c r="Q68" s="44">
        <v>4</v>
      </c>
    </row>
    <row r="69" spans="1:17" x14ac:dyDescent="0.25">
      <c r="A69" s="4">
        <v>44681</v>
      </c>
      <c r="B69" s="4">
        <v>44592</v>
      </c>
      <c r="C69" t="s">
        <v>86</v>
      </c>
      <c r="D69" s="5">
        <v>3</v>
      </c>
      <c r="E69">
        <v>3</v>
      </c>
      <c r="F69" s="6">
        <v>44576</v>
      </c>
      <c r="G69" s="6">
        <v>44576</v>
      </c>
      <c r="H69" s="7">
        <v>300</v>
      </c>
      <c r="I69" s="7">
        <v>1</v>
      </c>
    </row>
    <row r="70" spans="1:17" x14ac:dyDescent="0.25">
      <c r="A70" s="4">
        <v>44681</v>
      </c>
      <c r="B70" s="4">
        <v>44592</v>
      </c>
      <c r="C70" t="s">
        <v>86</v>
      </c>
      <c r="D70" s="5">
        <v>4</v>
      </c>
      <c r="E70">
        <v>5</v>
      </c>
      <c r="F70" s="6">
        <v>44576</v>
      </c>
      <c r="G70" s="6">
        <v>44941</v>
      </c>
      <c r="H70" s="7">
        <v>50</v>
      </c>
      <c r="I70" s="7">
        <v>24</v>
      </c>
    </row>
    <row r="73" spans="1:17" x14ac:dyDescent="0.25">
      <c r="A73" s="2" t="s">
        <v>75</v>
      </c>
    </row>
    <row r="74" spans="1:17" x14ac:dyDescent="0.25">
      <c r="A74" s="1" t="s">
        <v>0</v>
      </c>
      <c r="B74" s="2" t="s">
        <v>1</v>
      </c>
      <c r="C74" s="1" t="s">
        <v>2</v>
      </c>
      <c r="D74" s="1" t="s">
        <v>3</v>
      </c>
      <c r="E74" s="3" t="s">
        <v>87</v>
      </c>
      <c r="F74" s="3" t="s">
        <v>88</v>
      </c>
    </row>
    <row r="75" spans="1:17" x14ac:dyDescent="0.25">
      <c r="A75" s="1"/>
      <c r="B75" s="2"/>
      <c r="C75" s="1"/>
      <c r="D75" s="1"/>
      <c r="E75" s="1"/>
      <c r="F75" s="1"/>
    </row>
    <row r="76" spans="1:17" x14ac:dyDescent="0.25">
      <c r="A76" s="2" t="s">
        <v>69</v>
      </c>
    </row>
    <row r="77" spans="1:17" x14ac:dyDescent="0.25">
      <c r="A77" s="1" t="s">
        <v>0</v>
      </c>
      <c r="B77" s="2" t="s">
        <v>1</v>
      </c>
      <c r="C77" s="1" t="s">
        <v>2</v>
      </c>
      <c r="D77" s="1" t="s">
        <v>3</v>
      </c>
      <c r="E77" s="8" t="s">
        <v>89</v>
      </c>
      <c r="F77" s="8" t="s">
        <v>90</v>
      </c>
      <c r="G77" s="8" t="s">
        <v>91</v>
      </c>
      <c r="H77" s="8" t="s">
        <v>92</v>
      </c>
    </row>
    <row r="78" spans="1:17" x14ac:dyDescent="0.25">
      <c r="A78" s="4">
        <v>44681</v>
      </c>
      <c r="B78" s="4">
        <v>44681</v>
      </c>
      <c r="C78" t="s">
        <v>86</v>
      </c>
      <c r="D78">
        <v>0</v>
      </c>
      <c r="E78" s="9">
        <v>1900</v>
      </c>
      <c r="F78" s="9">
        <v>0</v>
      </c>
      <c r="G78" s="9">
        <v>0</v>
      </c>
      <c r="H78">
        <v>1900</v>
      </c>
    </row>
    <row r="79" spans="1:17" x14ac:dyDescent="0.25">
      <c r="A79" s="4">
        <v>44681</v>
      </c>
      <c r="B79" s="4">
        <v>44681</v>
      </c>
      <c r="C79" t="s">
        <v>86</v>
      </c>
      <c r="D79">
        <v>1</v>
      </c>
      <c r="E79" s="9">
        <v>0</v>
      </c>
      <c r="F79" s="9">
        <v>0</v>
      </c>
      <c r="G79" s="9">
        <v>0</v>
      </c>
      <c r="H79" s="9">
        <v>0</v>
      </c>
    </row>
    <row r="80" spans="1:17" x14ac:dyDescent="0.25">
      <c r="A80" s="4">
        <v>44681</v>
      </c>
      <c r="B80" s="4">
        <v>44681</v>
      </c>
      <c r="C80" t="s">
        <v>86</v>
      </c>
      <c r="D80">
        <v>2</v>
      </c>
      <c r="E80" s="9">
        <v>0</v>
      </c>
      <c r="F80" s="9">
        <v>0</v>
      </c>
      <c r="G80" s="9">
        <v>-223.09200000000001</v>
      </c>
      <c r="H80">
        <v>-223.09200000000001</v>
      </c>
    </row>
    <row r="81" spans="1:17" x14ac:dyDescent="0.25">
      <c r="A81" s="4">
        <v>44681</v>
      </c>
      <c r="B81" s="4">
        <v>44681</v>
      </c>
      <c r="C81" t="s">
        <v>86</v>
      </c>
      <c r="D81">
        <v>3</v>
      </c>
      <c r="E81" s="9">
        <v>0</v>
      </c>
      <c r="F81" s="9">
        <v>0</v>
      </c>
      <c r="G81" s="9">
        <v>-271.42860000000002</v>
      </c>
      <c r="H81">
        <v>-271.42860000000002</v>
      </c>
    </row>
    <row r="82" spans="1:17" x14ac:dyDescent="0.25">
      <c r="A82" s="4">
        <v>44681</v>
      </c>
      <c r="B82" s="4">
        <v>44681</v>
      </c>
      <c r="C82" t="s">
        <v>86</v>
      </c>
      <c r="D82">
        <v>4</v>
      </c>
      <c r="E82" s="9">
        <v>0</v>
      </c>
      <c r="F82" s="9">
        <v>0</v>
      </c>
      <c r="G82" s="9">
        <v>-111.54600000000001</v>
      </c>
      <c r="H82">
        <v>-111.54600000000001</v>
      </c>
    </row>
    <row r="85" spans="1:17" ht="28.5" x14ac:dyDescent="0.45">
      <c r="A85" s="80">
        <v>44712</v>
      </c>
      <c r="B85" s="80"/>
      <c r="C85" s="80"/>
      <c r="D85" s="80"/>
      <c r="E85" s="80"/>
      <c r="F85" s="80"/>
      <c r="G85" s="80"/>
      <c r="H85" s="80"/>
      <c r="I85" s="80"/>
      <c r="L85" s="81" t="s">
        <v>80</v>
      </c>
      <c r="M85" s="81"/>
      <c r="N85" s="81"/>
      <c r="O85" s="81"/>
      <c r="P85" s="81"/>
      <c r="Q85" s="81"/>
    </row>
    <row r="87" spans="1:17" x14ac:dyDescent="0.25">
      <c r="A87" s="2" t="s">
        <v>60</v>
      </c>
    </row>
    <row r="88" spans="1:17" x14ac:dyDescent="0.25">
      <c r="A88" s="1" t="s">
        <v>0</v>
      </c>
      <c r="B88" s="2" t="s">
        <v>1</v>
      </c>
      <c r="C88" s="1" t="s">
        <v>2</v>
      </c>
      <c r="D88" s="1" t="s">
        <v>3</v>
      </c>
      <c r="E88" s="8" t="s">
        <v>81</v>
      </c>
      <c r="F88" s="8" t="s">
        <v>82</v>
      </c>
      <c r="G88" s="8" t="s">
        <v>83</v>
      </c>
      <c r="H88" s="8" t="s">
        <v>84</v>
      </c>
      <c r="I88" s="8" t="s">
        <v>85</v>
      </c>
      <c r="L88" s="42" t="s">
        <v>0</v>
      </c>
      <c r="M88" s="42" t="s">
        <v>50</v>
      </c>
      <c r="N88" s="42" t="s">
        <v>2</v>
      </c>
      <c r="O88" s="42" t="s">
        <v>79</v>
      </c>
      <c r="P88" s="42" t="s">
        <v>16</v>
      </c>
      <c r="Q88" s="42" t="s">
        <v>3</v>
      </c>
    </row>
    <row r="89" spans="1:17" x14ac:dyDescent="0.25">
      <c r="A89" s="4">
        <v>44681</v>
      </c>
      <c r="B89" s="4">
        <v>44592</v>
      </c>
      <c r="C89" t="s">
        <v>86</v>
      </c>
      <c r="D89" s="5">
        <v>0</v>
      </c>
      <c r="E89">
        <v>0</v>
      </c>
      <c r="F89" s="6"/>
      <c r="G89" s="6"/>
      <c r="H89" s="7"/>
      <c r="I89" s="7"/>
      <c r="L89" s="43">
        <v>44712</v>
      </c>
      <c r="M89" s="43">
        <v>44712</v>
      </c>
      <c r="N89" s="44" t="s">
        <v>86</v>
      </c>
      <c r="O89" s="44" t="s">
        <v>35</v>
      </c>
      <c r="P89" s="45">
        <v>-94.368344140030402</v>
      </c>
      <c r="Q89" s="44">
        <v>2</v>
      </c>
    </row>
    <row r="90" spans="1:17" x14ac:dyDescent="0.25">
      <c r="A90" s="4">
        <v>44681</v>
      </c>
      <c r="B90" s="4">
        <v>44592</v>
      </c>
      <c r="C90" t="s">
        <v>86</v>
      </c>
      <c r="D90" s="5">
        <v>1</v>
      </c>
      <c r="E90">
        <v>1</v>
      </c>
      <c r="F90" s="6">
        <v>44576</v>
      </c>
      <c r="G90" s="6">
        <v>44576</v>
      </c>
      <c r="H90" s="7">
        <v>-200</v>
      </c>
      <c r="I90" s="7">
        <v>1</v>
      </c>
      <c r="L90" s="43">
        <v>44712</v>
      </c>
      <c r="M90" s="43">
        <v>44712</v>
      </c>
      <c r="N90" s="44" t="s">
        <v>86</v>
      </c>
      <c r="O90" s="44" t="s">
        <v>35</v>
      </c>
      <c r="P90" s="45">
        <v>2.2222222241907699E-5</v>
      </c>
      <c r="Q90" s="44">
        <v>3</v>
      </c>
    </row>
    <row r="91" spans="1:17" x14ac:dyDescent="0.25">
      <c r="A91" s="4">
        <v>44681</v>
      </c>
      <c r="B91" s="4">
        <v>44592</v>
      </c>
      <c r="C91" t="s">
        <v>86</v>
      </c>
      <c r="D91" s="5">
        <v>2</v>
      </c>
      <c r="E91">
        <v>2</v>
      </c>
      <c r="F91" s="6">
        <v>44576</v>
      </c>
      <c r="G91" s="6">
        <v>44941</v>
      </c>
      <c r="H91" s="7">
        <v>100</v>
      </c>
      <c r="I91" s="7">
        <v>12</v>
      </c>
      <c r="L91" s="43">
        <v>44712</v>
      </c>
      <c r="M91" s="43">
        <v>44712</v>
      </c>
      <c r="N91" s="44" t="s">
        <v>86</v>
      </c>
      <c r="O91" s="44" t="s">
        <v>35</v>
      </c>
      <c r="P91" s="45">
        <v>-94.368344140030402</v>
      </c>
      <c r="Q91" s="44">
        <v>4</v>
      </c>
    </row>
    <row r="92" spans="1:17" x14ac:dyDescent="0.25">
      <c r="A92" s="4">
        <v>44681</v>
      </c>
      <c r="B92" s="4">
        <v>44592</v>
      </c>
      <c r="C92" t="s">
        <v>86</v>
      </c>
      <c r="D92" s="5">
        <v>3</v>
      </c>
      <c r="E92">
        <v>3</v>
      </c>
      <c r="F92" s="6">
        <v>44576</v>
      </c>
      <c r="G92" s="6">
        <v>44576</v>
      </c>
      <c r="H92" s="7">
        <v>300</v>
      </c>
      <c r="I92" s="7">
        <v>1</v>
      </c>
    </row>
    <row r="93" spans="1:17" x14ac:dyDescent="0.25">
      <c r="A93" s="4">
        <v>44681</v>
      </c>
      <c r="B93" s="4">
        <v>44592</v>
      </c>
      <c r="C93" t="s">
        <v>86</v>
      </c>
      <c r="D93" s="5">
        <v>4</v>
      </c>
      <c r="E93">
        <v>5</v>
      </c>
      <c r="F93" s="6">
        <v>44576</v>
      </c>
      <c r="G93" s="6">
        <v>44941</v>
      </c>
      <c r="H93" s="7">
        <v>50</v>
      </c>
      <c r="I93" s="7">
        <v>24</v>
      </c>
    </row>
    <row r="95" spans="1:17" x14ac:dyDescent="0.25">
      <c r="A95" s="2" t="s">
        <v>75</v>
      </c>
    </row>
    <row r="96" spans="1:17" x14ac:dyDescent="0.25">
      <c r="A96" s="1" t="s">
        <v>0</v>
      </c>
      <c r="B96" s="2" t="s">
        <v>1</v>
      </c>
      <c r="C96" s="1" t="s">
        <v>2</v>
      </c>
      <c r="D96" s="1" t="s">
        <v>3</v>
      </c>
      <c r="E96" s="3" t="s">
        <v>87</v>
      </c>
      <c r="F96" s="3" t="s">
        <v>88</v>
      </c>
    </row>
    <row r="97" spans="1:8" x14ac:dyDescent="0.25">
      <c r="A97" s="4">
        <v>44712</v>
      </c>
      <c r="B97" s="4">
        <v>44712</v>
      </c>
      <c r="C97" t="s">
        <v>86</v>
      </c>
      <c r="D97">
        <v>0</v>
      </c>
      <c r="E97">
        <v>600</v>
      </c>
      <c r="F97">
        <v>0</v>
      </c>
    </row>
    <row r="99" spans="1:8" x14ac:dyDescent="0.25">
      <c r="A99" s="2" t="s">
        <v>69</v>
      </c>
    </row>
    <row r="100" spans="1:8" x14ac:dyDescent="0.25">
      <c r="A100" s="1" t="s">
        <v>0</v>
      </c>
      <c r="B100" s="2" t="s">
        <v>1</v>
      </c>
      <c r="C100" s="1" t="s">
        <v>2</v>
      </c>
      <c r="D100" s="1" t="s">
        <v>3</v>
      </c>
      <c r="E100" s="8" t="s">
        <v>89</v>
      </c>
      <c r="F100" s="8" t="s">
        <v>90</v>
      </c>
      <c r="G100" s="8" t="s">
        <v>91</v>
      </c>
      <c r="H100" s="8" t="s">
        <v>92</v>
      </c>
    </row>
    <row r="101" spans="1:8" x14ac:dyDescent="0.25">
      <c r="A101" s="4">
        <v>44712</v>
      </c>
      <c r="B101" s="4">
        <v>44712</v>
      </c>
      <c r="C101" t="s">
        <v>86</v>
      </c>
      <c r="D101">
        <v>0</v>
      </c>
      <c r="E101" s="9">
        <v>1900</v>
      </c>
      <c r="F101" s="9">
        <v>0</v>
      </c>
      <c r="G101" s="9">
        <v>0</v>
      </c>
      <c r="H101">
        <v>1900</v>
      </c>
    </row>
    <row r="102" spans="1:8" x14ac:dyDescent="0.25">
      <c r="A102" s="4">
        <v>44712</v>
      </c>
      <c r="B102" s="4">
        <v>44712</v>
      </c>
      <c r="C102" t="s">
        <v>86</v>
      </c>
      <c r="D102">
        <v>1</v>
      </c>
      <c r="E102" s="9">
        <v>0</v>
      </c>
      <c r="F102" s="9">
        <v>0</v>
      </c>
      <c r="G102" s="9">
        <v>0</v>
      </c>
      <c r="H102" s="9">
        <v>0</v>
      </c>
    </row>
    <row r="103" spans="1:8" x14ac:dyDescent="0.25">
      <c r="A103" s="4">
        <v>44712</v>
      </c>
      <c r="B103" s="4">
        <v>44712</v>
      </c>
      <c r="C103" t="s">
        <v>86</v>
      </c>
      <c r="D103">
        <v>2</v>
      </c>
      <c r="E103" s="9">
        <v>0</v>
      </c>
      <c r="F103" s="9">
        <v>0</v>
      </c>
      <c r="G103" s="9">
        <v>-319.63470000000001</v>
      </c>
      <c r="H103">
        <v>-319.63470000000001</v>
      </c>
    </row>
    <row r="104" spans="1:8" x14ac:dyDescent="0.25">
      <c r="A104" s="4">
        <v>44712</v>
      </c>
      <c r="B104" s="4">
        <v>44712</v>
      </c>
      <c r="C104" t="s">
        <v>86</v>
      </c>
      <c r="D104">
        <v>3</v>
      </c>
      <c r="E104" s="9">
        <v>0</v>
      </c>
      <c r="F104" s="9">
        <v>0</v>
      </c>
      <c r="G104" s="9">
        <v>-277.77780000000001</v>
      </c>
      <c r="H104">
        <v>-277.77780000000001</v>
      </c>
    </row>
    <row r="105" spans="1:8" x14ac:dyDescent="0.25">
      <c r="A105" s="4">
        <v>44712</v>
      </c>
      <c r="B105" s="4">
        <v>44712</v>
      </c>
      <c r="C105" t="s">
        <v>86</v>
      </c>
      <c r="D105">
        <v>4</v>
      </c>
      <c r="E105" s="9">
        <v>0</v>
      </c>
      <c r="F105" s="9">
        <v>0</v>
      </c>
      <c r="G105" s="9">
        <v>-319.63470000000001</v>
      </c>
      <c r="H105">
        <v>-319.63470000000001</v>
      </c>
    </row>
  </sheetData>
  <mergeCells count="10">
    <mergeCell ref="A62:I62"/>
    <mergeCell ref="L62:Q62"/>
    <mergeCell ref="A85:I85"/>
    <mergeCell ref="L85:Q85"/>
    <mergeCell ref="A1:I1"/>
    <mergeCell ref="L1:Q1"/>
    <mergeCell ref="A19:I19"/>
    <mergeCell ref="L19:Q19"/>
    <mergeCell ref="A41:I41"/>
    <mergeCell ref="L41:Q41"/>
  </mergeCells>
  <pageMargins left="0.7" right="0.7" top="0.75" bottom="0.75" header="0.511811023622047" footer="0.511811023622047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AJ28"/>
  <sheetViews>
    <sheetView zoomScaleNormal="100" workbookViewId="0">
      <selection activeCell="R25" sqref="R25"/>
    </sheetView>
  </sheetViews>
  <sheetFormatPr defaultColWidth="8.7109375" defaultRowHeight="15" customHeight="1" x14ac:dyDescent="0.25"/>
  <cols>
    <col min="1" max="2" width="9.7109375" style="10" customWidth="1"/>
    <col min="3" max="3" width="17.5703125" style="10" customWidth="1"/>
    <col min="4" max="4" width="24.85546875" style="10" customWidth="1"/>
    <col min="5" max="5" width="19.5703125" style="10" customWidth="1"/>
    <col min="6" max="6" width="9.28515625" style="10" customWidth="1"/>
    <col min="8" max="8" width="11" style="10" customWidth="1"/>
    <col min="9" max="9" width="19.42578125" style="10" customWidth="1"/>
    <col min="10" max="10" width="9.28515625" style="10" customWidth="1"/>
    <col min="11" max="11" width="25.140625" style="10" customWidth="1"/>
    <col min="14" max="14" width="19.42578125" style="10" customWidth="1"/>
    <col min="15" max="15" width="25.5703125" style="10" customWidth="1"/>
    <col min="16" max="16" width="10" style="10" customWidth="1"/>
    <col min="18" max="18" width="25.7109375" style="10" customWidth="1"/>
    <col min="19" max="19" width="21" style="10" customWidth="1"/>
    <col min="20" max="20" width="23" style="10" customWidth="1"/>
    <col min="21" max="21" width="20.28515625" style="10" customWidth="1"/>
    <col min="22" max="22" width="18.42578125" style="10" customWidth="1"/>
    <col min="26" max="26" width="21.7109375" style="10" customWidth="1"/>
    <col min="30" max="30" width="9.7109375" style="10" customWidth="1"/>
    <col min="31" max="31" width="12.28515625" style="10" customWidth="1"/>
    <col min="32" max="32" width="12.7109375" style="10" customWidth="1"/>
    <col min="33" max="33" width="11.140625" style="10" customWidth="1"/>
    <col min="34" max="34" width="8.85546875" style="10" customWidth="1"/>
    <col min="35" max="35" width="15.140625" style="10" customWidth="1"/>
    <col min="36" max="36" width="15.5703125" style="10" customWidth="1"/>
  </cols>
  <sheetData>
    <row r="1" spans="1:36" x14ac:dyDescent="0.25">
      <c r="U1" s="46"/>
      <c r="V1" s="46"/>
    </row>
    <row r="2" spans="1:36" x14ac:dyDescent="0.25">
      <c r="A2" s="83" t="s">
        <v>73</v>
      </c>
      <c r="B2" s="83"/>
      <c r="C2" s="83"/>
      <c r="D2" s="83"/>
      <c r="E2" s="83"/>
      <c r="F2" s="83"/>
      <c r="H2" s="84" t="s">
        <v>93</v>
      </c>
      <c r="I2" s="84"/>
      <c r="J2" s="84"/>
      <c r="K2" s="84"/>
      <c r="M2" s="84" t="s">
        <v>94</v>
      </c>
      <c r="N2" s="84"/>
      <c r="O2" s="84"/>
      <c r="P2" s="84"/>
      <c r="Q2" s="84"/>
    </row>
    <row r="3" spans="1:36" x14ac:dyDescent="0.25">
      <c r="A3" s="31" t="s">
        <v>95</v>
      </c>
      <c r="B3" s="31" t="s">
        <v>96</v>
      </c>
      <c r="C3" s="31" t="s">
        <v>97</v>
      </c>
      <c r="D3" s="31" t="s">
        <v>16</v>
      </c>
      <c r="E3" s="31" t="s">
        <v>98</v>
      </c>
      <c r="F3" s="31" t="s">
        <v>40</v>
      </c>
      <c r="G3" s="26"/>
      <c r="H3" s="47" t="s">
        <v>44</v>
      </c>
      <c r="I3" s="47" t="s">
        <v>35</v>
      </c>
      <c r="J3" s="47" t="s">
        <v>45</v>
      </c>
      <c r="K3" s="47" t="s">
        <v>46</v>
      </c>
      <c r="M3" s="47" t="s">
        <v>99</v>
      </c>
      <c r="N3" s="47" t="s">
        <v>100</v>
      </c>
      <c r="O3" s="47" t="s">
        <v>101</v>
      </c>
      <c r="P3" s="47" t="s">
        <v>102</v>
      </c>
      <c r="Q3" s="47"/>
      <c r="S3" s="26"/>
      <c r="T3" s="26"/>
      <c r="U3" s="26"/>
      <c r="V3" s="26"/>
    </row>
    <row r="4" spans="1:36" x14ac:dyDescent="0.25">
      <c r="A4" s="22">
        <v>44592</v>
      </c>
      <c r="B4" s="22">
        <f>A4</f>
        <v>44592</v>
      </c>
      <c r="C4" s="13" t="s">
        <v>35</v>
      </c>
      <c r="D4" s="48">
        <v>-47.592954990215297</v>
      </c>
      <c r="E4" s="48" t="s">
        <v>103</v>
      </c>
      <c r="F4" s="49">
        <v>2</v>
      </c>
      <c r="G4" s="50"/>
      <c r="H4" s="48"/>
      <c r="I4" s="48"/>
      <c r="J4" s="48"/>
      <c r="K4" s="48"/>
      <c r="L4" s="50"/>
      <c r="M4" s="85" t="s">
        <v>104</v>
      </c>
      <c r="N4" s="51" t="s">
        <v>46</v>
      </c>
      <c r="O4" s="48">
        <f>-I7</f>
        <v>342.81800391389385</v>
      </c>
      <c r="P4" s="48"/>
      <c r="Q4" s="13"/>
    </row>
    <row r="5" spans="1:36" x14ac:dyDescent="0.25">
      <c r="A5" s="22">
        <v>44592</v>
      </c>
      <c r="B5" s="22">
        <f>A5</f>
        <v>44592</v>
      </c>
      <c r="C5" s="13" t="s">
        <v>35</v>
      </c>
      <c r="D5" s="48">
        <v>-271.42857142857099</v>
      </c>
      <c r="E5" s="48" t="s">
        <v>103</v>
      </c>
      <c r="F5" s="49">
        <v>3</v>
      </c>
      <c r="G5" s="50"/>
      <c r="H5" s="48"/>
      <c r="I5" s="48"/>
      <c r="J5" s="48"/>
      <c r="K5" s="48"/>
      <c r="L5" s="50"/>
      <c r="M5" s="85"/>
      <c r="N5" s="51" t="s">
        <v>35</v>
      </c>
      <c r="O5" s="48"/>
      <c r="P5" s="48">
        <f>I7</f>
        <v>-342.81800391389385</v>
      </c>
      <c r="Q5" s="30"/>
      <c r="AE5" s="10" t="s">
        <v>105</v>
      </c>
      <c r="AF5" s="10" t="s">
        <v>105</v>
      </c>
      <c r="AG5" s="10" t="s">
        <v>106</v>
      </c>
      <c r="AH5" s="10" t="s">
        <v>106</v>
      </c>
      <c r="AI5" s="10" t="s">
        <v>105</v>
      </c>
      <c r="AJ5" s="10" t="s">
        <v>105</v>
      </c>
    </row>
    <row r="6" spans="1:36" x14ac:dyDescent="0.25">
      <c r="A6" s="22">
        <v>44592</v>
      </c>
      <c r="B6" s="22">
        <v>44592</v>
      </c>
      <c r="C6" s="13" t="s">
        <v>35</v>
      </c>
      <c r="D6" s="48">
        <v>-23.796477495107599</v>
      </c>
      <c r="E6" s="48" t="s">
        <v>103</v>
      </c>
      <c r="F6" s="49">
        <v>4</v>
      </c>
      <c r="G6" s="50"/>
      <c r="H6" s="48"/>
      <c r="I6" s="48"/>
      <c r="J6" s="48"/>
      <c r="K6" s="48"/>
      <c r="L6" s="50"/>
      <c r="M6" s="85"/>
      <c r="N6" s="48" t="s">
        <v>53</v>
      </c>
      <c r="O6" s="48">
        <f>J7</f>
        <v>342.81800391389402</v>
      </c>
      <c r="P6" s="48"/>
      <c r="Q6" s="13"/>
    </row>
    <row r="7" spans="1:36" x14ac:dyDescent="0.25">
      <c r="A7" s="52">
        <v>44592</v>
      </c>
      <c r="B7" s="52">
        <v>44592</v>
      </c>
      <c r="C7" s="53" t="s">
        <v>53</v>
      </c>
      <c r="D7" s="54">
        <v>342.81800391389402</v>
      </c>
      <c r="E7" s="54" t="s">
        <v>103</v>
      </c>
      <c r="F7" s="55">
        <v>0</v>
      </c>
      <c r="G7" s="56"/>
      <c r="H7" s="54">
        <v>0</v>
      </c>
      <c r="I7" s="54">
        <f>SUM(D4:D6)</f>
        <v>-342.81800391389385</v>
      </c>
      <c r="J7" s="54">
        <f>D7</f>
        <v>342.81800391389402</v>
      </c>
      <c r="K7" s="54">
        <f>SUM(H7:J7)</f>
        <v>0</v>
      </c>
      <c r="L7" s="50"/>
      <c r="M7" s="85"/>
      <c r="N7" s="51" t="s">
        <v>46</v>
      </c>
      <c r="O7" s="48"/>
      <c r="P7" s="48">
        <f>-O6</f>
        <v>-342.81800391389402</v>
      </c>
      <c r="Q7" s="30"/>
      <c r="AD7" s="46"/>
    </row>
    <row r="8" spans="1:36" x14ac:dyDescent="0.25">
      <c r="A8" s="22">
        <v>44620</v>
      </c>
      <c r="B8" s="22">
        <v>44620</v>
      </c>
      <c r="C8" s="13" t="s">
        <v>35</v>
      </c>
      <c r="D8" s="48">
        <v>-83.287671232876704</v>
      </c>
      <c r="E8" s="48" t="s">
        <v>103</v>
      </c>
      <c r="F8" s="49">
        <v>2</v>
      </c>
      <c r="G8" s="50"/>
      <c r="H8" s="48"/>
      <c r="I8" s="48"/>
      <c r="J8" s="48"/>
      <c r="K8" s="48"/>
      <c r="L8" s="50"/>
      <c r="M8" s="57"/>
      <c r="N8" s="48"/>
      <c r="O8" s="48"/>
      <c r="P8" s="48"/>
      <c r="Q8" s="30"/>
      <c r="T8" s="34"/>
      <c r="U8" s="34"/>
      <c r="V8" s="34"/>
      <c r="AD8" s="46"/>
    </row>
    <row r="9" spans="1:36" x14ac:dyDescent="0.25">
      <c r="A9" s="22">
        <v>44620</v>
      </c>
      <c r="B9" s="22">
        <v>44620</v>
      </c>
      <c r="C9" s="13" t="s">
        <v>35</v>
      </c>
      <c r="D9" s="48">
        <v>-41.643835616438402</v>
      </c>
      <c r="E9" s="48" t="s">
        <v>103</v>
      </c>
      <c r="F9" s="49">
        <v>4</v>
      </c>
      <c r="G9" s="50"/>
      <c r="H9" s="48"/>
      <c r="I9" s="48"/>
      <c r="J9" s="48"/>
      <c r="K9" s="48"/>
      <c r="L9" s="50"/>
      <c r="M9" s="85" t="s">
        <v>107</v>
      </c>
      <c r="N9" s="51" t="s">
        <v>46</v>
      </c>
      <c r="O9" s="48">
        <f>-(D8+D9)</f>
        <v>124.9315068493151</v>
      </c>
      <c r="P9" s="48"/>
      <c r="Q9" s="30"/>
      <c r="AD9" s="46"/>
    </row>
    <row r="10" spans="1:36" x14ac:dyDescent="0.25">
      <c r="A10" s="22">
        <v>44620</v>
      </c>
      <c r="B10" s="22">
        <v>44620</v>
      </c>
      <c r="C10" s="13" t="s">
        <v>53</v>
      </c>
      <c r="D10" s="48">
        <v>-342.81800391389402</v>
      </c>
      <c r="E10" s="48" t="s">
        <v>103</v>
      </c>
      <c r="F10" s="49">
        <v>0</v>
      </c>
      <c r="G10" s="50"/>
      <c r="H10" s="48"/>
      <c r="I10" s="48"/>
      <c r="J10" s="48"/>
      <c r="K10" s="48"/>
      <c r="L10" s="50"/>
      <c r="M10" s="85"/>
      <c r="N10" s="51" t="s">
        <v>35</v>
      </c>
      <c r="O10" s="48"/>
      <c r="P10" s="48">
        <f>-O9</f>
        <v>-124.9315068493151</v>
      </c>
      <c r="Q10" s="30"/>
    </row>
    <row r="11" spans="1:36" x14ac:dyDescent="0.25">
      <c r="A11" s="52">
        <v>44620</v>
      </c>
      <c r="B11" s="52">
        <v>44620</v>
      </c>
      <c r="C11" s="53" t="s">
        <v>108</v>
      </c>
      <c r="D11" s="54">
        <v>1900</v>
      </c>
      <c r="E11" s="54" t="s">
        <v>109</v>
      </c>
      <c r="F11" s="55">
        <v>0</v>
      </c>
      <c r="G11" s="56"/>
      <c r="H11" s="54">
        <f>D11</f>
        <v>1900</v>
      </c>
      <c r="I11" s="54">
        <f>D8+D9+I7</f>
        <v>-467.74951076320895</v>
      </c>
      <c r="J11" s="54">
        <f>J7+D10</f>
        <v>0</v>
      </c>
      <c r="K11" s="54">
        <f>SUM(H11:J11)</f>
        <v>1432.2504892367911</v>
      </c>
      <c r="L11" s="50"/>
      <c r="M11" s="85"/>
      <c r="N11" s="51" t="s">
        <v>46</v>
      </c>
      <c r="O11" s="48">
        <f>-D10</f>
        <v>342.81800391389402</v>
      </c>
      <c r="P11" s="48"/>
      <c r="Q11" s="30"/>
    </row>
    <row r="12" spans="1:36" x14ac:dyDescent="0.25">
      <c r="A12" s="22">
        <v>44651</v>
      </c>
      <c r="B12" s="22">
        <v>44651</v>
      </c>
      <c r="C12" s="13" t="s">
        <v>35</v>
      </c>
      <c r="D12" s="48">
        <v>-92.211350293542097</v>
      </c>
      <c r="E12" s="48" t="s">
        <v>103</v>
      </c>
      <c r="F12" s="49">
        <v>2</v>
      </c>
      <c r="G12" s="50"/>
      <c r="H12" s="48"/>
      <c r="I12" s="48"/>
      <c r="J12" s="48"/>
      <c r="K12" s="48"/>
      <c r="L12" s="50"/>
      <c r="M12" s="85"/>
      <c r="N12" s="48" t="s">
        <v>53</v>
      </c>
      <c r="O12" s="48"/>
      <c r="P12" s="48">
        <f>D10</f>
        <v>-342.81800391389402</v>
      </c>
      <c r="Q12" s="30"/>
    </row>
    <row r="13" spans="1:36" x14ac:dyDescent="0.25">
      <c r="A13" s="52">
        <v>44651</v>
      </c>
      <c r="B13" s="52">
        <v>44651</v>
      </c>
      <c r="C13" s="53" t="s">
        <v>35</v>
      </c>
      <c r="D13" s="54">
        <v>-46.105675146770999</v>
      </c>
      <c r="E13" s="54" t="s">
        <v>103</v>
      </c>
      <c r="F13" s="55">
        <v>4</v>
      </c>
      <c r="G13" s="56"/>
      <c r="H13" s="54">
        <f>H11</f>
        <v>1900</v>
      </c>
      <c r="I13" s="54">
        <f>I11+D12+D13</f>
        <v>-606.06653620352199</v>
      </c>
      <c r="J13" s="54">
        <f>J11</f>
        <v>0</v>
      </c>
      <c r="K13" s="54">
        <f>K11+D12+D13</f>
        <v>1293.9334637964778</v>
      </c>
      <c r="L13" s="50"/>
      <c r="M13" s="85"/>
      <c r="N13" s="58" t="s">
        <v>110</v>
      </c>
      <c r="O13" s="48">
        <f>H11</f>
        <v>1900</v>
      </c>
      <c r="P13" s="48"/>
      <c r="Q13" s="13"/>
    </row>
    <row r="14" spans="1:36" x14ac:dyDescent="0.25">
      <c r="A14" s="59">
        <v>44681</v>
      </c>
      <c r="B14" s="59">
        <f t="shared" ref="B14:C20" si="0">B4</f>
        <v>44592</v>
      </c>
      <c r="C14" s="60" t="str">
        <f t="shared" si="0"/>
        <v>Revenue</v>
      </c>
      <c r="D14" s="61">
        <f t="shared" ref="D14:D20" si="1">-D4</f>
        <v>47.592954990215297</v>
      </c>
      <c r="E14" s="61" t="s">
        <v>111</v>
      </c>
      <c r="F14" s="62">
        <f t="shared" ref="F14:F20" si="2">F4</f>
        <v>2</v>
      </c>
      <c r="H14" s="13"/>
      <c r="I14" s="13"/>
      <c r="J14" s="13"/>
      <c r="K14" s="13"/>
      <c r="M14" s="85"/>
      <c r="N14" s="63" t="s">
        <v>46</v>
      </c>
      <c r="O14" s="15"/>
      <c r="P14" s="15">
        <f>-O13</f>
        <v>-1900</v>
      </c>
      <c r="Q14" s="13"/>
    </row>
    <row r="15" spans="1:36" x14ac:dyDescent="0.25">
      <c r="A15" s="59">
        <v>44681</v>
      </c>
      <c r="B15" s="59">
        <f t="shared" si="0"/>
        <v>44592</v>
      </c>
      <c r="C15" s="60" t="str">
        <f t="shared" si="0"/>
        <v>Revenue</v>
      </c>
      <c r="D15" s="61">
        <f t="shared" si="1"/>
        <v>271.42857142857099</v>
      </c>
      <c r="E15" s="61" t="s">
        <v>111</v>
      </c>
      <c r="F15" s="62">
        <f t="shared" si="2"/>
        <v>3</v>
      </c>
      <c r="H15" s="13"/>
      <c r="I15" s="13"/>
      <c r="J15" s="13"/>
      <c r="K15" s="13"/>
      <c r="M15" s="64"/>
      <c r="N15" s="22"/>
      <c r="O15" s="13"/>
      <c r="P15" s="15"/>
      <c r="Q15" s="13"/>
    </row>
    <row r="16" spans="1:36" x14ac:dyDescent="0.25">
      <c r="A16" s="59">
        <v>44681</v>
      </c>
      <c r="B16" s="59">
        <f t="shared" si="0"/>
        <v>44592</v>
      </c>
      <c r="C16" s="60" t="str">
        <f t="shared" si="0"/>
        <v>Revenue</v>
      </c>
      <c r="D16" s="61">
        <f t="shared" si="1"/>
        <v>23.796477495107599</v>
      </c>
      <c r="E16" s="61" t="s">
        <v>111</v>
      </c>
      <c r="F16" s="62">
        <f t="shared" si="2"/>
        <v>4</v>
      </c>
      <c r="H16" s="13"/>
      <c r="I16" s="13"/>
      <c r="J16" s="13"/>
      <c r="K16" s="13"/>
      <c r="M16" s="82" t="s">
        <v>112</v>
      </c>
      <c r="N16" s="51" t="s">
        <v>46</v>
      </c>
      <c r="O16" s="48">
        <f>-(D12+D13)</f>
        <v>138.3170254403131</v>
      </c>
      <c r="P16" s="13"/>
      <c r="Q16" s="13"/>
    </row>
    <row r="17" spans="1:17" x14ac:dyDescent="0.25">
      <c r="A17" s="59">
        <v>44681</v>
      </c>
      <c r="B17" s="59">
        <f t="shared" si="0"/>
        <v>44592</v>
      </c>
      <c r="C17" s="60" t="str">
        <f t="shared" si="0"/>
        <v>Unbilled Charge</v>
      </c>
      <c r="D17" s="61">
        <f t="shared" si="1"/>
        <v>-342.81800391389402</v>
      </c>
      <c r="E17" s="61" t="s">
        <v>111</v>
      </c>
      <c r="F17" s="62">
        <f t="shared" si="2"/>
        <v>0</v>
      </c>
      <c r="H17" s="13"/>
      <c r="I17" s="13"/>
      <c r="J17" s="13"/>
      <c r="K17" s="13"/>
      <c r="M17" s="82"/>
      <c r="N17" s="51" t="s">
        <v>35</v>
      </c>
      <c r="O17" s="13"/>
      <c r="P17" s="48">
        <f>-O16</f>
        <v>-138.3170254403131</v>
      </c>
      <c r="Q17" s="13"/>
    </row>
    <row r="18" spans="1:17" x14ac:dyDescent="0.25">
      <c r="A18" s="59">
        <v>44681</v>
      </c>
      <c r="B18" s="59">
        <f t="shared" si="0"/>
        <v>44620</v>
      </c>
      <c r="C18" s="60" t="str">
        <f t="shared" si="0"/>
        <v>Revenue</v>
      </c>
      <c r="D18" s="61">
        <f t="shared" si="1"/>
        <v>83.287671232876704</v>
      </c>
      <c r="E18" s="61" t="s">
        <v>111</v>
      </c>
      <c r="F18" s="62">
        <f t="shared" si="2"/>
        <v>2</v>
      </c>
      <c r="H18" s="13"/>
      <c r="I18" s="13"/>
      <c r="J18" s="13"/>
      <c r="K18" s="13"/>
      <c r="M18" s="64"/>
      <c r="N18" s="13"/>
      <c r="O18" s="13"/>
      <c r="P18" s="13"/>
      <c r="Q18" s="13"/>
    </row>
    <row r="19" spans="1:17" x14ac:dyDescent="0.25">
      <c r="A19" s="59">
        <v>44681</v>
      </c>
      <c r="B19" s="59">
        <f t="shared" si="0"/>
        <v>44620</v>
      </c>
      <c r="C19" s="60" t="str">
        <f t="shared" si="0"/>
        <v>Revenue</v>
      </c>
      <c r="D19" s="61">
        <f t="shared" si="1"/>
        <v>41.643835616438402</v>
      </c>
      <c r="E19" s="61" t="s">
        <v>111</v>
      </c>
      <c r="F19" s="62">
        <f t="shared" si="2"/>
        <v>4</v>
      </c>
      <c r="H19" s="13"/>
      <c r="I19" s="13"/>
      <c r="J19" s="13"/>
      <c r="K19" s="13"/>
      <c r="M19" s="82" t="s">
        <v>113</v>
      </c>
      <c r="N19" s="51" t="s">
        <v>46</v>
      </c>
      <c r="O19" s="48">
        <f>-P20</f>
        <v>310.98064796694996</v>
      </c>
      <c r="P19" s="13"/>
      <c r="Q19" s="13"/>
    </row>
    <row r="20" spans="1:17" x14ac:dyDescent="0.25">
      <c r="A20" s="59">
        <v>44681</v>
      </c>
      <c r="B20" s="59">
        <f t="shared" si="0"/>
        <v>44620</v>
      </c>
      <c r="C20" s="60" t="str">
        <f t="shared" si="0"/>
        <v>Unbilled Charge</v>
      </c>
      <c r="D20" s="61">
        <f t="shared" si="1"/>
        <v>342.81800391389402</v>
      </c>
      <c r="E20" s="61" t="s">
        <v>111</v>
      </c>
      <c r="F20" s="62">
        <f t="shared" si="2"/>
        <v>0</v>
      </c>
      <c r="H20" s="13"/>
      <c r="I20" s="13"/>
      <c r="J20" s="13"/>
      <c r="K20" s="13"/>
      <c r="M20" s="82"/>
      <c r="N20" s="51" t="s">
        <v>35</v>
      </c>
      <c r="O20" s="13"/>
      <c r="P20" s="48">
        <f>I25-I13</f>
        <v>-310.98064796694996</v>
      </c>
      <c r="Q20" s="13"/>
    </row>
    <row r="21" spans="1:17" x14ac:dyDescent="0.25">
      <c r="A21" s="59">
        <v>44681</v>
      </c>
      <c r="B21" s="59">
        <f>B13</f>
        <v>44651</v>
      </c>
      <c r="C21" s="60" t="str">
        <f>C12</f>
        <v>Revenue</v>
      </c>
      <c r="D21" s="61">
        <f>-D12</f>
        <v>92.211350293542097</v>
      </c>
      <c r="E21" s="61" t="s">
        <v>111</v>
      </c>
      <c r="F21" s="62">
        <f>F12</f>
        <v>2</v>
      </c>
      <c r="H21" s="13"/>
      <c r="I21" s="13"/>
      <c r="J21" s="13"/>
      <c r="K21" s="13"/>
      <c r="M21" s="64"/>
      <c r="N21" s="13"/>
      <c r="O21" s="13"/>
      <c r="P21" s="13"/>
      <c r="Q21" s="13"/>
    </row>
    <row r="22" spans="1:17" x14ac:dyDescent="0.25">
      <c r="A22" s="59">
        <v>44681</v>
      </c>
      <c r="B22" s="59">
        <f>B21</f>
        <v>44651</v>
      </c>
      <c r="C22" s="60" t="str">
        <f>C13</f>
        <v>Revenue</v>
      </c>
      <c r="D22" s="61">
        <f>-D13</f>
        <v>46.105675146770999</v>
      </c>
      <c r="E22" s="61" t="s">
        <v>111</v>
      </c>
      <c r="F22" s="62">
        <f>F13</f>
        <v>4</v>
      </c>
      <c r="H22" s="48">
        <f>H13</f>
        <v>1900</v>
      </c>
      <c r="I22" s="48">
        <f>I13+D14+D15+D16+D18+D19+D21+D22</f>
        <v>0</v>
      </c>
      <c r="J22" s="48">
        <f>D17+D20</f>
        <v>0</v>
      </c>
      <c r="K22" s="48">
        <f>H22</f>
        <v>1900</v>
      </c>
      <c r="M22" s="82" t="s">
        <v>114</v>
      </c>
      <c r="N22" s="58" t="s">
        <v>110</v>
      </c>
      <c r="O22" s="48">
        <f>D26</f>
        <v>600</v>
      </c>
      <c r="P22" s="13"/>
      <c r="Q22" s="13"/>
    </row>
    <row r="23" spans="1:17" x14ac:dyDescent="0.25">
      <c r="A23" s="65">
        <v>44681</v>
      </c>
      <c r="B23" s="65">
        <v>44681</v>
      </c>
      <c r="C23" s="66" t="s">
        <v>35</v>
      </c>
      <c r="D23" s="67">
        <v>-319.634703196347</v>
      </c>
      <c r="E23" s="67" t="s">
        <v>103</v>
      </c>
      <c r="F23" s="68">
        <v>2</v>
      </c>
      <c r="H23" s="13"/>
      <c r="I23" s="13"/>
      <c r="J23" s="13"/>
      <c r="K23" s="13"/>
      <c r="M23" s="82"/>
      <c r="N23" s="63" t="s">
        <v>46</v>
      </c>
      <c r="O23" s="13"/>
      <c r="P23" s="48">
        <f>-O22</f>
        <v>-600</v>
      </c>
      <c r="Q23" s="13"/>
    </row>
    <row r="24" spans="1:17" x14ac:dyDescent="0.25">
      <c r="A24" s="65">
        <v>44681</v>
      </c>
      <c r="B24" s="65">
        <v>44681</v>
      </c>
      <c r="C24" s="66" t="s">
        <v>35</v>
      </c>
      <c r="D24" s="67">
        <v>-277.777777777778</v>
      </c>
      <c r="E24" s="67" t="s">
        <v>103</v>
      </c>
      <c r="F24" s="68">
        <v>3</v>
      </c>
      <c r="H24" s="13"/>
      <c r="I24" s="13"/>
      <c r="J24" s="13"/>
      <c r="K24" s="13"/>
      <c r="M24" s="82"/>
      <c r="N24" s="51" t="s">
        <v>46</v>
      </c>
      <c r="O24" s="48">
        <f>-P25</f>
        <v>188.73668188736681</v>
      </c>
      <c r="P24" s="13"/>
      <c r="Q24" s="13"/>
    </row>
    <row r="25" spans="1:17" x14ac:dyDescent="0.25">
      <c r="A25" s="65">
        <v>44681</v>
      </c>
      <c r="B25" s="65">
        <v>44681</v>
      </c>
      <c r="C25" s="66" t="s">
        <v>35</v>
      </c>
      <c r="D25" s="67">
        <v>-319.634703196347</v>
      </c>
      <c r="E25" s="67" t="s">
        <v>103</v>
      </c>
      <c r="F25" s="68">
        <v>4</v>
      </c>
      <c r="G25" s="69"/>
      <c r="H25" s="54">
        <f>H13</f>
        <v>1900</v>
      </c>
      <c r="I25" s="54">
        <f>D23+D24+D25</f>
        <v>-917.04718417047195</v>
      </c>
      <c r="J25" s="54">
        <f>J13</f>
        <v>0</v>
      </c>
      <c r="K25" s="54">
        <f>K22+D23+D24+D25</f>
        <v>982.95281582952805</v>
      </c>
      <c r="M25" s="82"/>
      <c r="N25" s="51" t="s">
        <v>35</v>
      </c>
      <c r="O25" s="13"/>
      <c r="P25" s="48">
        <f>D27+D28</f>
        <v>-188.73668188736681</v>
      </c>
      <c r="Q25" s="13"/>
    </row>
    <row r="26" spans="1:17" x14ac:dyDescent="0.25">
      <c r="A26" s="22">
        <v>44712</v>
      </c>
      <c r="B26" s="22">
        <v>44712</v>
      </c>
      <c r="C26" s="13" t="s">
        <v>108</v>
      </c>
      <c r="D26" s="58">
        <v>600</v>
      </c>
      <c r="E26" s="58" t="s">
        <v>109</v>
      </c>
      <c r="F26" s="49">
        <v>0</v>
      </c>
      <c r="H26" s="13"/>
      <c r="I26" s="13"/>
      <c r="J26" s="13"/>
      <c r="K26" s="13"/>
      <c r="M26" s="13"/>
      <c r="Q26" s="13"/>
    </row>
    <row r="27" spans="1:17" x14ac:dyDescent="0.25">
      <c r="A27" s="22">
        <v>44712</v>
      </c>
      <c r="B27" s="22">
        <v>44712</v>
      </c>
      <c r="C27" s="13" t="s">
        <v>35</v>
      </c>
      <c r="D27" s="58">
        <v>-94.368340943683407</v>
      </c>
      <c r="E27" s="48" t="s">
        <v>103</v>
      </c>
      <c r="F27" s="49">
        <v>2</v>
      </c>
      <c r="H27" s="13"/>
      <c r="I27" s="13"/>
      <c r="J27" s="13"/>
      <c r="K27" s="13"/>
      <c r="M27" s="13"/>
      <c r="N27" s="13"/>
      <c r="O27" s="13"/>
      <c r="P27" s="13"/>
      <c r="Q27" s="13"/>
    </row>
    <row r="28" spans="1:17" x14ac:dyDescent="0.25">
      <c r="A28" s="52">
        <v>44712</v>
      </c>
      <c r="B28" s="52">
        <v>44712</v>
      </c>
      <c r="C28" s="53" t="s">
        <v>35</v>
      </c>
      <c r="D28" s="54">
        <v>-94.368340943683407</v>
      </c>
      <c r="E28" s="54" t="s">
        <v>103</v>
      </c>
      <c r="F28" s="55">
        <v>4</v>
      </c>
      <c r="G28" s="69"/>
      <c r="H28" s="54">
        <f>H25+D26</f>
        <v>2500</v>
      </c>
      <c r="I28" s="54">
        <f>I25+D27+D28</f>
        <v>-1105.7838660578388</v>
      </c>
      <c r="J28" s="53"/>
      <c r="K28" s="54">
        <f>K25+D26+D27+D28</f>
        <v>1394.2161339421609</v>
      </c>
      <c r="M28" s="13"/>
      <c r="N28" s="13"/>
      <c r="O28" s="13"/>
      <c r="P28" s="13"/>
      <c r="Q28" s="13"/>
    </row>
  </sheetData>
  <mergeCells count="8">
    <mergeCell ref="M16:M17"/>
    <mergeCell ref="M19:M20"/>
    <mergeCell ref="M22:M25"/>
    <mergeCell ref="A2:F2"/>
    <mergeCell ref="H2:K2"/>
    <mergeCell ref="M2:Q2"/>
    <mergeCell ref="M4:M7"/>
    <mergeCell ref="M9:M14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xxJOB</vt:lpstr>
      <vt:lpstr>CATALOG</vt:lpstr>
      <vt:lpstr>REV</vt:lpstr>
      <vt:lpstr>INV</vt:lpstr>
      <vt:lpstr>EOD</vt:lpstr>
      <vt:lpstr>ProductCatalog_Allocation_Calc</vt:lpstr>
      <vt:lpstr>RevRec_Calc</vt:lpstr>
      <vt:lpstr>Events</vt:lpstr>
      <vt:lpstr>o_Transaction</vt:lpstr>
      <vt:lpstr>EXPECTED_INP_OUT</vt:lpstr>
      <vt:lpstr>Scenario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Rafay Ahmed</dc:creator>
  <cp:lastModifiedBy>Rafay Ahmed</cp:lastModifiedBy>
  <cp:revision>9</cp:revision>
  <dcterms:created xsi:type="dcterms:W3CDTF">2025-02-05T13:36:13Z</dcterms:created>
  <dcterms:modified xsi:type="dcterms:W3CDTF">2025-12-16T04:31:03Z</dcterms:modified>
  <dc:language>en-US</dc:language>
</cp:coreProperties>
</file>