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8"/>
  </bookViews>
  <sheets>
    <sheet name="Test" sheetId="1" state="visible" r:id="rId1"/>
    <sheet name="O_TransactionActivity" sheetId="2" state="visible" r:id="rId2"/>
    <sheet name="O_TransactionActivity2" sheetId="3" state="visible" r:id="rId3"/>
    <sheet name="O_TransactionActivity3" sheetId="4" state="visible" r:id="rId4"/>
    <sheet name="O_TransactionActivity4" sheetId="5" state="visible" r:id="rId5"/>
    <sheet name="O_Attribute" sheetId="6" state="visible" r:id="rId6"/>
    <sheet name="O_Attribute2" sheetId="7" state="visible" r:id="rId7"/>
    <sheet name="O_Attribute3" sheetId="8" state="visible" r:id="rId8"/>
    <sheet name="O_Attribute4" sheetId="9" state="visible" r:id="rId9"/>
    <sheet name="O_Instrument" sheetId="10" state="visible" r:id="rId10"/>
    <sheet name="O_Instrument2" sheetId="11" state="visible" r:id="rId11"/>
    <sheet name="O_Instrument3" sheetId="12" state="visible" r:id="rId12"/>
    <sheet name="O_Instrument4" sheetId="13" state="visible" r:id="rId13"/>
    <sheet name="O_TransactionActivity5" sheetId="14" state="visible" r:id="rId14"/>
    <sheet name="O_Attribute5" sheetId="15" state="visible" r:id="rId15"/>
    <sheet name="O_Instrument5" sheetId="16" state="visible" r:id="rId16"/>
    <sheet name="O_Metric" sheetId="17" state="visible" r:id="rId17"/>
    <sheet name="O_InstrumentAttribute" sheetId="18" state="visible" r:id="rId18"/>
    <sheet name="Calc" sheetId="19" state="visible" r:id="rId19"/>
  </sheets>
  <definedNames>
    <definedName name="_xlnm._FilterDatabase" localSheetId="1" hidden="1">O_TransactionActivity!$A$2:$J$18</definedName>
    <definedName name="_xlnm._FilterDatabase" localSheetId="2" hidden="1">O_TransactionActivity2!$A$2:$J$18</definedName>
    <definedName name="_xlnm._FilterDatabase" localSheetId="3" hidden="1">O_TransactionActivity3!$A$2:$J$18</definedName>
    <definedName name="_xlnm._FilterDatabase" localSheetId="4" hidden="1">O_TransactionActivity4!$A$2:$J$18</definedName>
    <definedName name="_xlnm._FilterDatabase" localSheetId="5" hidden="1">O_Attribute!$A$2:$G$46</definedName>
    <definedName name="_xlnm._FilterDatabase" localSheetId="6" hidden="1">O_Attribute2!$A$2:$G$46</definedName>
    <definedName name="_xlnm._FilterDatabase" localSheetId="7" hidden="1">O_Attribute3!$A$2:$G$46</definedName>
    <definedName name="_xlnm._FilterDatabase" localSheetId="8" hidden="1">O_Attribute4!$A$2:$G$46</definedName>
    <definedName name="_xlnm._FilterDatabase" localSheetId="9" hidden="1">O_Instrument!$A$2:$F$21</definedName>
    <definedName name="_xlnm._FilterDatabase" localSheetId="10" hidden="1">O_Instrument2!$A$2:$F$21</definedName>
    <definedName name="_xlnm._FilterDatabase" localSheetId="11" hidden="1">O_Instrument3!$A$2:$F$21</definedName>
    <definedName name="_xlnm._FilterDatabase" localSheetId="12" hidden="1">O_Instrument4!$A$2:$F$21</definedName>
    <definedName name="_xlnm._FilterDatabase" localSheetId="13" hidden="1">O_TransactionActivity5!$A$2:$J$18</definedName>
    <definedName name="_xlnm._FilterDatabase" localSheetId="14" hidden="1">O_Attribute5!$A$2:$G$46</definedName>
    <definedName name="_xlnm._FilterDatabase" localSheetId="15" hidden="1">O_Instrument5!$A$2:$F$21</definedName>
    <definedName name="_xlnm._FilterDatabase" localSheetId="17" hidden="1">O_InstrumentAttribute!$A$2:$J$18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<sst xmlns="http://schemas.openxmlformats.org/spreadsheetml/2006/main" count="125" uniqueCount="125">
  <si>
    <t>Steps</t>
  </si>
  <si>
    <t>Type</t>
  </si>
  <si>
    <t>Input</t>
  </si>
  <si>
    <t>LOAD_REF_DATA</t>
  </si>
  <si>
    <t>FILE_UPLOAD</t>
  </si>
  <si>
    <t>TestRevenue/ReferenceData/Revenue_RefData.xlsx</t>
  </si>
  <si>
    <t>CUSTOM_TABLE_DEFINITION</t>
  </si>
  <si>
    <t>CONFIGURATION</t>
  </si>
  <si>
    <t>TestRevenue/CustomTableDefinitions.json</t>
  </si>
  <si>
    <t>UPLOAD_CUSTOM_DATA</t>
  </si>
  <si>
    <t>TestRevenue/ActivityData/ActivityData_Jan22_Custom.xlsx</t>
  </si>
  <si>
    <t>EVENT_CONFIGURATION</t>
  </si>
  <si>
    <t>TestRevenue/EventConfigurations.json</t>
  </si>
  <si>
    <t>MODEL_UPLOAD</t>
  </si>
  <si>
    <t>TestRevenue/Model/Revenue_model_changed_V4.xlsx</t>
  </si>
  <si>
    <t>MODEL_CONFIGURATION</t>
  </si>
  <si>
    <t>ATTRIBUTE</t>
  </si>
  <si>
    <t>ACTIVITY_UPLOAD</t>
  </si>
  <si>
    <t>TestRevenue/ActivityData/ActivityData_Jan22.xlsx</t>
  </si>
  <si>
    <t>MODEL_EXECUTION</t>
  </si>
  <si>
    <t>EXECUTION</t>
  </si>
  <si>
    <t>TestRevenue/ActivityData/ActivityData_Feb22.xlsx</t>
  </si>
  <si>
    <t>TestRevenue/ActivityData/ActivityData_Apr22.xlsx</t>
  </si>
  <si>
    <t>TestRevenue/ActivityData/ActivityData_May22.xlsx</t>
  </si>
  <si>
    <t>TransactionActivity</t>
  </si>
  <si>
    <t xml:space="preserve">{"instrumentId": "SO1"}</t>
  </si>
  <si>
    <t xml:space="preserve">postingDate ASC</t>
  </si>
  <si>
    <t xml:space="preserve">attributeId ASC</t>
  </si>
  <si>
    <t xml:space="preserve">transactionName ASC</t>
  </si>
  <si>
    <t xml:space="preserve">source ASC</t>
  </si>
  <si>
    <t xml:space="preserve">effectiveDate ASC</t>
  </si>
  <si>
    <t>instrumentId</t>
  </si>
  <si>
    <t>amount</t>
  </si>
  <si>
    <t>originalPeriodId</t>
  </si>
  <si>
    <t>accountingPeriod.periodId</t>
  </si>
  <si>
    <t>isReplayable</t>
  </si>
  <si>
    <t>UNBILLED_CHARGE</t>
  </si>
  <si>
    <t>MODEL</t>
  </si>
  <si>
    <t>SO1</t>
  </si>
  <si>
    <t>REVENUE</t>
  </si>
  <si>
    <t>NEW_BILLING</t>
  </si>
  <si>
    <t>ETL</t>
  </si>
  <si>
    <t xml:space="preserve">{"instrumentId": "SO2"}</t>
  </si>
  <si>
    <t>SO2</t>
  </si>
  <si>
    <t xml:space="preserve">{"instrumentId": "SO3"}</t>
  </si>
  <si>
    <t>SO3</t>
  </si>
  <si>
    <t xml:space="preserve">{"instrumentId": "SO4"}</t>
  </si>
  <si>
    <t>SO4</t>
  </si>
  <si>
    <t>AttributeLevelLtd</t>
  </si>
  <si>
    <t xml:space="preserve">metricName ASC</t>
  </si>
  <si>
    <t xml:space="preserve">instrumentId ASC</t>
  </si>
  <si>
    <t>balance.beginningBalance</t>
  </si>
  <si>
    <t>balance.activity</t>
  </si>
  <si>
    <t>balance.endingBalance</t>
  </si>
  <si>
    <t>DEFERRED_REVENUE</t>
  </si>
  <si>
    <t>UNBILLED</t>
  </si>
  <si>
    <t>BILLING</t>
  </si>
  <si>
    <t>InstrumentLevelLtd</t>
  </si>
  <si>
    <t xml:space="preserve">{"instrumentId": "SO5"}</t>
  </si>
  <si>
    <t>SO5</t>
  </si>
  <si>
    <t>MetricLevelLtd</t>
  </si>
  <si>
    <t>{}</t>
  </si>
  <si>
    <t>InstrumentAttribute</t>
  </si>
  <si>
    <t>effectiveDate</t>
  </si>
  <si>
    <t>endDate</t>
  </si>
  <si>
    <t>periodId</t>
  </si>
  <si>
    <t>source</t>
  </si>
  <si>
    <t>attributes.CURRENCY</t>
  </si>
  <si>
    <t>attributes.SALE_PRICE</t>
  </si>
  <si>
    <t>attributes.ORDER_DATE</t>
  </si>
  <si>
    <t>attributes.ITEM_ENDDATE</t>
  </si>
  <si>
    <t>attributes.QUANTITY</t>
  </si>
  <si>
    <t>attributes.EXTENDED_SALEPRICE</t>
  </si>
  <si>
    <t>attributes.ITEM_ID</t>
  </si>
  <si>
    <t>attributes.ITEM_STARTDATE</t>
  </si>
  <si>
    <t>attributes.PRODUCT_ID</t>
  </si>
  <si>
    <t>attributes.PRODUCT_NAME</t>
  </si>
  <si>
    <t>2022-01-15T00:00:00.000Z</t>
  </si>
  <si>
    <t>USD</t>
  </si>
  <si>
    <t>2022-01-15T18:30:00.000Z</t>
  </si>
  <si>
    <t>INVOICE</t>
  </si>
  <si>
    <t>IDHJ-EGNY</t>
  </si>
  <si>
    <t>DISCOUNT</t>
  </si>
  <si>
    <t>2023-01-15T18:30:00.000Z</t>
  </si>
  <si>
    <t>FFFF-AAAA</t>
  </si>
  <si>
    <t xml:space="preserve">SAAS BASIC SUBSCRIPTION</t>
  </si>
  <si>
    <t>FFFF-BBBB</t>
  </si>
  <si>
    <t xml:space="preserve">SAAS IMPLEMENTATION</t>
  </si>
  <si>
    <t>FFFF-CCC</t>
  </si>
  <si>
    <t xml:space="preserve">SAAS PREMIUM SUBSCRIPTION</t>
  </si>
  <si>
    <t xml:space="preserve">PRODUCT CATALOG</t>
  </si>
  <si>
    <t>ProductId</t>
  </si>
  <si>
    <t>ProductName</t>
  </si>
  <si>
    <t xml:space="preserve">Standalone Sellig Price Rule</t>
  </si>
  <si>
    <t xml:space="preserve">Revenue Recognition Method</t>
  </si>
  <si>
    <t>Amount</t>
  </si>
  <si>
    <t>Billings</t>
  </si>
  <si>
    <t>TransactionName</t>
  </si>
  <si>
    <t>AttributeId</t>
  </si>
  <si>
    <t>PostingDate</t>
  </si>
  <si>
    <t>TransactionDate</t>
  </si>
  <si>
    <t>InstrumentId</t>
  </si>
  <si>
    <t>Discount</t>
  </si>
  <si>
    <t>AMOUNT</t>
  </si>
  <si>
    <t>POINT_IN_TIME</t>
  </si>
  <si>
    <t xml:space="preserve">New Billing</t>
  </si>
  <si>
    <t xml:space="preserve">SaaS Basic Subscription</t>
  </si>
  <si>
    <t xml:space="preserve">USE SALES PRICE</t>
  </si>
  <si>
    <t>RATABLE</t>
  </si>
  <si>
    <t xml:space="preserve">SaaS Implementation</t>
  </si>
  <si>
    <t xml:space="preserve">SaaS Training</t>
  </si>
  <si>
    <t xml:space="preserve">SaaS Premium Subscription</t>
  </si>
  <si>
    <t>Invoice</t>
  </si>
  <si>
    <t xml:space="preserve">REVENUE ALLOCATION</t>
  </si>
  <si>
    <t xml:space="preserve">Sale Price</t>
  </si>
  <si>
    <t>SSP</t>
  </si>
  <si>
    <t>Ratio</t>
  </si>
  <si>
    <t>Allocation</t>
  </si>
  <si>
    <t>StartDate</t>
  </si>
  <si>
    <t>EndDate</t>
  </si>
  <si>
    <t>Total</t>
  </si>
  <si>
    <t>Date</t>
  </si>
  <si>
    <t>Revenue</t>
  </si>
  <si>
    <t>Days</t>
  </si>
  <si>
    <t xml:space="preserve">Correction 4/30/2022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</si>
</sst>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/dd/yy"/>
    <numFmt numFmtId="165" formatCode="#,##0.0000_);[Red]\(#,##0.0000\)"/>
    <numFmt numFmtId="166" formatCode="0.0000"/>
  </numFmts>
  <fonts count="7">
    <font>
      <sz val="10.000000"/>
      <color theme="1"/>
      <name val="Arial"/>
    </font>
    <font>
      <sz val="11.000000"/>
      <color theme="1"/>
      <name val="Calibri"/>
    </font>
    <font>
      <i/>
      <sz val="10.000000"/>
      <color rgb="FFC77DBB"/>
      <name val="Arial"/>
    </font>
    <font>
      <b/>
      <sz val="10.000000"/>
      <name val="Arial"/>
    </font>
    <font>
      <b/>
      <sz val="16.000000"/>
      <color theme="1"/>
      <name val="Calibri"/>
    </font>
    <font>
      <b/>
      <sz val="11.000000"/>
      <color theme="1"/>
      <name val="Arial"/>
    </font>
    <font>
      <b/>
      <sz val="11.00000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  <fill>
      <patternFill patternType="solid">
        <fgColor indexed="5"/>
      </patternFill>
    </fill>
    <fill>
      <patternFill patternType="solid">
        <fgColor theme="9" tint="0.59987182226020086"/>
        <bgColor indexed="29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31">
    <xf fontId="0" fillId="0" borderId="0" numFmtId="0" xfId="0"/>
    <xf fontId="0" fillId="0" borderId="0" numFmtId="0" xfId="0" applyProtection="1"/>
    <xf fontId="2" fillId="0" borderId="0" numFmtId="0" xfId="0" applyFont="1"/>
    <xf fontId="0" fillId="0" borderId="0" numFmtId="164" xfId="0" applyNumberFormat="1" applyProtection="1"/>
    <xf fontId="0" fillId="0" borderId="0" numFmtId="0" xfId="0" applyAlignment="1" applyProtection="1">
      <alignment wrapText="1"/>
    </xf>
    <xf fontId="1" fillId="0" borderId="0" numFmtId="0" xfId="0" applyFont="1"/>
    <xf fontId="1" fillId="0" borderId="0" numFmtId="0" xfId="0" applyFont="1" applyProtection="1"/>
    <xf fontId="3" fillId="2" borderId="1" numFmtId="0" xfId="0" applyFont="1" applyFill="1" applyBorder="1" applyProtection="1"/>
    <xf fontId="0" fillId="0" borderId="1" numFmtId="0" xfId="0" applyBorder="1" applyProtection="1"/>
    <xf fontId="0" fillId="0" borderId="1" numFmtId="165" xfId="0" applyNumberFormat="1" applyBorder="1" applyProtection="1"/>
    <xf fontId="0" fillId="0" borderId="1" numFmtId="166" xfId="0" applyNumberFormat="1" applyBorder="1" applyProtection="1"/>
    <xf fontId="0" fillId="3" borderId="1" numFmtId="0" xfId="0" applyFill="1" applyBorder="1" applyProtection="1"/>
    <xf fontId="0" fillId="3" borderId="1" numFmtId="165" xfId="0" applyNumberFormat="1" applyFill="1" applyBorder="1" applyProtection="1"/>
    <xf fontId="0" fillId="3" borderId="1" numFmtId="166" xfId="0" applyNumberFormat="1" applyFill="1" applyBorder="1" applyProtection="1"/>
    <xf fontId="0" fillId="0" borderId="0" numFmtId="165" xfId="0" applyNumberFormat="1" applyProtection="1"/>
    <xf fontId="0" fillId="0" borderId="0" numFmtId="166" xfId="0" applyNumberFormat="1" applyProtection="1"/>
    <xf fontId="4" fillId="2" borderId="2" numFmtId="0" xfId="1" applyFont="1" applyFill="1" applyBorder="1" applyAlignment="1" applyProtection="1">
      <alignment horizontal="center"/>
    </xf>
    <xf fontId="5" fillId="2" borderId="3" numFmtId="0" xfId="0" applyFont="1" applyFill="1" applyBorder="1" applyProtection="1"/>
    <xf fontId="3" fillId="0" borderId="4" numFmtId="0" xfId="0" applyFont="1" applyBorder="1" applyAlignment="1" applyProtection="1">
      <alignment horizontal="center" vertical="center"/>
    </xf>
    <xf fontId="6" fillId="2" borderId="1" numFmtId="0" xfId="1" applyFont="1" applyFill="1" applyBorder="1" applyProtection="1"/>
    <xf fontId="1" fillId="0" borderId="1" numFmtId="1" xfId="1" applyNumberFormat="1" applyFont="1" applyBorder="1" applyProtection="1"/>
    <xf fontId="1" fillId="0" borderId="1" numFmtId="14" xfId="1" applyNumberFormat="1" applyFont="1" applyBorder="1" applyProtection="1"/>
    <xf fontId="1" fillId="0" borderId="1" numFmtId="0" xfId="1" applyFont="1" applyBorder="1" applyProtection="1"/>
    <xf fontId="4" fillId="2" borderId="1" numFmtId="0" xfId="1" applyFont="1" applyFill="1" applyBorder="1" applyAlignment="1" applyProtection="1">
      <alignment horizontal="center"/>
    </xf>
    <xf fontId="0" fillId="0" borderId="1" numFmtId="40" xfId="0" applyNumberFormat="1" applyBorder="1" applyProtection="1"/>
    <xf fontId="5" fillId="4" borderId="1" numFmtId="0" xfId="0" applyFont="1" applyFill="1" applyBorder="1" applyProtection="1"/>
    <xf fontId="0" fillId="4" borderId="1" numFmtId="40" xfId="0" applyNumberFormat="1" applyFill="1" applyBorder="1" applyProtection="1"/>
    <xf fontId="3" fillId="0" borderId="1" numFmtId="0" xfId="0" applyFont="1" applyBorder="1" applyAlignment="1" applyProtection="1">
      <alignment horizontal="center"/>
    </xf>
    <xf fontId="3" fillId="0" borderId="1" numFmtId="0" xfId="0" applyFont="1" applyBorder="1" applyProtection="1"/>
    <xf fontId="0" fillId="0" borderId="1" numFmtId="14" xfId="0" applyNumberFormat="1" applyBorder="1" applyProtection="1"/>
    <xf fontId="3" fillId="0" borderId="2" numFmtId="0" xfId="0" applyFont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4" activeCellId="0" sqref="A4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42.710937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</v>
      </c>
    </row>
    <row r="3" ht="12.75" customHeight="1">
      <c r="A3" t="s">
        <v>6</v>
      </c>
      <c r="B3" t="s">
        <v>7</v>
      </c>
      <c r="C3" t="s">
        <v>8</v>
      </c>
    </row>
    <row r="4" ht="12.75" customHeight="1">
      <c r="A4" t="s">
        <v>9</v>
      </c>
      <c r="B4" t="s">
        <v>4</v>
      </c>
      <c r="C4" s="1" t="s">
        <v>10</v>
      </c>
    </row>
    <row r="5" ht="12.75" customHeight="1">
      <c r="A5" s="2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1" t="s">
        <v>14</v>
      </c>
    </row>
    <row r="7" ht="12.75" customHeight="1">
      <c r="A7" s="1" t="s">
        <v>15</v>
      </c>
      <c r="B7" s="1" t="s">
        <v>7</v>
      </c>
      <c r="C7" s="1" t="s">
        <v>16</v>
      </c>
    </row>
    <row r="8" ht="12.75" customHeight="1">
      <c r="A8" s="1" t="s">
        <v>17</v>
      </c>
      <c r="B8" s="1" t="s">
        <v>4</v>
      </c>
      <c r="C8" s="1" t="s">
        <v>18</v>
      </c>
    </row>
    <row r="9" ht="12.75" customHeight="1">
      <c r="A9" s="1" t="s">
        <v>19</v>
      </c>
      <c r="B9" s="1" t="s">
        <v>20</v>
      </c>
      <c r="C9" s="3">
        <v>44592</v>
      </c>
    </row>
    <row r="10" ht="12.75" customHeight="1">
      <c r="A10" s="1" t="s">
        <v>17</v>
      </c>
      <c r="B10" s="1" t="s">
        <v>4</v>
      </c>
      <c r="C10" s="1" t="s">
        <v>21</v>
      </c>
    </row>
    <row r="11" ht="12.75" customHeight="1">
      <c r="A11" s="1" t="s">
        <v>19</v>
      </c>
      <c r="B11" s="1" t="s">
        <v>20</v>
      </c>
      <c r="C11" s="3">
        <v>44620</v>
      </c>
    </row>
    <row r="12" ht="12.75" customHeight="1">
      <c r="A12" s="1" t="s">
        <v>19</v>
      </c>
      <c r="B12" s="1" t="s">
        <v>20</v>
      </c>
      <c r="C12" s="3">
        <v>44651</v>
      </c>
    </row>
    <row r="13" ht="12.75" customHeight="1">
      <c r="A13" s="1" t="s">
        <v>17</v>
      </c>
      <c r="B13" s="1" t="s">
        <v>4</v>
      </c>
      <c r="C13" s="1" t="s">
        <v>22</v>
      </c>
    </row>
    <row r="14" ht="12.75" customHeight="1">
      <c r="A14" s="1" t="s">
        <v>19</v>
      </c>
      <c r="B14" s="1" t="s">
        <v>20</v>
      </c>
      <c r="C14" s="3">
        <v>44681</v>
      </c>
    </row>
    <row r="15" ht="12.75" customHeight="1">
      <c r="A15" s="1" t="s">
        <v>17</v>
      </c>
      <c r="B15" s="1" t="s">
        <v>4</v>
      </c>
      <c r="C15" s="1" t="s">
        <v>23</v>
      </c>
    </row>
    <row r="16" ht="12.75" customHeight="1">
      <c r="A16" s="1" t="s">
        <v>19</v>
      </c>
      <c r="B16" s="1" t="s">
        <v>20</v>
      </c>
      <c r="C16" s="3">
        <v>44712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7" activeCellId="0" sqref="B7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25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8">
        <v>20220131</v>
      </c>
      <c r="B3" s="8">
        <v>0</v>
      </c>
      <c r="C3" s="8" t="s">
        <v>36</v>
      </c>
      <c r="D3" s="8" t="s">
        <v>37</v>
      </c>
      <c r="E3" s="8">
        <v>20220131</v>
      </c>
      <c r="F3" s="8" t="s">
        <v>38</v>
      </c>
      <c r="G3" s="9">
        <v>342.81800000000004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2</v>
      </c>
      <c r="C4" s="8" t="s">
        <v>39</v>
      </c>
      <c r="D4" s="8" t="s">
        <v>37</v>
      </c>
      <c r="E4" s="8">
        <v>20220131</v>
      </c>
      <c r="F4" s="8" t="s">
        <v>38</v>
      </c>
      <c r="G4" s="9">
        <v>-47.593000000000004</v>
      </c>
      <c r="H4" s="8">
        <v>202201</v>
      </c>
      <c r="I4" s="8">
        <v>202201</v>
      </c>
      <c r="J4" s="8">
        <v>0</v>
      </c>
    </row>
    <row r="5">
      <c r="A5" s="8">
        <v>20220131</v>
      </c>
      <c r="B5" s="8">
        <v>3</v>
      </c>
      <c r="C5" s="8" t="s">
        <v>39</v>
      </c>
      <c r="D5" s="8" t="s">
        <v>37</v>
      </c>
      <c r="E5" s="8">
        <v>20220131</v>
      </c>
      <c r="F5" s="8" t="s">
        <v>38</v>
      </c>
      <c r="G5" s="9">
        <v>-271.42860000000002</v>
      </c>
      <c r="H5" s="8">
        <v>202201</v>
      </c>
      <c r="I5" s="8">
        <v>202201</v>
      </c>
      <c r="J5" s="8">
        <v>0</v>
      </c>
    </row>
    <row r="6">
      <c r="A6" s="8">
        <v>20220131</v>
      </c>
      <c r="B6" s="8">
        <v>4</v>
      </c>
      <c r="C6" s="8" t="s">
        <v>39</v>
      </c>
      <c r="D6" s="8" t="s">
        <v>37</v>
      </c>
      <c r="E6" s="8">
        <v>20220131</v>
      </c>
      <c r="F6" s="8" t="s">
        <v>38</v>
      </c>
      <c r="G6" s="9">
        <v>-23.796500000000002</v>
      </c>
      <c r="H6" s="8">
        <v>202201</v>
      </c>
      <c r="I6" s="8">
        <v>202201</v>
      </c>
      <c r="J6" s="8">
        <v>0</v>
      </c>
    </row>
    <row r="7" ht="12.75" customHeight="1">
      <c r="A7" s="8">
        <v>20220228</v>
      </c>
      <c r="B7" s="8">
        <v>0</v>
      </c>
      <c r="C7" s="8" t="s">
        <v>40</v>
      </c>
      <c r="D7" s="8" t="s">
        <v>41</v>
      </c>
      <c r="E7" s="8">
        <v>20220228</v>
      </c>
      <c r="F7" s="8" t="s">
        <v>38</v>
      </c>
      <c r="G7" s="9">
        <v>1900</v>
      </c>
      <c r="H7" s="8">
        <v>202202</v>
      </c>
      <c r="I7" s="8">
        <v>202202</v>
      </c>
      <c r="J7" s="8">
        <v>0</v>
      </c>
    </row>
    <row r="8" ht="12.75" customHeight="1">
      <c r="A8" s="8">
        <v>20220228</v>
      </c>
      <c r="B8" s="8">
        <v>0</v>
      </c>
      <c r="C8" s="8" t="s">
        <v>36</v>
      </c>
      <c r="D8" s="8" t="s">
        <v>37</v>
      </c>
      <c r="E8" s="8">
        <v>20220228</v>
      </c>
      <c r="F8" s="8" t="s">
        <v>38</v>
      </c>
      <c r="G8" s="9">
        <v>-342.81800000000004</v>
      </c>
      <c r="H8" s="8">
        <v>202202</v>
      </c>
      <c r="I8" s="8">
        <v>202202</v>
      </c>
      <c r="J8" s="8">
        <v>0</v>
      </c>
    </row>
    <row r="9" ht="12.75" customHeight="1">
      <c r="A9" s="8">
        <v>20220228</v>
      </c>
      <c r="B9" s="8">
        <v>2</v>
      </c>
      <c r="C9" s="8" t="s">
        <v>39</v>
      </c>
      <c r="D9" s="8" t="s">
        <v>37</v>
      </c>
      <c r="E9" s="8">
        <v>20220228</v>
      </c>
      <c r="F9" s="8" t="s">
        <v>38</v>
      </c>
      <c r="G9" s="9">
        <v>-83.287599999999998</v>
      </c>
      <c r="H9" s="8">
        <v>202202</v>
      </c>
      <c r="I9" s="8">
        <v>202202</v>
      </c>
      <c r="J9" s="8">
        <v>0</v>
      </c>
    </row>
    <row r="10" ht="12.75" customHeight="1">
      <c r="A10" s="8">
        <v>20220228</v>
      </c>
      <c r="B10" s="8">
        <v>4</v>
      </c>
      <c r="C10" s="8" t="s">
        <v>39</v>
      </c>
      <c r="D10" s="8" t="s">
        <v>37</v>
      </c>
      <c r="E10" s="8">
        <v>20220228</v>
      </c>
      <c r="F10" s="8" t="s">
        <v>38</v>
      </c>
      <c r="G10" s="9">
        <v>-41.643799999999999</v>
      </c>
      <c r="H10" s="8">
        <v>202202</v>
      </c>
      <c r="I10" s="8">
        <v>202202</v>
      </c>
      <c r="J10" s="8">
        <v>0</v>
      </c>
    </row>
    <row r="11" ht="12.75" customHeight="1">
      <c r="A11" s="8">
        <v>20220331</v>
      </c>
      <c r="B11" s="8">
        <v>2</v>
      </c>
      <c r="C11" s="8" t="s">
        <v>39</v>
      </c>
      <c r="D11" s="8" t="s">
        <v>37</v>
      </c>
      <c r="E11" s="8">
        <v>20220331</v>
      </c>
      <c r="F11" s="8" t="s">
        <v>38</v>
      </c>
      <c r="G11" s="9">
        <v>-92.211399999999998</v>
      </c>
      <c r="H11" s="8">
        <v>202203</v>
      </c>
      <c r="I11" s="8">
        <v>202203</v>
      </c>
      <c r="J11" s="8">
        <v>0</v>
      </c>
    </row>
    <row r="12" ht="12.75" customHeight="1">
      <c r="A12" s="8">
        <v>20220331</v>
      </c>
      <c r="B12" s="8">
        <v>4</v>
      </c>
      <c r="C12" s="8" t="s">
        <v>39</v>
      </c>
      <c r="D12" s="8" t="s">
        <v>37</v>
      </c>
      <c r="E12" s="8">
        <v>20220331</v>
      </c>
      <c r="F12" s="8" t="s">
        <v>38</v>
      </c>
      <c r="G12" s="9">
        <v>-46.105699999999999</v>
      </c>
      <c r="H12" s="8">
        <v>202203</v>
      </c>
      <c r="I12" s="8">
        <v>202203</v>
      </c>
      <c r="J12" s="8">
        <v>0</v>
      </c>
    </row>
    <row r="13" ht="12.75" customHeight="1">
      <c r="A13" s="8">
        <v>20220430</v>
      </c>
      <c r="B13" s="8">
        <v>2</v>
      </c>
      <c r="C13" s="8" t="s">
        <v>39</v>
      </c>
      <c r="D13" s="8" t="s">
        <v>37</v>
      </c>
      <c r="E13" s="8">
        <v>20220430</v>
      </c>
      <c r="F13" s="8" t="s">
        <v>38</v>
      </c>
      <c r="G13" s="9">
        <v>-96.542699999999996</v>
      </c>
      <c r="H13" s="8">
        <v>202204</v>
      </c>
      <c r="I13" s="8">
        <v>202204</v>
      </c>
      <c r="J13" s="8">
        <v>0</v>
      </c>
    </row>
    <row r="14" ht="12.75" customHeight="1">
      <c r="A14" s="8">
        <v>20220430</v>
      </c>
      <c r="B14" s="8">
        <v>3</v>
      </c>
      <c r="C14" s="8" t="s">
        <v>39</v>
      </c>
      <c r="D14" s="8" t="s">
        <v>37</v>
      </c>
      <c r="E14" s="8">
        <v>20220430</v>
      </c>
      <c r="F14" s="8" t="s">
        <v>38</v>
      </c>
      <c r="G14" s="9">
        <v>-6.3491999999999997</v>
      </c>
      <c r="H14" s="8">
        <v>202204</v>
      </c>
      <c r="I14" s="8">
        <v>202204</v>
      </c>
      <c r="J14" s="8">
        <v>0</v>
      </c>
    </row>
    <row r="15" ht="12.75" customHeight="1">
      <c r="A15" s="8">
        <v>20220430</v>
      </c>
      <c r="B15" s="8">
        <v>4</v>
      </c>
      <c r="C15" s="8" t="s">
        <v>39</v>
      </c>
      <c r="D15" s="8" t="s">
        <v>37</v>
      </c>
      <c r="E15" s="8">
        <v>20220430</v>
      </c>
      <c r="F15" s="8" t="s">
        <v>38</v>
      </c>
      <c r="G15" s="9">
        <v>-208.08869999999999</v>
      </c>
      <c r="H15" s="8">
        <v>202204</v>
      </c>
      <c r="I15" s="8">
        <v>202204</v>
      </c>
      <c r="J15" s="8">
        <v>0</v>
      </c>
    </row>
    <row r="16" ht="12.75" customHeight="1">
      <c r="A16" s="8">
        <v>20220531</v>
      </c>
      <c r="B16" s="8">
        <v>0</v>
      </c>
      <c r="C16" s="8" t="s">
        <v>40</v>
      </c>
      <c r="D16" s="8" t="s">
        <v>41</v>
      </c>
      <c r="E16" s="8">
        <v>20220531</v>
      </c>
      <c r="F16" s="8" t="s">
        <v>38</v>
      </c>
      <c r="G16" s="10">
        <v>600</v>
      </c>
      <c r="H16" s="8">
        <v>202205</v>
      </c>
      <c r="I16" s="8">
        <v>202205</v>
      </c>
      <c r="J16" s="8">
        <v>0</v>
      </c>
    </row>
    <row r="17" ht="12.75" customHeight="1">
      <c r="A17" s="8">
        <v>20220531</v>
      </c>
      <c r="B17" s="8">
        <v>2</v>
      </c>
      <c r="C17" s="8" t="s">
        <v>39</v>
      </c>
      <c r="D17" s="8" t="s">
        <v>37</v>
      </c>
      <c r="E17" s="8">
        <v>20220531</v>
      </c>
      <c r="F17" s="8" t="s">
        <v>38</v>
      </c>
      <c r="G17" s="9">
        <v>-94.368300000000005</v>
      </c>
      <c r="H17" s="8">
        <v>202205</v>
      </c>
      <c r="I17" s="8">
        <v>202205</v>
      </c>
      <c r="J17" s="8">
        <v>0</v>
      </c>
    </row>
    <row r="18" ht="12.75" customHeight="1">
      <c r="A18" s="8">
        <v>20220531</v>
      </c>
      <c r="B18" s="8">
        <v>4</v>
      </c>
      <c r="C18" s="8" t="s">
        <v>39</v>
      </c>
      <c r="D18" s="8" t="s">
        <v>37</v>
      </c>
      <c r="E18" s="8">
        <v>20220531</v>
      </c>
      <c r="F18" s="8" t="s">
        <v>38</v>
      </c>
      <c r="G18" s="9">
        <v>-94.368300000000005</v>
      </c>
      <c r="H18" s="8">
        <v>202205</v>
      </c>
      <c r="I18" s="8">
        <v>202205</v>
      </c>
      <c r="J18" s="8">
        <v>0</v>
      </c>
    </row>
  </sheetData>
  <sortState ref="A3:J18">
    <sortCondition ref="A3:A18"/>
    <sortCondition ref="B3:B18"/>
    <sortCondition ref="C3:C18"/>
    <sortCondition ref="D3:D18"/>
    <sortCondition ref="E3:E18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42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8">
        <v>20220131</v>
      </c>
      <c r="B3" s="8">
        <v>0</v>
      </c>
      <c r="C3" s="8" t="s">
        <v>36</v>
      </c>
      <c r="D3" s="8" t="s">
        <v>37</v>
      </c>
      <c r="E3" s="8">
        <v>20220131</v>
      </c>
      <c r="F3" s="8" t="s">
        <v>43</v>
      </c>
      <c r="G3" s="9">
        <v>685.63599999999997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2</v>
      </c>
      <c r="C4" s="8" t="s">
        <v>39</v>
      </c>
      <c r="D4" s="8" t="s">
        <v>37</v>
      </c>
      <c r="E4" s="8">
        <v>20220131</v>
      </c>
      <c r="F4" s="8" t="s">
        <v>43</v>
      </c>
      <c r="G4" s="9">
        <v>-95.185900000000004</v>
      </c>
      <c r="H4" s="8">
        <v>202201</v>
      </c>
      <c r="I4" s="8">
        <v>202201</v>
      </c>
      <c r="J4" s="8">
        <v>0</v>
      </c>
    </row>
    <row r="5">
      <c r="A5" s="8">
        <v>20220131</v>
      </c>
      <c r="B5" s="8">
        <v>3</v>
      </c>
      <c r="C5" s="8" t="s">
        <v>39</v>
      </c>
      <c r="D5" s="8" t="s">
        <v>37</v>
      </c>
      <c r="E5" s="8">
        <v>20220131</v>
      </c>
      <c r="F5" s="8" t="s">
        <v>43</v>
      </c>
      <c r="G5" s="9">
        <v>-542.85709999999995</v>
      </c>
      <c r="H5" s="8">
        <v>202201</v>
      </c>
      <c r="I5" s="8">
        <v>202201</v>
      </c>
      <c r="J5" s="8">
        <v>0</v>
      </c>
    </row>
    <row r="6" ht="12.75" customHeight="1">
      <c r="A6" s="8">
        <v>20220131</v>
      </c>
      <c r="B6" s="8">
        <v>4</v>
      </c>
      <c r="C6" s="8" t="s">
        <v>39</v>
      </c>
      <c r="D6" s="8" t="s">
        <v>37</v>
      </c>
      <c r="E6" s="8">
        <v>20220131</v>
      </c>
      <c r="F6" s="8" t="s">
        <v>43</v>
      </c>
      <c r="G6" s="9">
        <v>-47.593000000000004</v>
      </c>
      <c r="H6" s="8">
        <v>202201</v>
      </c>
      <c r="I6" s="8">
        <v>202201</v>
      </c>
      <c r="J6" s="8">
        <v>0</v>
      </c>
    </row>
    <row r="7" ht="12.75" customHeight="1">
      <c r="A7" s="8">
        <v>20220228</v>
      </c>
      <c r="B7" s="8">
        <v>0</v>
      </c>
      <c r="C7" s="8" t="s">
        <v>40</v>
      </c>
      <c r="D7" s="8" t="s">
        <v>41</v>
      </c>
      <c r="E7" s="8">
        <v>20220228</v>
      </c>
      <c r="F7" s="8" t="s">
        <v>43</v>
      </c>
      <c r="G7" s="9">
        <v>3800</v>
      </c>
      <c r="H7" s="8">
        <v>202202</v>
      </c>
      <c r="I7" s="8">
        <v>202202</v>
      </c>
      <c r="J7" s="8">
        <v>0</v>
      </c>
    </row>
    <row r="8" ht="12.75" customHeight="1">
      <c r="A8" s="8">
        <v>20220228</v>
      </c>
      <c r="B8" s="8">
        <v>0</v>
      </c>
      <c r="C8" s="8" t="s">
        <v>36</v>
      </c>
      <c r="D8" s="8" t="s">
        <v>37</v>
      </c>
      <c r="E8" s="8">
        <v>20220228</v>
      </c>
      <c r="F8" s="8" t="s">
        <v>43</v>
      </c>
      <c r="G8" s="9">
        <v>-685.63599999999997</v>
      </c>
      <c r="H8" s="8">
        <v>202202</v>
      </c>
      <c r="I8" s="8">
        <v>202202</v>
      </c>
      <c r="J8" s="8">
        <v>0</v>
      </c>
    </row>
    <row r="9" ht="12.75" customHeight="1">
      <c r="A9" s="8">
        <v>20220228</v>
      </c>
      <c r="B9" s="8">
        <v>2</v>
      </c>
      <c r="C9" s="8" t="s">
        <v>39</v>
      </c>
      <c r="D9" s="8" t="s">
        <v>37</v>
      </c>
      <c r="E9" s="8">
        <v>20220228</v>
      </c>
      <c r="F9" s="8" t="s">
        <v>43</v>
      </c>
      <c r="G9" s="9">
        <v>-166.5754</v>
      </c>
      <c r="H9" s="8">
        <v>202202</v>
      </c>
      <c r="I9" s="8">
        <v>202202</v>
      </c>
      <c r="J9" s="8">
        <v>0</v>
      </c>
    </row>
    <row r="10" ht="12.75" customHeight="1">
      <c r="A10" s="8">
        <v>20220228</v>
      </c>
      <c r="B10" s="8">
        <v>4</v>
      </c>
      <c r="C10" s="8" t="s">
        <v>39</v>
      </c>
      <c r="D10" s="8" t="s">
        <v>37</v>
      </c>
      <c r="E10" s="8">
        <v>20220228</v>
      </c>
      <c r="F10" s="8" t="s">
        <v>43</v>
      </c>
      <c r="G10" s="9">
        <v>-83.287599999999998</v>
      </c>
      <c r="H10" s="8">
        <v>202202</v>
      </c>
      <c r="I10" s="8">
        <v>202202</v>
      </c>
      <c r="J10" s="8">
        <v>0</v>
      </c>
    </row>
    <row r="11" ht="12.75" customHeight="1">
      <c r="A11" s="8">
        <v>20220331</v>
      </c>
      <c r="B11" s="8">
        <v>2</v>
      </c>
      <c r="C11" s="8" t="s">
        <v>39</v>
      </c>
      <c r="D11" s="8" t="s">
        <v>37</v>
      </c>
      <c r="E11" s="8">
        <v>20220331</v>
      </c>
      <c r="F11" s="8" t="s">
        <v>43</v>
      </c>
      <c r="G11" s="9">
        <v>-184.42269999999999</v>
      </c>
      <c r="H11" s="8">
        <v>202203</v>
      </c>
      <c r="I11" s="8">
        <v>202203</v>
      </c>
      <c r="J11" s="8">
        <v>0</v>
      </c>
    </row>
    <row r="12" ht="12.75" customHeight="1">
      <c r="A12" s="8">
        <v>20220331</v>
      </c>
      <c r="B12" s="8">
        <v>4</v>
      </c>
      <c r="C12" s="8" t="s">
        <v>39</v>
      </c>
      <c r="D12" s="8" t="s">
        <v>37</v>
      </c>
      <c r="E12" s="8">
        <v>20220331</v>
      </c>
      <c r="F12" s="8" t="s">
        <v>43</v>
      </c>
      <c r="G12" s="9">
        <v>-92.211399999999998</v>
      </c>
      <c r="H12" s="8">
        <v>202203</v>
      </c>
      <c r="I12" s="8">
        <v>202203</v>
      </c>
      <c r="J12" s="8">
        <v>0</v>
      </c>
    </row>
    <row r="13" ht="12.75" customHeight="1">
      <c r="A13" s="8">
        <v>20220430</v>
      </c>
      <c r="B13" s="8">
        <v>2</v>
      </c>
      <c r="C13" s="8" t="s">
        <v>39</v>
      </c>
      <c r="D13" s="8" t="s">
        <v>37</v>
      </c>
      <c r="E13" s="8">
        <v>20220430</v>
      </c>
      <c r="F13" s="8" t="s">
        <v>43</v>
      </c>
      <c r="G13" s="9">
        <v>-193.08539999999999</v>
      </c>
      <c r="H13" s="8">
        <v>202204</v>
      </c>
      <c r="I13" s="8">
        <v>202204</v>
      </c>
      <c r="J13" s="8">
        <v>0</v>
      </c>
    </row>
    <row r="14" ht="12.75" customHeight="1">
      <c r="A14" s="8">
        <v>20220430</v>
      </c>
      <c r="B14" s="8">
        <v>3</v>
      </c>
      <c r="C14" s="8" t="s">
        <v>39</v>
      </c>
      <c r="D14" s="8" t="s">
        <v>37</v>
      </c>
      <c r="E14" s="8">
        <v>20220430</v>
      </c>
      <c r="F14" s="8" t="s">
        <v>43</v>
      </c>
      <c r="G14" s="9">
        <v>-12.698499999999999</v>
      </c>
      <c r="H14" s="8">
        <v>202204</v>
      </c>
      <c r="I14" s="8">
        <v>202204</v>
      </c>
      <c r="J14" s="8">
        <v>0</v>
      </c>
    </row>
    <row r="15" ht="12.75" customHeight="1">
      <c r="A15" s="8">
        <v>20220430</v>
      </c>
      <c r="B15" s="8">
        <v>4</v>
      </c>
      <c r="C15" s="8" t="s">
        <v>39</v>
      </c>
      <c r="D15" s="8" t="s">
        <v>37</v>
      </c>
      <c r="E15" s="8">
        <v>20220430</v>
      </c>
      <c r="F15" s="8" t="s">
        <v>43</v>
      </c>
      <c r="G15" s="9">
        <v>-416.17739999999998</v>
      </c>
      <c r="H15" s="8">
        <v>202204</v>
      </c>
      <c r="I15" s="8">
        <v>202204</v>
      </c>
      <c r="J15" s="8">
        <v>0</v>
      </c>
    </row>
    <row r="16" ht="12.75" customHeight="1">
      <c r="A16" s="8">
        <v>20220531</v>
      </c>
      <c r="B16" s="8">
        <v>0</v>
      </c>
      <c r="C16" s="8" t="s">
        <v>40</v>
      </c>
      <c r="D16" s="8" t="s">
        <v>41</v>
      </c>
      <c r="E16" s="8">
        <v>20220531</v>
      </c>
      <c r="F16" s="8" t="s">
        <v>43</v>
      </c>
      <c r="G16" s="10">
        <v>1200</v>
      </c>
      <c r="H16" s="8">
        <v>202205</v>
      </c>
      <c r="I16" s="8">
        <v>202205</v>
      </c>
      <c r="J16" s="8">
        <v>0</v>
      </c>
    </row>
    <row r="17" ht="12.75" customHeight="1">
      <c r="A17" s="8">
        <v>20220531</v>
      </c>
      <c r="B17" s="8">
        <v>2</v>
      </c>
      <c r="C17" s="8" t="s">
        <v>39</v>
      </c>
      <c r="D17" s="8" t="s">
        <v>37</v>
      </c>
      <c r="E17" s="8">
        <v>20220531</v>
      </c>
      <c r="F17" s="8" t="s">
        <v>43</v>
      </c>
      <c r="G17" s="9">
        <v>-188.73670000000001</v>
      </c>
      <c r="H17" s="8">
        <v>202205</v>
      </c>
      <c r="I17" s="8">
        <v>202205</v>
      </c>
      <c r="J17" s="8">
        <v>0</v>
      </c>
    </row>
    <row r="18" ht="12.75" customHeight="1">
      <c r="A18" s="8">
        <v>20220531</v>
      </c>
      <c r="B18" s="8">
        <v>4</v>
      </c>
      <c r="C18" s="8" t="s">
        <v>39</v>
      </c>
      <c r="D18" s="8" t="s">
        <v>37</v>
      </c>
      <c r="E18" s="8">
        <v>20220531</v>
      </c>
      <c r="F18" s="8" t="s">
        <v>43</v>
      </c>
      <c r="G18" s="9">
        <v>-188.73670000000001</v>
      </c>
      <c r="H18" s="8">
        <v>202205</v>
      </c>
      <c r="I18" s="8">
        <v>202205</v>
      </c>
      <c r="J18" s="8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44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11">
        <v>20220131</v>
      </c>
      <c r="B3" s="11">
        <v>0</v>
      </c>
      <c r="C3" s="11" t="s">
        <v>36</v>
      </c>
      <c r="D3" s="11" t="s">
        <v>37</v>
      </c>
      <c r="E3" s="11">
        <v>20220131</v>
      </c>
      <c r="F3" s="11" t="s">
        <v>45</v>
      </c>
      <c r="G3" s="12">
        <v>1028.454</v>
      </c>
      <c r="H3" s="11">
        <v>202201</v>
      </c>
      <c r="I3" s="11">
        <v>202201</v>
      </c>
      <c r="J3" s="11">
        <v>0</v>
      </c>
    </row>
    <row r="4">
      <c r="A4" s="11">
        <v>20220131</v>
      </c>
      <c r="B4" s="11">
        <v>2</v>
      </c>
      <c r="C4" s="11" t="s">
        <v>39</v>
      </c>
      <c r="D4" s="11" t="s">
        <v>37</v>
      </c>
      <c r="E4" s="11">
        <v>20220131</v>
      </c>
      <c r="F4" s="11" t="s">
        <v>45</v>
      </c>
      <c r="G4" s="12">
        <v>-142.77889999999999</v>
      </c>
      <c r="H4" s="11">
        <v>202201</v>
      </c>
      <c r="I4" s="11">
        <v>202201</v>
      </c>
      <c r="J4" s="11">
        <v>0</v>
      </c>
    </row>
    <row r="5">
      <c r="A5" s="11">
        <v>20220131</v>
      </c>
      <c r="B5" s="11">
        <v>3</v>
      </c>
      <c r="C5" s="11" t="s">
        <v>39</v>
      </c>
      <c r="D5" s="11" t="s">
        <v>37</v>
      </c>
      <c r="E5" s="11">
        <v>20220131</v>
      </c>
      <c r="F5" s="11" t="s">
        <v>45</v>
      </c>
      <c r="G5" s="12">
        <v>-814.28570000000002</v>
      </c>
      <c r="H5" s="11">
        <v>202201</v>
      </c>
      <c r="I5" s="11">
        <v>202201</v>
      </c>
      <c r="J5" s="11">
        <v>0</v>
      </c>
    </row>
    <row r="6" ht="12.75" customHeight="1">
      <c r="A6" s="11">
        <v>20220131</v>
      </c>
      <c r="B6" s="11">
        <v>4</v>
      </c>
      <c r="C6" s="11" t="s">
        <v>39</v>
      </c>
      <c r="D6" s="11" t="s">
        <v>37</v>
      </c>
      <c r="E6" s="11">
        <v>20220131</v>
      </c>
      <c r="F6" s="11" t="s">
        <v>45</v>
      </c>
      <c r="G6" s="12">
        <v>-71.389399999999995</v>
      </c>
      <c r="H6" s="11">
        <v>202201</v>
      </c>
      <c r="I6" s="11">
        <v>202201</v>
      </c>
      <c r="J6" s="11">
        <v>0</v>
      </c>
    </row>
    <row r="7" ht="12.75" customHeight="1">
      <c r="A7" s="11">
        <v>20220228</v>
      </c>
      <c r="B7" s="11">
        <v>0</v>
      </c>
      <c r="C7" s="11" t="s">
        <v>40</v>
      </c>
      <c r="D7" s="11" t="s">
        <v>41</v>
      </c>
      <c r="E7" s="11">
        <v>20220228</v>
      </c>
      <c r="F7" s="11" t="s">
        <v>45</v>
      </c>
      <c r="G7" s="12">
        <v>5700</v>
      </c>
      <c r="H7" s="11">
        <v>202202</v>
      </c>
      <c r="I7" s="11">
        <v>202202</v>
      </c>
      <c r="J7" s="11">
        <v>0</v>
      </c>
    </row>
    <row r="8" ht="12.75" customHeight="1">
      <c r="A8" s="11">
        <v>20220228</v>
      </c>
      <c r="B8" s="11">
        <v>0</v>
      </c>
      <c r="C8" s="11" t="s">
        <v>36</v>
      </c>
      <c r="D8" s="11" t="s">
        <v>37</v>
      </c>
      <c r="E8" s="11">
        <v>20220228</v>
      </c>
      <c r="F8" s="11" t="s">
        <v>45</v>
      </c>
      <c r="G8" s="12">
        <v>-1028.454</v>
      </c>
      <c r="H8" s="11">
        <v>202202</v>
      </c>
      <c r="I8" s="11">
        <v>202202</v>
      </c>
      <c r="J8" s="11">
        <v>0</v>
      </c>
    </row>
    <row r="9" ht="12.75" customHeight="1">
      <c r="A9" s="11">
        <v>20220228</v>
      </c>
      <c r="B9" s="11">
        <v>2</v>
      </c>
      <c r="C9" s="11" t="s">
        <v>39</v>
      </c>
      <c r="D9" s="11" t="s">
        <v>37</v>
      </c>
      <c r="E9" s="11">
        <v>20220228</v>
      </c>
      <c r="F9" s="11" t="s">
        <v>45</v>
      </c>
      <c r="G9" s="12">
        <v>-249.863</v>
      </c>
      <c r="H9" s="11">
        <v>202202</v>
      </c>
      <c r="I9" s="11">
        <v>202202</v>
      </c>
      <c r="J9" s="11">
        <v>0</v>
      </c>
    </row>
    <row r="10" ht="12.75" customHeight="1">
      <c r="A10" s="11">
        <v>20220228</v>
      </c>
      <c r="B10" s="11">
        <v>4</v>
      </c>
      <c r="C10" s="11" t="s">
        <v>39</v>
      </c>
      <c r="D10" s="11" t="s">
        <v>37</v>
      </c>
      <c r="E10" s="11">
        <v>20220228</v>
      </c>
      <c r="F10" s="11" t="s">
        <v>45</v>
      </c>
      <c r="G10" s="12">
        <v>-124.9315</v>
      </c>
      <c r="H10" s="11">
        <v>202202</v>
      </c>
      <c r="I10" s="11">
        <v>202202</v>
      </c>
      <c r="J10" s="11">
        <v>0</v>
      </c>
    </row>
    <row r="11" ht="12.75" customHeight="1">
      <c r="A11" s="11">
        <v>20220331</v>
      </c>
      <c r="B11" s="11">
        <v>2</v>
      </c>
      <c r="C11" s="11" t="s">
        <v>39</v>
      </c>
      <c r="D11" s="11" t="s">
        <v>37</v>
      </c>
      <c r="E11" s="11">
        <v>20220331</v>
      </c>
      <c r="F11" s="11" t="s">
        <v>45</v>
      </c>
      <c r="G11" s="12">
        <v>-276.63400000000001</v>
      </c>
      <c r="H11" s="11">
        <v>202203</v>
      </c>
      <c r="I11" s="11">
        <v>202203</v>
      </c>
      <c r="J11" s="11">
        <v>0</v>
      </c>
    </row>
    <row r="12" ht="12.75" customHeight="1">
      <c r="A12" s="11">
        <v>20220331</v>
      </c>
      <c r="B12" s="11">
        <v>4</v>
      </c>
      <c r="C12" s="11" t="s">
        <v>39</v>
      </c>
      <c r="D12" s="11" t="s">
        <v>37</v>
      </c>
      <c r="E12" s="11">
        <v>20220331</v>
      </c>
      <c r="F12" s="11" t="s">
        <v>45</v>
      </c>
      <c r="G12" s="12">
        <v>-138.31710000000001</v>
      </c>
      <c r="H12" s="11">
        <v>202203</v>
      </c>
      <c r="I12" s="11">
        <v>202203</v>
      </c>
      <c r="J12" s="11">
        <v>0</v>
      </c>
    </row>
    <row r="13" ht="12.75" customHeight="1">
      <c r="A13" s="11">
        <v>20220430</v>
      </c>
      <c r="B13" s="11">
        <v>2</v>
      </c>
      <c r="C13" s="11" t="s">
        <v>39</v>
      </c>
      <c r="D13" s="11" t="s">
        <v>37</v>
      </c>
      <c r="E13" s="11">
        <v>20220430</v>
      </c>
      <c r="F13" s="11" t="s">
        <v>45</v>
      </c>
      <c r="G13" s="12">
        <v>-289.62819999999999</v>
      </c>
      <c r="H13" s="11">
        <v>202204</v>
      </c>
      <c r="I13" s="11">
        <v>202204</v>
      </c>
      <c r="J13" s="11">
        <v>0</v>
      </c>
    </row>
    <row r="14" ht="12.75" customHeight="1">
      <c r="A14" s="11">
        <v>20220430</v>
      </c>
      <c r="B14" s="11">
        <v>3</v>
      </c>
      <c r="C14" s="11" t="s">
        <v>39</v>
      </c>
      <c r="D14" s="11" t="s">
        <v>37</v>
      </c>
      <c r="E14" s="11">
        <v>20220430</v>
      </c>
      <c r="F14" s="11" t="s">
        <v>45</v>
      </c>
      <c r="G14" s="12">
        <v>-19.047599999999999</v>
      </c>
      <c r="H14" s="11">
        <v>202204</v>
      </c>
      <c r="I14" s="11">
        <v>202204</v>
      </c>
      <c r="J14" s="11">
        <v>0</v>
      </c>
    </row>
    <row r="15" ht="12.75" customHeight="1">
      <c r="A15" s="11">
        <v>20220430</v>
      </c>
      <c r="B15" s="11">
        <v>4</v>
      </c>
      <c r="C15" s="11" t="s">
        <v>39</v>
      </c>
      <c r="D15" s="11" t="s">
        <v>37</v>
      </c>
      <c r="E15" s="11">
        <v>20220430</v>
      </c>
      <c r="F15" s="11" t="s">
        <v>45</v>
      </c>
      <c r="G15" s="12">
        <v>-624.26610000000005</v>
      </c>
      <c r="H15" s="11">
        <v>202204</v>
      </c>
      <c r="I15" s="11">
        <v>202204</v>
      </c>
      <c r="J15" s="11">
        <v>0</v>
      </c>
    </row>
    <row r="16" ht="12.75" customHeight="1">
      <c r="A16" s="11">
        <v>20220531</v>
      </c>
      <c r="B16" s="11">
        <v>0</v>
      </c>
      <c r="C16" s="11" t="s">
        <v>40</v>
      </c>
      <c r="D16" s="11" t="s">
        <v>41</v>
      </c>
      <c r="E16" s="11">
        <v>20220531</v>
      </c>
      <c r="F16" s="11" t="s">
        <v>45</v>
      </c>
      <c r="G16" s="13">
        <v>1800</v>
      </c>
      <c r="H16" s="11">
        <v>202205</v>
      </c>
      <c r="I16" s="11">
        <v>202205</v>
      </c>
      <c r="J16" s="11">
        <v>0</v>
      </c>
    </row>
    <row r="17" ht="12.75" customHeight="1">
      <c r="A17" s="11">
        <v>20220531</v>
      </c>
      <c r="B17" s="11">
        <v>2</v>
      </c>
      <c r="C17" s="11" t="s">
        <v>39</v>
      </c>
      <c r="D17" s="11" t="s">
        <v>37</v>
      </c>
      <c r="E17" s="11">
        <v>20220531</v>
      </c>
      <c r="F17" s="11" t="s">
        <v>45</v>
      </c>
      <c r="G17" s="12">
        <v>-283.10500000000002</v>
      </c>
      <c r="H17" s="11">
        <v>202205</v>
      </c>
      <c r="I17" s="11">
        <v>202205</v>
      </c>
      <c r="J17" s="11">
        <v>0</v>
      </c>
    </row>
    <row r="18" ht="12.75" customHeight="1">
      <c r="A18" s="11">
        <v>20220531</v>
      </c>
      <c r="B18" s="11">
        <v>4</v>
      </c>
      <c r="C18" s="11" t="s">
        <v>39</v>
      </c>
      <c r="D18" s="11" t="s">
        <v>37</v>
      </c>
      <c r="E18" s="11">
        <v>20220531</v>
      </c>
      <c r="F18" s="11" t="s">
        <v>45</v>
      </c>
      <c r="G18" s="12">
        <v>-283.10500000000002</v>
      </c>
      <c r="H18" s="11">
        <v>202205</v>
      </c>
      <c r="I18" s="11">
        <v>202205</v>
      </c>
      <c r="J18" s="11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46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8">
        <v>20220131</v>
      </c>
      <c r="B3" s="8">
        <v>0</v>
      </c>
      <c r="C3" s="8" t="s">
        <v>36</v>
      </c>
      <c r="D3" s="8" t="s">
        <v>37</v>
      </c>
      <c r="E3" s="8">
        <v>20220131</v>
      </c>
      <c r="F3" s="8" t="s">
        <v>47</v>
      </c>
      <c r="G3" s="9">
        <v>1371.2719999999999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2</v>
      </c>
      <c r="C4" s="8" t="s">
        <v>39</v>
      </c>
      <c r="D4" s="8" t="s">
        <v>37</v>
      </c>
      <c r="E4" s="8">
        <v>20220131</v>
      </c>
      <c r="F4" s="8" t="s">
        <v>47</v>
      </c>
      <c r="G4" s="9">
        <v>-190.37180000000001</v>
      </c>
      <c r="H4" s="8">
        <v>202201</v>
      </c>
      <c r="I4" s="8">
        <v>202201</v>
      </c>
      <c r="J4" s="8">
        <v>0</v>
      </c>
    </row>
    <row r="5">
      <c r="A5" s="8">
        <v>20220131</v>
      </c>
      <c r="B5" s="8">
        <v>3</v>
      </c>
      <c r="C5" s="8" t="s">
        <v>39</v>
      </c>
      <c r="D5" s="8" t="s">
        <v>37</v>
      </c>
      <c r="E5" s="8">
        <v>20220131</v>
      </c>
      <c r="F5" s="8" t="s">
        <v>47</v>
      </c>
      <c r="G5" s="9">
        <v>-1085.7143000000001</v>
      </c>
      <c r="H5" s="8">
        <v>202201</v>
      </c>
      <c r="I5" s="8">
        <v>202201</v>
      </c>
      <c r="J5" s="8">
        <v>0</v>
      </c>
    </row>
    <row r="6" ht="12.75" customHeight="1">
      <c r="A6" s="8">
        <v>20220131</v>
      </c>
      <c r="B6" s="8">
        <v>4</v>
      </c>
      <c r="C6" s="8" t="s">
        <v>39</v>
      </c>
      <c r="D6" s="8" t="s">
        <v>37</v>
      </c>
      <c r="E6" s="8">
        <v>20220131</v>
      </c>
      <c r="F6" s="8" t="s">
        <v>47</v>
      </c>
      <c r="G6" s="9">
        <v>-95.185900000000004</v>
      </c>
      <c r="H6" s="8">
        <v>202201</v>
      </c>
      <c r="I6" s="8">
        <v>202201</v>
      </c>
      <c r="J6" s="8">
        <v>0</v>
      </c>
    </row>
    <row r="7" ht="12.75" customHeight="1">
      <c r="A7" s="8">
        <v>20220228</v>
      </c>
      <c r="B7" s="8">
        <v>0</v>
      </c>
      <c r="C7" s="8" t="s">
        <v>40</v>
      </c>
      <c r="D7" s="8" t="s">
        <v>41</v>
      </c>
      <c r="E7" s="8">
        <v>20220228</v>
      </c>
      <c r="F7" s="8" t="s">
        <v>47</v>
      </c>
      <c r="G7" s="9">
        <v>7600</v>
      </c>
      <c r="H7" s="8">
        <v>202202</v>
      </c>
      <c r="I7" s="8">
        <v>202202</v>
      </c>
      <c r="J7" s="8">
        <v>0</v>
      </c>
    </row>
    <row r="8" ht="12.75" customHeight="1">
      <c r="A8" s="8">
        <v>20220228</v>
      </c>
      <c r="B8" s="8">
        <v>0</v>
      </c>
      <c r="C8" s="8" t="s">
        <v>36</v>
      </c>
      <c r="D8" s="8" t="s">
        <v>37</v>
      </c>
      <c r="E8" s="8">
        <v>20220228</v>
      </c>
      <c r="F8" s="8" t="s">
        <v>47</v>
      </c>
      <c r="G8" s="9">
        <v>-1371.2719999999999</v>
      </c>
      <c r="H8" s="8">
        <v>202202</v>
      </c>
      <c r="I8" s="8">
        <v>202202</v>
      </c>
      <c r="J8" s="8">
        <v>0</v>
      </c>
    </row>
    <row r="9" ht="12.75" customHeight="1">
      <c r="A9" s="8">
        <v>20220228</v>
      </c>
      <c r="B9" s="8">
        <v>2</v>
      </c>
      <c r="C9" s="8" t="s">
        <v>39</v>
      </c>
      <c r="D9" s="8" t="s">
        <v>37</v>
      </c>
      <c r="E9" s="8">
        <v>20220228</v>
      </c>
      <c r="F9" s="8" t="s">
        <v>47</v>
      </c>
      <c r="G9" s="9">
        <v>-333.15069999999997</v>
      </c>
      <c r="H9" s="8">
        <v>202202</v>
      </c>
      <c r="I9" s="8">
        <v>202202</v>
      </c>
      <c r="J9" s="8">
        <v>0</v>
      </c>
    </row>
    <row r="10" ht="12.75" customHeight="1">
      <c r="A10" s="8">
        <v>20220228</v>
      </c>
      <c r="B10" s="8">
        <v>4</v>
      </c>
      <c r="C10" s="8" t="s">
        <v>39</v>
      </c>
      <c r="D10" s="8" t="s">
        <v>37</v>
      </c>
      <c r="E10" s="8">
        <v>20220228</v>
      </c>
      <c r="F10" s="8" t="s">
        <v>47</v>
      </c>
      <c r="G10" s="9">
        <v>-166.5754</v>
      </c>
      <c r="H10" s="8">
        <v>202202</v>
      </c>
      <c r="I10" s="8">
        <v>202202</v>
      </c>
      <c r="J10" s="8">
        <v>0</v>
      </c>
    </row>
    <row r="11" ht="12.75" customHeight="1">
      <c r="A11" s="8">
        <v>20220331</v>
      </c>
      <c r="B11" s="8">
        <v>2</v>
      </c>
      <c r="C11" s="8" t="s">
        <v>39</v>
      </c>
      <c r="D11" s="8" t="s">
        <v>37</v>
      </c>
      <c r="E11" s="8">
        <v>20220331</v>
      </c>
      <c r="F11" s="8" t="s">
        <v>47</v>
      </c>
      <c r="G11" s="9">
        <v>-368.84539999999998</v>
      </c>
      <c r="H11" s="8">
        <v>202203</v>
      </c>
      <c r="I11" s="8">
        <v>202203</v>
      </c>
      <c r="J11" s="8">
        <v>0</v>
      </c>
    </row>
    <row r="12" ht="12.75" customHeight="1">
      <c r="A12" s="8">
        <v>20220331</v>
      </c>
      <c r="B12" s="8">
        <v>4</v>
      </c>
      <c r="C12" s="8" t="s">
        <v>39</v>
      </c>
      <c r="D12" s="8" t="s">
        <v>37</v>
      </c>
      <c r="E12" s="8">
        <v>20220331</v>
      </c>
      <c r="F12" s="8" t="s">
        <v>47</v>
      </c>
      <c r="G12" s="9">
        <v>-184.42269999999999</v>
      </c>
      <c r="H12" s="8">
        <v>202203</v>
      </c>
      <c r="I12" s="8">
        <v>202203</v>
      </c>
      <c r="J12" s="8">
        <v>0</v>
      </c>
    </row>
    <row r="13" ht="12.75" customHeight="1">
      <c r="A13" s="8">
        <v>20220430</v>
      </c>
      <c r="B13" s="8">
        <v>2</v>
      </c>
      <c r="C13" s="8" t="s">
        <v>39</v>
      </c>
      <c r="D13" s="8" t="s">
        <v>37</v>
      </c>
      <c r="E13" s="8">
        <v>20220430</v>
      </c>
      <c r="F13" s="8" t="s">
        <v>47</v>
      </c>
      <c r="G13" s="9">
        <v>-386.17090000000002</v>
      </c>
      <c r="H13" s="8">
        <v>202204</v>
      </c>
      <c r="I13" s="8">
        <v>202204</v>
      </c>
      <c r="J13" s="8">
        <v>0</v>
      </c>
    </row>
    <row r="14" ht="12.75" customHeight="1">
      <c r="A14" s="8">
        <v>20220430</v>
      </c>
      <c r="B14" s="8">
        <v>3</v>
      </c>
      <c r="C14" s="8" t="s">
        <v>39</v>
      </c>
      <c r="D14" s="8" t="s">
        <v>37</v>
      </c>
      <c r="E14" s="8">
        <v>20220430</v>
      </c>
      <c r="F14" s="8" t="s">
        <v>47</v>
      </c>
      <c r="G14" s="9">
        <v>-25.396799999999999</v>
      </c>
      <c r="H14" s="8">
        <v>202204</v>
      </c>
      <c r="I14" s="8">
        <v>202204</v>
      </c>
      <c r="J14" s="8">
        <v>0</v>
      </c>
    </row>
    <row r="15" ht="12.75" customHeight="1">
      <c r="A15" s="8">
        <v>20220430</v>
      </c>
      <c r="B15" s="8">
        <v>4</v>
      </c>
      <c r="C15" s="8" t="s">
        <v>39</v>
      </c>
      <c r="D15" s="8" t="s">
        <v>37</v>
      </c>
      <c r="E15" s="8">
        <v>20220430</v>
      </c>
      <c r="F15" s="8" t="s">
        <v>47</v>
      </c>
      <c r="G15" s="9">
        <v>-832.35479999999995</v>
      </c>
      <c r="H15" s="8">
        <v>202204</v>
      </c>
      <c r="I15" s="8">
        <v>202204</v>
      </c>
      <c r="J15" s="8">
        <v>0</v>
      </c>
    </row>
    <row r="16" ht="12.75" customHeight="1">
      <c r="A16" s="8">
        <v>20220531</v>
      </c>
      <c r="B16" s="8">
        <v>0</v>
      </c>
      <c r="C16" s="8" t="s">
        <v>40</v>
      </c>
      <c r="D16" s="8" t="s">
        <v>41</v>
      </c>
      <c r="E16" s="8">
        <v>20220531</v>
      </c>
      <c r="F16" s="8" t="s">
        <v>47</v>
      </c>
      <c r="G16" s="10">
        <v>2400</v>
      </c>
      <c r="H16" s="8">
        <v>202205</v>
      </c>
      <c r="I16" s="8">
        <v>202205</v>
      </c>
      <c r="J16" s="8">
        <v>0</v>
      </c>
    </row>
    <row r="17" ht="12.75" customHeight="1">
      <c r="A17" s="8">
        <v>20220531</v>
      </c>
      <c r="B17" s="8">
        <v>2</v>
      </c>
      <c r="C17" s="8" t="s">
        <v>39</v>
      </c>
      <c r="D17" s="8" t="s">
        <v>37</v>
      </c>
      <c r="E17" s="8">
        <v>20220531</v>
      </c>
      <c r="F17" s="8" t="s">
        <v>47</v>
      </c>
      <c r="G17" s="9">
        <v>-377.47340000000003</v>
      </c>
      <c r="H17" s="8">
        <v>202205</v>
      </c>
      <c r="I17" s="8">
        <v>202205</v>
      </c>
      <c r="J17" s="8">
        <v>0</v>
      </c>
    </row>
    <row r="18" ht="12.75" customHeight="1">
      <c r="A18" s="8">
        <v>20220531</v>
      </c>
      <c r="B18" s="8">
        <v>4</v>
      </c>
      <c r="C18" s="8" t="s">
        <v>39</v>
      </c>
      <c r="D18" s="8" t="s">
        <v>37</v>
      </c>
      <c r="E18" s="8">
        <v>20220531</v>
      </c>
      <c r="F18" s="8" t="s">
        <v>47</v>
      </c>
      <c r="G18" s="9">
        <v>-377.47340000000003</v>
      </c>
      <c r="H18" s="8">
        <v>202205</v>
      </c>
      <c r="I18" s="8">
        <v>202205</v>
      </c>
      <c r="J18" s="8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25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38</v>
      </c>
      <c r="E3" s="1">
        <v>0</v>
      </c>
      <c r="F3" s="14">
        <v>342.81800000000004</v>
      </c>
      <c r="G3" s="1">
        <v>342.81800000000004</v>
      </c>
    </row>
    <row r="4" ht="12.75" customHeight="1">
      <c r="A4" s="1">
        <v>20220131</v>
      </c>
      <c r="B4" s="1">
        <v>0</v>
      </c>
      <c r="C4" s="1" t="s">
        <v>55</v>
      </c>
      <c r="D4" s="1" t="s">
        <v>38</v>
      </c>
      <c r="E4" s="1">
        <v>0</v>
      </c>
      <c r="F4" s="14">
        <v>342.81800000000004</v>
      </c>
      <c r="G4" s="1">
        <v>342.81800000000004</v>
      </c>
    </row>
    <row r="5" ht="12.75" customHeight="1">
      <c r="A5" s="1">
        <v>20220131</v>
      </c>
      <c r="B5" s="1">
        <v>2</v>
      </c>
      <c r="C5" s="1" t="s">
        <v>54</v>
      </c>
      <c r="D5" s="1" t="s">
        <v>38</v>
      </c>
      <c r="E5" s="1">
        <v>0</v>
      </c>
      <c r="F5" s="14">
        <v>-47.593000000000004</v>
      </c>
      <c r="G5" s="1">
        <v>-47.593000000000004</v>
      </c>
    </row>
    <row r="6" ht="12.75" customHeight="1">
      <c r="A6" s="1">
        <v>20220131</v>
      </c>
      <c r="B6" s="1">
        <v>2</v>
      </c>
      <c r="C6" s="1" t="s">
        <v>39</v>
      </c>
      <c r="D6" s="1" t="s">
        <v>38</v>
      </c>
      <c r="E6" s="1">
        <v>0</v>
      </c>
      <c r="F6" s="1">
        <v>-47.593000000000004</v>
      </c>
      <c r="G6" s="1">
        <v>-47.593000000000004</v>
      </c>
    </row>
    <row r="7" ht="12.75" customHeight="1">
      <c r="A7" s="1">
        <v>20220131</v>
      </c>
      <c r="B7" s="1">
        <v>3</v>
      </c>
      <c r="C7" s="1" t="s">
        <v>54</v>
      </c>
      <c r="D7" s="1" t="s">
        <v>38</v>
      </c>
      <c r="E7" s="1">
        <v>0</v>
      </c>
      <c r="F7" s="14">
        <v>-271.42860000000002</v>
      </c>
      <c r="G7" s="1">
        <v>-271.42860000000002</v>
      </c>
    </row>
    <row r="8" ht="12.75" customHeight="1">
      <c r="A8" s="1">
        <v>20220131</v>
      </c>
      <c r="B8" s="1">
        <v>3</v>
      </c>
      <c r="C8" s="1" t="s">
        <v>39</v>
      </c>
      <c r="D8" s="1" t="s">
        <v>38</v>
      </c>
      <c r="E8" s="1">
        <v>0</v>
      </c>
      <c r="F8" s="14">
        <v>-271.42860000000002</v>
      </c>
      <c r="G8" s="1">
        <v>-271.42860000000002</v>
      </c>
    </row>
    <row r="9" ht="12.75" customHeight="1">
      <c r="A9" s="1">
        <v>20220131</v>
      </c>
      <c r="B9" s="1">
        <v>4</v>
      </c>
      <c r="C9" s="1" t="s">
        <v>54</v>
      </c>
      <c r="D9" s="1" t="s">
        <v>38</v>
      </c>
      <c r="E9" s="1">
        <v>0</v>
      </c>
      <c r="F9" s="14">
        <v>-23.796500000000002</v>
      </c>
      <c r="G9" s="1">
        <v>-23.796500000000002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38</v>
      </c>
      <c r="E10" s="1">
        <v>0</v>
      </c>
      <c r="F10" s="14">
        <v>-23.796500000000002</v>
      </c>
      <c r="G10" s="1">
        <v>-23.796500000000002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38</v>
      </c>
      <c r="E11" s="1">
        <v>0</v>
      </c>
      <c r="F11" s="14">
        <v>1900</v>
      </c>
      <c r="G11" s="1">
        <v>1900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38</v>
      </c>
      <c r="E12" s="1">
        <v>342.81799999999998</v>
      </c>
      <c r="F12" s="1">
        <v>1557.182</v>
      </c>
      <c r="G12" s="1">
        <v>1900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38</v>
      </c>
      <c r="E13" s="1">
        <v>342.81799999999998</v>
      </c>
      <c r="F13" s="1">
        <v>-342.81799999999998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38</v>
      </c>
      <c r="E14" s="1">
        <v>-47.593000000000004</v>
      </c>
      <c r="F14" s="1">
        <v>-83.287599999999998</v>
      </c>
      <c r="G14" s="1">
        <v>-130.88060000000002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38</v>
      </c>
      <c r="E15" s="1">
        <v>-47.593000000000004</v>
      </c>
      <c r="F15" s="1">
        <v>-83.287599999999998</v>
      </c>
      <c r="G15" s="1">
        <v>-130.88060000000002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38</v>
      </c>
      <c r="E16" s="1">
        <v>-271.42860000000002</v>
      </c>
      <c r="F16" s="1">
        <v>0</v>
      </c>
      <c r="G16" s="1">
        <v>-271.42860000000002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38</v>
      </c>
      <c r="E17" s="1">
        <v>-271.42860000000002</v>
      </c>
      <c r="F17" s="1">
        <v>0</v>
      </c>
      <c r="G17" s="1">
        <v>-271.42860000000002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38</v>
      </c>
      <c r="E18" s="1">
        <v>-23.796500000000002</v>
      </c>
      <c r="F18" s="1">
        <v>-41.643799999999999</v>
      </c>
      <c r="G18" s="1">
        <v>-65.440300000000008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38</v>
      </c>
      <c r="E19" s="1">
        <v>-23.796500000000002</v>
      </c>
      <c r="F19" s="1">
        <v>-41.643799999999999</v>
      </c>
      <c r="G19" s="1">
        <v>-65.440300000000008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38</v>
      </c>
      <c r="E20" s="1">
        <v>1900</v>
      </c>
      <c r="F20" s="1">
        <v>0</v>
      </c>
      <c r="G20" s="1">
        <v>1900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38</v>
      </c>
      <c r="E21" s="1">
        <v>1900</v>
      </c>
      <c r="F21" s="1">
        <v>0</v>
      </c>
      <c r="G21" s="1">
        <v>1900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38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38</v>
      </c>
      <c r="E23" s="1">
        <v>-130.88059999999999</v>
      </c>
      <c r="F23" s="1">
        <v>-92.211399999999998</v>
      </c>
      <c r="G23" s="1">
        <v>-223.09199999999998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38</v>
      </c>
      <c r="E24" s="1">
        <v>-130.88059999999999</v>
      </c>
      <c r="F24" s="1">
        <v>-92.211399999999998</v>
      </c>
      <c r="G24" s="1">
        <v>-223.09199999999998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38</v>
      </c>
      <c r="E25" s="1">
        <v>-271.42860000000002</v>
      </c>
      <c r="F25" s="1">
        <v>0</v>
      </c>
      <c r="G25" s="1">
        <v>-271.42860000000002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38</v>
      </c>
      <c r="E26" s="1">
        <v>-271.42860000000002</v>
      </c>
      <c r="F26" s="1">
        <v>0</v>
      </c>
      <c r="G26" s="1">
        <v>-271.42860000000002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38</v>
      </c>
      <c r="E27" s="1">
        <v>-65.440299999999993</v>
      </c>
      <c r="F27" s="1">
        <v>-46.105699999999999</v>
      </c>
      <c r="G27" s="1">
        <v>-111.54599999999999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38</v>
      </c>
      <c r="E28" s="1">
        <v>-65.440299999999993</v>
      </c>
      <c r="F28" s="1">
        <v>-46.105699999999999</v>
      </c>
      <c r="G28" s="1">
        <v>-111.54599999999999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38</v>
      </c>
      <c r="E29" s="1">
        <v>1900</v>
      </c>
      <c r="F29" s="1">
        <v>0</v>
      </c>
      <c r="G29" s="1">
        <v>1900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38</v>
      </c>
      <c r="E30" s="1">
        <v>1900</v>
      </c>
      <c r="F30" s="1">
        <v>0</v>
      </c>
      <c r="G30" s="1">
        <v>1900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38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38</v>
      </c>
      <c r="E32" s="1">
        <v>-223.09200000000001</v>
      </c>
      <c r="F32" s="1">
        <v>-96.542699999999996</v>
      </c>
      <c r="G32" s="1">
        <v>-319.63470000000001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38</v>
      </c>
      <c r="E33" s="1">
        <v>-223.09200000000001</v>
      </c>
      <c r="F33" s="1">
        <v>-96.542699999999996</v>
      </c>
      <c r="G33" s="1">
        <v>-319.63470000000001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38</v>
      </c>
      <c r="E34" s="1">
        <v>-271.42860000000002</v>
      </c>
      <c r="F34" s="1">
        <v>-6.3491999999999997</v>
      </c>
      <c r="G34" s="1">
        <v>-277.77780000000001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38</v>
      </c>
      <c r="E35" s="1">
        <v>-271.42860000000002</v>
      </c>
      <c r="F35" s="1">
        <v>-6.3491999999999997</v>
      </c>
      <c r="G35" s="1">
        <v>-277.77780000000001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38</v>
      </c>
      <c r="E36" s="1">
        <v>-111.54600000000001</v>
      </c>
      <c r="F36" s="1">
        <v>-208.08869999999999</v>
      </c>
      <c r="G36" s="1">
        <v>-319.63470000000001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38</v>
      </c>
      <c r="E37" s="1">
        <v>-111.54600000000001</v>
      </c>
      <c r="F37" s="1">
        <v>-208.08869999999999</v>
      </c>
      <c r="G37" s="1">
        <v>-319.63470000000001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38</v>
      </c>
      <c r="E38" s="1">
        <v>1900</v>
      </c>
      <c r="F38" s="1">
        <v>600</v>
      </c>
      <c r="G38" s="1">
        <v>2500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38</v>
      </c>
      <c r="E39" s="1">
        <v>1900</v>
      </c>
      <c r="F39" s="1">
        <v>600</v>
      </c>
      <c r="G39" s="1">
        <v>2500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38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38</v>
      </c>
      <c r="E41" s="1">
        <v>-319.63470000000001</v>
      </c>
      <c r="F41" s="1">
        <v>-94.368300000000005</v>
      </c>
      <c r="G41" s="1">
        <v>-414.00300000000004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38</v>
      </c>
      <c r="E42" s="1">
        <v>-319.63470000000001</v>
      </c>
      <c r="F42" s="1">
        <v>-94.368300000000005</v>
      </c>
      <c r="G42" s="1">
        <v>-414.00300000000004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38</v>
      </c>
      <c r="E43" s="1">
        <v>-277.77780000000001</v>
      </c>
      <c r="F43" s="1">
        <v>0</v>
      </c>
      <c r="G43" s="1">
        <v>-277.77780000000001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38</v>
      </c>
      <c r="E44" s="1">
        <v>-277.77780000000001</v>
      </c>
      <c r="F44" s="1">
        <v>0</v>
      </c>
      <c r="G44" s="1">
        <v>-277.77780000000001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38</v>
      </c>
      <c r="E45" s="1">
        <v>-319.63470000000001</v>
      </c>
      <c r="F45" s="1">
        <v>-94.368300000000005</v>
      </c>
      <c r="G45" s="1">
        <v>-414.00300000000004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38</v>
      </c>
      <c r="E46" s="1">
        <v>-319.63470000000001</v>
      </c>
      <c r="F46" s="1">
        <v>-94.368300000000005</v>
      </c>
      <c r="G46" s="1">
        <v>-414.00300000000004</v>
      </c>
    </row>
  </sheetData>
  <sortState ref="A4:G46">
    <sortCondition ref="A3:A46"/>
    <sortCondition ref="B3:B46"/>
    <sortCondition ref="C3:C46"/>
    <sortCondition ref="D3:D46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42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43</v>
      </c>
      <c r="E3" s="1">
        <v>0</v>
      </c>
      <c r="F3" s="14">
        <v>685.63599999999997</v>
      </c>
      <c r="G3" s="1">
        <v>685.63599999999997</v>
      </c>
    </row>
    <row r="4" ht="12.75" customHeight="1">
      <c r="A4" s="1">
        <v>20220131</v>
      </c>
      <c r="B4" s="1">
        <v>0</v>
      </c>
      <c r="C4" s="1" t="s">
        <v>55</v>
      </c>
      <c r="D4" s="1" t="s">
        <v>43</v>
      </c>
      <c r="E4" s="1">
        <v>0</v>
      </c>
      <c r="F4" s="14">
        <v>685.63599999999997</v>
      </c>
      <c r="G4" s="1">
        <v>685.63599999999997</v>
      </c>
    </row>
    <row r="5" ht="12.75" customHeight="1">
      <c r="A5" s="1">
        <v>20220131</v>
      </c>
      <c r="B5" s="1">
        <v>2</v>
      </c>
      <c r="C5" s="1" t="s">
        <v>54</v>
      </c>
      <c r="D5" s="1" t="s">
        <v>43</v>
      </c>
      <c r="E5" s="1">
        <v>0</v>
      </c>
      <c r="F5" s="14">
        <v>-95.185900000000004</v>
      </c>
      <c r="G5" s="1">
        <v>-95.185900000000004</v>
      </c>
    </row>
    <row r="6" ht="12.75" customHeight="1">
      <c r="A6" s="1">
        <v>20220131</v>
      </c>
      <c r="B6" s="1">
        <v>2</v>
      </c>
      <c r="C6" s="1" t="s">
        <v>39</v>
      </c>
      <c r="D6" s="1" t="s">
        <v>43</v>
      </c>
      <c r="E6" s="1">
        <v>0</v>
      </c>
      <c r="F6" s="1">
        <v>-95.185900000000004</v>
      </c>
      <c r="G6" s="1">
        <v>-95.185900000000004</v>
      </c>
    </row>
    <row r="7" ht="12.75" customHeight="1">
      <c r="A7" s="1">
        <v>20220131</v>
      </c>
      <c r="B7" s="1">
        <v>3</v>
      </c>
      <c r="C7" s="1" t="s">
        <v>54</v>
      </c>
      <c r="D7" s="1" t="s">
        <v>43</v>
      </c>
      <c r="E7" s="1">
        <v>0</v>
      </c>
      <c r="F7" s="14">
        <v>-542.85709999999995</v>
      </c>
      <c r="G7" s="1">
        <v>-542.85709999999995</v>
      </c>
    </row>
    <row r="8" ht="12.75" customHeight="1">
      <c r="A8" s="1">
        <v>20220131</v>
      </c>
      <c r="B8" s="1">
        <v>3</v>
      </c>
      <c r="C8" s="1" t="s">
        <v>39</v>
      </c>
      <c r="D8" s="1" t="s">
        <v>43</v>
      </c>
      <c r="E8" s="1">
        <v>0</v>
      </c>
      <c r="F8" s="14">
        <v>-542.85709999999995</v>
      </c>
      <c r="G8" s="1">
        <v>-542.85709999999995</v>
      </c>
    </row>
    <row r="9" ht="12.75" customHeight="1">
      <c r="A9" s="1">
        <v>20220131</v>
      </c>
      <c r="B9" s="1">
        <v>4</v>
      </c>
      <c r="C9" s="1" t="s">
        <v>54</v>
      </c>
      <c r="D9" s="1" t="s">
        <v>43</v>
      </c>
      <c r="E9" s="1">
        <v>0</v>
      </c>
      <c r="F9" s="14">
        <v>-47.593000000000004</v>
      </c>
      <c r="G9" s="1">
        <v>-47.593000000000004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43</v>
      </c>
      <c r="E10" s="1">
        <v>0</v>
      </c>
      <c r="F10" s="14">
        <v>-47.593000000000004</v>
      </c>
      <c r="G10" s="1">
        <v>-47.593000000000004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43</v>
      </c>
      <c r="E11" s="1">
        <v>0</v>
      </c>
      <c r="F11" s="14">
        <v>3800</v>
      </c>
      <c r="G11" s="1">
        <v>3800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43</v>
      </c>
      <c r="E12" s="1">
        <v>685.63599999999997</v>
      </c>
      <c r="F12" s="1">
        <v>3114.364</v>
      </c>
      <c r="G12" s="1">
        <v>3800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43</v>
      </c>
      <c r="E13" s="1">
        <v>685.63599999999997</v>
      </c>
      <c r="F13" s="1">
        <v>-685.63599999999997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43</v>
      </c>
      <c r="E14" s="1">
        <v>-95.185900000000004</v>
      </c>
      <c r="F14" s="1">
        <v>-166.5754</v>
      </c>
      <c r="G14" s="1">
        <v>-261.76130000000001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43</v>
      </c>
      <c r="E15" s="1">
        <v>-95.185900000000004</v>
      </c>
      <c r="F15" s="1">
        <v>-166.5754</v>
      </c>
      <c r="G15" s="1">
        <v>-261.76130000000001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43</v>
      </c>
      <c r="E16" s="1">
        <v>-542.85709999999995</v>
      </c>
      <c r="F16" s="1">
        <v>0</v>
      </c>
      <c r="G16" s="1">
        <v>-542.85709999999995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43</v>
      </c>
      <c r="E17" s="1">
        <v>-542.85709999999995</v>
      </c>
      <c r="F17" s="1">
        <v>0</v>
      </c>
      <c r="G17" s="1">
        <v>-542.85709999999995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43</v>
      </c>
      <c r="E18" s="1">
        <v>-47.593000000000004</v>
      </c>
      <c r="F18" s="1">
        <v>-83.287599999999998</v>
      </c>
      <c r="G18" s="1">
        <v>-130.88059999999999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43</v>
      </c>
      <c r="E19" s="1">
        <v>-47.593000000000004</v>
      </c>
      <c r="F19" s="1">
        <v>-83.287599999999998</v>
      </c>
      <c r="G19" s="1">
        <v>-130.88059999999999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43</v>
      </c>
      <c r="E20" s="1">
        <v>3800</v>
      </c>
      <c r="F20" s="1">
        <v>0</v>
      </c>
      <c r="G20" s="1">
        <v>3800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43</v>
      </c>
      <c r="E21" s="1">
        <v>3800</v>
      </c>
      <c r="F21" s="1">
        <v>0</v>
      </c>
      <c r="G21" s="1">
        <v>3800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43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43</v>
      </c>
      <c r="E23" s="1">
        <v>-261.76130000000001</v>
      </c>
      <c r="F23" s="1">
        <v>-184.42269999999999</v>
      </c>
      <c r="G23" s="1">
        <v>-446.18400000000003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43</v>
      </c>
      <c r="E24" s="1">
        <v>-261.76130000000001</v>
      </c>
      <c r="F24" s="1">
        <v>-184.42269999999999</v>
      </c>
      <c r="G24" s="1">
        <v>-446.18400000000003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43</v>
      </c>
      <c r="E25" s="1">
        <v>-542.85709999999995</v>
      </c>
      <c r="F25" s="1">
        <v>0</v>
      </c>
      <c r="G25" s="1">
        <v>-542.85709999999995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43</v>
      </c>
      <c r="E26" s="1">
        <v>-542.85709999999995</v>
      </c>
      <c r="F26" s="1">
        <v>0</v>
      </c>
      <c r="G26" s="1">
        <v>-542.85709999999995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43</v>
      </c>
      <c r="E27" s="1">
        <v>-130.88059999999999</v>
      </c>
      <c r="F27" s="1">
        <v>-92.211399999999998</v>
      </c>
      <c r="G27" s="1">
        <v>-223.09200000000001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43</v>
      </c>
      <c r="E28" s="1">
        <v>-130.88059999999999</v>
      </c>
      <c r="F28" s="1">
        <v>-92.211399999999998</v>
      </c>
      <c r="G28" s="1">
        <v>-223.09200000000001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43</v>
      </c>
      <c r="E29" s="1">
        <v>3800</v>
      </c>
      <c r="F29" s="1">
        <v>0</v>
      </c>
      <c r="G29" s="1">
        <v>3800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43</v>
      </c>
      <c r="E30" s="1">
        <v>3800</v>
      </c>
      <c r="F30" s="1">
        <v>0</v>
      </c>
      <c r="G30" s="1">
        <v>3800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43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43</v>
      </c>
      <c r="E32" s="1">
        <v>-446.18400000000003</v>
      </c>
      <c r="F32" s="1">
        <v>-193.08539999999999</v>
      </c>
      <c r="G32" s="1">
        <v>-639.26940000000002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43</v>
      </c>
      <c r="E33" s="1">
        <v>-446.18400000000003</v>
      </c>
      <c r="F33" s="1">
        <v>-193.08539999999999</v>
      </c>
      <c r="G33" s="1">
        <v>-639.26940000000002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43</v>
      </c>
      <c r="E34" s="1">
        <v>-542.85709999999995</v>
      </c>
      <c r="F34" s="1">
        <v>-12.698499999999999</v>
      </c>
      <c r="G34" s="1">
        <v>-555.55560000000003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43</v>
      </c>
      <c r="E35" s="1">
        <v>-542.85709999999995</v>
      </c>
      <c r="F35" s="1">
        <v>-12.698499999999999</v>
      </c>
      <c r="G35" s="1">
        <v>-555.55560000000003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43</v>
      </c>
      <c r="E36" s="1">
        <v>-223.09200000000001</v>
      </c>
      <c r="F36" s="1">
        <v>-416.17739999999998</v>
      </c>
      <c r="G36" s="1">
        <v>-639.26940000000002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43</v>
      </c>
      <c r="E37" s="1">
        <v>-223.09200000000001</v>
      </c>
      <c r="F37" s="1">
        <v>-416.17739999999998</v>
      </c>
      <c r="G37" s="1">
        <v>-639.26940000000002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43</v>
      </c>
      <c r="E38" s="1">
        <v>3800</v>
      </c>
      <c r="F38" s="1">
        <v>1200</v>
      </c>
      <c r="G38" s="1">
        <v>5000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43</v>
      </c>
      <c r="E39" s="1">
        <v>3800</v>
      </c>
      <c r="F39" s="1">
        <v>1200</v>
      </c>
      <c r="G39" s="1">
        <v>5000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43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43</v>
      </c>
      <c r="E41" s="1">
        <v>-639.26940000000002</v>
      </c>
      <c r="F41" s="1">
        <v>-188.73670000000001</v>
      </c>
      <c r="G41" s="1">
        <v>-828.00609999999995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43</v>
      </c>
      <c r="E42" s="1">
        <v>-639.26940000000002</v>
      </c>
      <c r="F42" s="1">
        <v>-188.73670000000001</v>
      </c>
      <c r="G42" s="1">
        <v>-828.00609999999995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43</v>
      </c>
      <c r="E43" s="1">
        <v>-555.55560000000003</v>
      </c>
      <c r="F43" s="1">
        <v>0</v>
      </c>
      <c r="G43" s="1">
        <v>-555.55560000000003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43</v>
      </c>
      <c r="E44" s="1">
        <v>-555.55560000000003</v>
      </c>
      <c r="F44" s="1">
        <v>0</v>
      </c>
      <c r="G44" s="1">
        <v>-555.55560000000003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43</v>
      </c>
      <c r="E45" s="1">
        <v>-639.26940000000002</v>
      </c>
      <c r="F45" s="1">
        <v>-188.73670000000001</v>
      </c>
      <c r="G45" s="1">
        <v>-828.00609999999995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43</v>
      </c>
      <c r="E46" s="1">
        <v>-639.26940000000002</v>
      </c>
      <c r="F46" s="1">
        <v>-188.73670000000001</v>
      </c>
      <c r="G46" s="1">
        <v>-828.00609999999995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44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45</v>
      </c>
      <c r="E3" s="1">
        <v>0</v>
      </c>
      <c r="F3" s="14">
        <v>1028.454</v>
      </c>
      <c r="G3" s="1">
        <v>1028.454</v>
      </c>
    </row>
    <row r="4" ht="12.75" customHeight="1">
      <c r="A4" s="1">
        <v>20220131</v>
      </c>
      <c r="B4" s="1">
        <v>0</v>
      </c>
      <c r="C4" s="1" t="s">
        <v>55</v>
      </c>
      <c r="D4" s="1" t="s">
        <v>45</v>
      </c>
      <c r="E4" s="1">
        <v>0</v>
      </c>
      <c r="F4" s="14">
        <v>1028.454</v>
      </c>
      <c r="G4" s="1">
        <v>1028.454</v>
      </c>
    </row>
    <row r="5" ht="12.75" customHeight="1">
      <c r="A5" s="1">
        <v>20220131</v>
      </c>
      <c r="B5" s="1">
        <v>2</v>
      </c>
      <c r="C5" s="1" t="s">
        <v>54</v>
      </c>
      <c r="D5" s="1" t="s">
        <v>45</v>
      </c>
      <c r="E5" s="1">
        <v>0</v>
      </c>
      <c r="F5" s="14">
        <v>-142.77889999999999</v>
      </c>
      <c r="G5" s="1">
        <v>-142.77889999999999</v>
      </c>
    </row>
    <row r="6" ht="12.75" customHeight="1">
      <c r="A6" s="1">
        <v>20220131</v>
      </c>
      <c r="B6" s="1">
        <v>2</v>
      </c>
      <c r="C6" s="1" t="s">
        <v>39</v>
      </c>
      <c r="D6" s="1" t="s">
        <v>45</v>
      </c>
      <c r="E6" s="1">
        <v>0</v>
      </c>
      <c r="F6" s="1">
        <v>-142.77889999999999</v>
      </c>
      <c r="G6" s="1">
        <v>-142.77889999999999</v>
      </c>
    </row>
    <row r="7" ht="12.75" customHeight="1">
      <c r="A7" s="1">
        <v>20220131</v>
      </c>
      <c r="B7" s="1">
        <v>3</v>
      </c>
      <c r="C7" s="1" t="s">
        <v>54</v>
      </c>
      <c r="D7" s="1" t="s">
        <v>45</v>
      </c>
      <c r="E7" s="1">
        <v>0</v>
      </c>
      <c r="F7" s="14">
        <v>-814.28570000000002</v>
      </c>
      <c r="G7" s="1">
        <v>-814.28570000000002</v>
      </c>
    </row>
    <row r="8" ht="12.75" customHeight="1">
      <c r="A8" s="1">
        <v>20220131</v>
      </c>
      <c r="B8" s="1">
        <v>3</v>
      </c>
      <c r="C8" s="1" t="s">
        <v>39</v>
      </c>
      <c r="D8" s="1" t="s">
        <v>45</v>
      </c>
      <c r="E8" s="1">
        <v>0</v>
      </c>
      <c r="F8" s="14">
        <v>-814.28570000000002</v>
      </c>
      <c r="G8" s="1">
        <v>-814.28570000000002</v>
      </c>
    </row>
    <row r="9" ht="12.75" customHeight="1">
      <c r="A9" s="1">
        <v>20220131</v>
      </c>
      <c r="B9" s="1">
        <v>4</v>
      </c>
      <c r="C9" s="1" t="s">
        <v>54</v>
      </c>
      <c r="D9" s="1" t="s">
        <v>45</v>
      </c>
      <c r="E9" s="1">
        <v>0</v>
      </c>
      <c r="F9" s="14">
        <v>-71.389399999999995</v>
      </c>
      <c r="G9" s="1">
        <v>-71.389399999999995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45</v>
      </c>
      <c r="E10" s="1">
        <v>0</v>
      </c>
      <c r="F10" s="14">
        <v>-71.389399999999995</v>
      </c>
      <c r="G10" s="1">
        <v>-71.389399999999995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45</v>
      </c>
      <c r="E11" s="1">
        <v>0</v>
      </c>
      <c r="F11" s="14">
        <v>5700</v>
      </c>
      <c r="G11" s="1">
        <v>5700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45</v>
      </c>
      <c r="E12" s="1">
        <v>1028.454</v>
      </c>
      <c r="F12" s="1">
        <v>4671.5460000000003</v>
      </c>
      <c r="G12" s="1">
        <v>5700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45</v>
      </c>
      <c r="E13" s="1">
        <v>1028.454</v>
      </c>
      <c r="F13" s="1">
        <v>-1028.454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45</v>
      </c>
      <c r="E14" s="1">
        <v>-142.77889999999999</v>
      </c>
      <c r="F14" s="1">
        <v>-249.863</v>
      </c>
      <c r="G14" s="1">
        <v>-392.64190000000002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45</v>
      </c>
      <c r="E15" s="1">
        <v>-142.77889999999999</v>
      </c>
      <c r="F15" s="1">
        <v>-249.863</v>
      </c>
      <c r="G15" s="1">
        <v>-392.64190000000002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45</v>
      </c>
      <c r="E16" s="1">
        <v>-814.28570000000002</v>
      </c>
      <c r="F16" s="1">
        <v>0</v>
      </c>
      <c r="G16" s="1">
        <v>-814.28570000000002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45</v>
      </c>
      <c r="E17" s="1">
        <v>-814.28570000000002</v>
      </c>
      <c r="F17" s="1">
        <v>0</v>
      </c>
      <c r="G17" s="1">
        <v>-814.28570000000002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45</v>
      </c>
      <c r="E18" s="1">
        <v>-71.389399999999995</v>
      </c>
      <c r="F18" s="1">
        <v>-124.9315</v>
      </c>
      <c r="G18" s="1">
        <v>-196.32089999999999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45</v>
      </c>
      <c r="E19" s="1">
        <v>-71.389399999999995</v>
      </c>
      <c r="F19" s="1">
        <v>-124.9315</v>
      </c>
      <c r="G19" s="1">
        <v>-196.32089999999999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45</v>
      </c>
      <c r="E20" s="1">
        <v>5700</v>
      </c>
      <c r="F20" s="1">
        <v>0</v>
      </c>
      <c r="G20" s="1">
        <v>5700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45</v>
      </c>
      <c r="E21" s="1">
        <v>5700</v>
      </c>
      <c r="F21" s="1">
        <v>0</v>
      </c>
      <c r="G21" s="1">
        <v>5700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45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45</v>
      </c>
      <c r="E23" s="1">
        <v>-392.64190000000002</v>
      </c>
      <c r="F23" s="1">
        <v>-276.63400000000001</v>
      </c>
      <c r="G23" s="1">
        <v>-669.27589999999998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45</v>
      </c>
      <c r="E24" s="1">
        <v>-392.64190000000002</v>
      </c>
      <c r="F24" s="1">
        <v>-276.63400000000001</v>
      </c>
      <c r="G24" s="1">
        <v>-669.27589999999998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45</v>
      </c>
      <c r="E25" s="1">
        <v>-814.28570000000002</v>
      </c>
      <c r="F25" s="1">
        <v>0</v>
      </c>
      <c r="G25" s="1">
        <v>-814.28570000000002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45</v>
      </c>
      <c r="E26" s="1">
        <v>-814.28570000000002</v>
      </c>
      <c r="F26" s="1">
        <v>0</v>
      </c>
      <c r="G26" s="1">
        <v>-814.28570000000002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45</v>
      </c>
      <c r="E27" s="1">
        <v>-196.32089999999999</v>
      </c>
      <c r="F27" s="1">
        <v>-138.31710000000001</v>
      </c>
      <c r="G27" s="1">
        <v>-334.63799999999998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45</v>
      </c>
      <c r="E28" s="1">
        <v>-196.32089999999999</v>
      </c>
      <c r="F28" s="1">
        <v>-138.31710000000001</v>
      </c>
      <c r="G28" s="1">
        <v>-334.63799999999998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45</v>
      </c>
      <c r="E29" s="1">
        <v>5700</v>
      </c>
      <c r="F29" s="1">
        <v>0</v>
      </c>
      <c r="G29" s="1">
        <v>5700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45</v>
      </c>
      <c r="E30" s="1">
        <v>5700</v>
      </c>
      <c r="F30" s="1">
        <v>0</v>
      </c>
      <c r="G30" s="1">
        <v>5700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45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45</v>
      </c>
      <c r="E32" s="1">
        <v>-669.27589999999998</v>
      </c>
      <c r="F32" s="1">
        <v>-289.62819999999999</v>
      </c>
      <c r="G32" s="1">
        <v>-958.90409999999997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45</v>
      </c>
      <c r="E33" s="1">
        <v>-669.27589999999998</v>
      </c>
      <c r="F33" s="1">
        <v>-289.62819999999999</v>
      </c>
      <c r="G33" s="1">
        <v>-958.90409999999997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45</v>
      </c>
      <c r="E34" s="1">
        <v>-814.28570000000002</v>
      </c>
      <c r="F34" s="1">
        <v>-19.047599999999999</v>
      </c>
      <c r="G34" s="1">
        <v>-833.33330000000001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45</v>
      </c>
      <c r="E35" s="1">
        <v>-814.28570000000002</v>
      </c>
      <c r="F35" s="1">
        <v>-19.047599999999999</v>
      </c>
      <c r="G35" s="1">
        <v>-833.33330000000001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45</v>
      </c>
      <c r="E36" s="1">
        <v>-334.63799999999998</v>
      </c>
      <c r="F36" s="1">
        <v>-624.26610000000005</v>
      </c>
      <c r="G36" s="1">
        <v>-958.90409999999997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45</v>
      </c>
      <c r="E37" s="1">
        <v>-334.63799999999998</v>
      </c>
      <c r="F37" s="1">
        <v>-624.26610000000005</v>
      </c>
      <c r="G37" s="1">
        <v>-958.90409999999997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45</v>
      </c>
      <c r="E38" s="1">
        <v>5700</v>
      </c>
      <c r="F38" s="1">
        <v>1800</v>
      </c>
      <c r="G38" s="1">
        <v>7500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45</v>
      </c>
      <c r="E39" s="1">
        <v>5700</v>
      </c>
      <c r="F39" s="1">
        <v>1800</v>
      </c>
      <c r="G39" s="1">
        <v>7500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45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45</v>
      </c>
      <c r="E41" s="1">
        <v>-958.90409999999997</v>
      </c>
      <c r="F41" s="1">
        <v>-283.10500000000002</v>
      </c>
      <c r="G41" s="1">
        <v>-1242.0091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45</v>
      </c>
      <c r="E42" s="1">
        <v>-958.90409999999997</v>
      </c>
      <c r="F42" s="1">
        <v>-283.10500000000002</v>
      </c>
      <c r="G42" s="1">
        <v>-1242.0091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45</v>
      </c>
      <c r="E43" s="1">
        <v>-833.33330000000001</v>
      </c>
      <c r="F43" s="1">
        <v>0</v>
      </c>
      <c r="G43" s="1">
        <v>-833.33330000000001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45</v>
      </c>
      <c r="E44" s="1">
        <v>-833.33330000000001</v>
      </c>
      <c r="F44" s="1">
        <v>0</v>
      </c>
      <c r="G44" s="1">
        <v>-833.33330000000001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45</v>
      </c>
      <c r="E45" s="1">
        <v>-958.90409999999997</v>
      </c>
      <c r="F45" s="1">
        <v>-283.10500000000002</v>
      </c>
      <c r="G45" s="1">
        <v>-1242.0091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45</v>
      </c>
      <c r="E46" s="1">
        <v>-958.90409999999997</v>
      </c>
      <c r="F46" s="1">
        <v>-283.10500000000002</v>
      </c>
      <c r="G46" s="1">
        <v>-1242.0091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46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47</v>
      </c>
      <c r="E3" s="1">
        <v>0</v>
      </c>
      <c r="F3" s="14">
        <v>1371.2719999999999</v>
      </c>
      <c r="G3" s="1">
        <v>1371.2719999999999</v>
      </c>
    </row>
    <row r="4" ht="12.75" customHeight="1">
      <c r="A4" s="1">
        <v>20220131</v>
      </c>
      <c r="B4" s="1">
        <v>0</v>
      </c>
      <c r="C4" s="1" t="s">
        <v>55</v>
      </c>
      <c r="D4" s="1" t="s">
        <v>47</v>
      </c>
      <c r="E4" s="1">
        <v>0</v>
      </c>
      <c r="F4" s="14">
        <v>1371.2719999999999</v>
      </c>
      <c r="G4" s="1">
        <v>1371.2719999999999</v>
      </c>
    </row>
    <row r="5" ht="12.75" customHeight="1">
      <c r="A5" s="1">
        <v>20220131</v>
      </c>
      <c r="B5" s="1">
        <v>2</v>
      </c>
      <c r="C5" s="1" t="s">
        <v>54</v>
      </c>
      <c r="D5" s="1" t="s">
        <v>47</v>
      </c>
      <c r="E5" s="1">
        <v>0</v>
      </c>
      <c r="F5" s="14">
        <v>-190.37180000000001</v>
      </c>
      <c r="G5" s="1">
        <v>-190.37180000000001</v>
      </c>
    </row>
    <row r="6" ht="12.75" customHeight="1">
      <c r="A6" s="1">
        <v>20220131</v>
      </c>
      <c r="B6" s="1">
        <v>2</v>
      </c>
      <c r="C6" s="1" t="s">
        <v>39</v>
      </c>
      <c r="D6" s="1" t="s">
        <v>47</v>
      </c>
      <c r="E6" s="1">
        <v>0</v>
      </c>
      <c r="F6" s="1">
        <v>-190.37180000000001</v>
      </c>
      <c r="G6" s="1">
        <v>-190.37180000000001</v>
      </c>
    </row>
    <row r="7" ht="12.75" customHeight="1">
      <c r="A7" s="1">
        <v>20220131</v>
      </c>
      <c r="B7" s="1">
        <v>3</v>
      </c>
      <c r="C7" s="1" t="s">
        <v>54</v>
      </c>
      <c r="D7" s="1" t="s">
        <v>47</v>
      </c>
      <c r="E7" s="1">
        <v>0</v>
      </c>
      <c r="F7" s="14">
        <v>-1085.7143000000001</v>
      </c>
      <c r="G7" s="1">
        <v>-1085.7143000000001</v>
      </c>
    </row>
    <row r="8" ht="12.75" customHeight="1">
      <c r="A8" s="1">
        <v>20220131</v>
      </c>
      <c r="B8" s="1">
        <v>3</v>
      </c>
      <c r="C8" s="1" t="s">
        <v>39</v>
      </c>
      <c r="D8" s="1" t="s">
        <v>47</v>
      </c>
      <c r="E8" s="1">
        <v>0</v>
      </c>
      <c r="F8" s="14">
        <v>-1085.7143000000001</v>
      </c>
      <c r="G8" s="1">
        <v>-1085.7143000000001</v>
      </c>
    </row>
    <row r="9" ht="12.75" customHeight="1">
      <c r="A9" s="1">
        <v>20220131</v>
      </c>
      <c r="B9" s="1">
        <v>4</v>
      </c>
      <c r="C9" s="1" t="s">
        <v>54</v>
      </c>
      <c r="D9" s="1" t="s">
        <v>47</v>
      </c>
      <c r="E9" s="1">
        <v>0</v>
      </c>
      <c r="F9" s="14">
        <v>-95.185900000000004</v>
      </c>
      <c r="G9" s="1">
        <v>-95.185900000000004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47</v>
      </c>
      <c r="E10" s="1">
        <v>0</v>
      </c>
      <c r="F10" s="14">
        <v>-95.185900000000004</v>
      </c>
      <c r="G10" s="1">
        <v>-95.185900000000004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47</v>
      </c>
      <c r="E11" s="1">
        <v>0</v>
      </c>
      <c r="F11" s="14">
        <v>7600</v>
      </c>
      <c r="G11" s="1">
        <v>7600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47</v>
      </c>
      <c r="E12" s="1">
        <v>1371.2719999999999</v>
      </c>
      <c r="F12" s="1">
        <v>6228.7280000000001</v>
      </c>
      <c r="G12" s="1">
        <v>7600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47</v>
      </c>
      <c r="E13" s="1">
        <v>1371.2719999999999</v>
      </c>
      <c r="F13" s="1">
        <v>-1371.2719999999999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47</v>
      </c>
      <c r="E14" s="1">
        <v>-190.37180000000001</v>
      </c>
      <c r="F14" s="1">
        <v>-333.15069999999997</v>
      </c>
      <c r="G14" s="1">
        <v>-523.52250000000004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47</v>
      </c>
      <c r="E15" s="1">
        <v>-190.37180000000001</v>
      </c>
      <c r="F15" s="1">
        <v>-333.15069999999997</v>
      </c>
      <c r="G15" s="1">
        <v>-523.52250000000004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47</v>
      </c>
      <c r="E16" s="1">
        <v>-1085.7143000000001</v>
      </c>
      <c r="F16" s="1">
        <v>0</v>
      </c>
      <c r="G16" s="1">
        <v>-1085.7143000000001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47</v>
      </c>
      <c r="E17" s="1">
        <v>-1085.7143000000001</v>
      </c>
      <c r="F17" s="1">
        <v>0</v>
      </c>
      <c r="G17" s="1">
        <v>-1085.7143000000001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47</v>
      </c>
      <c r="E18" s="1">
        <v>-95.185900000000004</v>
      </c>
      <c r="F18" s="1">
        <v>-166.5754</v>
      </c>
      <c r="G18" s="1">
        <v>-261.76130000000001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47</v>
      </c>
      <c r="E19" s="1">
        <v>-95.185900000000004</v>
      </c>
      <c r="F19" s="1">
        <v>-166.5754</v>
      </c>
      <c r="G19" s="1">
        <v>-261.76130000000001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47</v>
      </c>
      <c r="E20" s="1">
        <v>7600</v>
      </c>
      <c r="F20" s="1">
        <v>0</v>
      </c>
      <c r="G20" s="1">
        <v>7600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47</v>
      </c>
      <c r="E21" s="1">
        <v>7600</v>
      </c>
      <c r="F21" s="1">
        <v>0</v>
      </c>
      <c r="G21" s="1">
        <v>7600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47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47</v>
      </c>
      <c r="E23" s="1">
        <v>-523.52250000000004</v>
      </c>
      <c r="F23" s="1">
        <v>-368.84539999999998</v>
      </c>
      <c r="G23" s="1">
        <v>-892.36789999999996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47</v>
      </c>
      <c r="E24" s="1">
        <v>-523.52250000000004</v>
      </c>
      <c r="F24" s="1">
        <v>-368.84539999999998</v>
      </c>
      <c r="G24" s="1">
        <v>-892.36789999999996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47</v>
      </c>
      <c r="E25" s="1">
        <v>-1085.7143000000001</v>
      </c>
      <c r="F25" s="1">
        <v>0</v>
      </c>
      <c r="G25" s="1">
        <v>-1085.7143000000001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47</v>
      </c>
      <c r="E26" s="1">
        <v>-1085.7143000000001</v>
      </c>
      <c r="F26" s="1">
        <v>0</v>
      </c>
      <c r="G26" s="1">
        <v>-1085.7143000000001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47</v>
      </c>
      <c r="E27" s="1">
        <v>-261.76130000000001</v>
      </c>
      <c r="F27" s="1">
        <v>-184.42269999999999</v>
      </c>
      <c r="G27" s="1">
        <v>-446.18400000000003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47</v>
      </c>
      <c r="E28" s="1">
        <v>-261.76130000000001</v>
      </c>
      <c r="F28" s="1">
        <v>-184.42269999999999</v>
      </c>
      <c r="G28" s="1">
        <v>-446.18400000000003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47</v>
      </c>
      <c r="E29" s="1">
        <v>7600</v>
      </c>
      <c r="F29" s="1">
        <v>0</v>
      </c>
      <c r="G29" s="1">
        <v>7600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47</v>
      </c>
      <c r="E30" s="1">
        <v>7600</v>
      </c>
      <c r="F30" s="1">
        <v>0</v>
      </c>
      <c r="G30" s="1">
        <v>7600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47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47</v>
      </c>
      <c r="E32" s="1">
        <v>-892.36789999999996</v>
      </c>
      <c r="F32" s="1">
        <v>-386.17090000000002</v>
      </c>
      <c r="G32" s="1">
        <v>-1278.5388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47</v>
      </c>
      <c r="E33" s="1">
        <v>-892.36789999999996</v>
      </c>
      <c r="F33" s="1">
        <v>-386.17090000000002</v>
      </c>
      <c r="G33" s="1">
        <v>-1278.5388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47</v>
      </c>
      <c r="E34" s="1">
        <v>-1085.7143000000001</v>
      </c>
      <c r="F34" s="1">
        <v>-25.396799999999999</v>
      </c>
      <c r="G34" s="1">
        <v>-1111.1111000000001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47</v>
      </c>
      <c r="E35" s="1">
        <v>-1085.7143000000001</v>
      </c>
      <c r="F35" s="1">
        <v>-25.396799999999999</v>
      </c>
      <c r="G35" s="1">
        <v>-1111.1111000000001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47</v>
      </c>
      <c r="E36" s="1">
        <v>-446.18400000000003</v>
      </c>
      <c r="F36" s="1">
        <v>-832.35479999999995</v>
      </c>
      <c r="G36" s="1">
        <v>-1278.5388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47</v>
      </c>
      <c r="E37" s="1">
        <v>-446.18400000000003</v>
      </c>
      <c r="F37" s="1">
        <v>-832.35479999999995</v>
      </c>
      <c r="G37" s="1">
        <v>-1278.5388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47</v>
      </c>
      <c r="E38" s="1">
        <v>7600</v>
      </c>
      <c r="F38" s="1">
        <v>2400</v>
      </c>
      <c r="G38" s="1">
        <v>10000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47</v>
      </c>
      <c r="E39" s="1">
        <v>7600</v>
      </c>
      <c r="F39" s="1">
        <v>2400</v>
      </c>
      <c r="G39" s="1">
        <v>10000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47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47</v>
      </c>
      <c r="E41" s="1">
        <v>-1278.5388</v>
      </c>
      <c r="F41" s="1">
        <v>-377.47340000000003</v>
      </c>
      <c r="G41" s="1">
        <v>-1656.0121999999999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47</v>
      </c>
      <c r="E42" s="1">
        <v>-1278.5388</v>
      </c>
      <c r="F42" s="1">
        <v>-377.47340000000003</v>
      </c>
      <c r="G42" s="1">
        <v>-1656.0121999999999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47</v>
      </c>
      <c r="E43" s="1">
        <v>-1111.1111000000001</v>
      </c>
      <c r="F43" s="1">
        <v>0</v>
      </c>
      <c r="G43" s="1">
        <v>-1111.1111000000001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47</v>
      </c>
      <c r="E44" s="1">
        <v>-1111.1111000000001</v>
      </c>
      <c r="F44" s="1">
        <v>0</v>
      </c>
      <c r="G44" s="1">
        <v>-1111.1111000000001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47</v>
      </c>
      <c r="E45" s="1">
        <v>-1278.5388</v>
      </c>
      <c r="F45" s="1">
        <v>-377.47340000000003</v>
      </c>
      <c r="G45" s="1">
        <v>-1656.0121999999999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47</v>
      </c>
      <c r="E46" s="1">
        <v>-1278.5388</v>
      </c>
      <c r="F46" s="1">
        <v>-377.47340000000003</v>
      </c>
      <c r="G46" s="1">
        <v>-1656.0121999999999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25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38</v>
      </c>
      <c r="D3" s="15">
        <v>-9.9999999996214228e-05</v>
      </c>
      <c r="E3" s="15">
        <v>0</v>
      </c>
      <c r="F3" s="15">
        <v>-9.9999999996214228e-05</v>
      </c>
    </row>
    <row r="4" ht="12.75" customHeight="1">
      <c r="A4" s="1">
        <v>20220131</v>
      </c>
      <c r="B4" s="1" t="s">
        <v>39</v>
      </c>
      <c r="C4" s="1" t="s">
        <v>38</v>
      </c>
      <c r="D4" s="15">
        <v>-342.81810000000002</v>
      </c>
      <c r="E4" s="15">
        <v>0</v>
      </c>
      <c r="F4" s="15">
        <v>-342.81810000000002</v>
      </c>
    </row>
    <row r="5" ht="12.75" customHeight="1">
      <c r="A5" s="1">
        <v>20220131</v>
      </c>
      <c r="B5" s="1" t="s">
        <v>55</v>
      </c>
      <c r="C5" s="1" t="s">
        <v>38</v>
      </c>
      <c r="D5" s="15">
        <v>342.81800000000004</v>
      </c>
      <c r="E5" s="15">
        <v>0</v>
      </c>
      <c r="F5" s="15">
        <v>342.81800000000004</v>
      </c>
    </row>
    <row r="6" ht="12.75" customHeight="1">
      <c r="A6" s="1">
        <v>20220228</v>
      </c>
      <c r="B6" s="1" t="s">
        <v>56</v>
      </c>
      <c r="C6" s="1" t="s">
        <v>38</v>
      </c>
      <c r="D6" s="15">
        <v>1900</v>
      </c>
      <c r="E6" s="15">
        <v>0</v>
      </c>
      <c r="F6" s="15">
        <v>1900</v>
      </c>
    </row>
    <row r="7" ht="12.75" customHeight="1">
      <c r="A7" s="1">
        <v>20220228</v>
      </c>
      <c r="B7" s="1" t="s">
        <v>54</v>
      </c>
      <c r="C7" s="1" t="s">
        <v>38</v>
      </c>
      <c r="D7" s="15">
        <v>1432.2506000000001</v>
      </c>
      <c r="E7" s="15">
        <v>-0.00010000000005305765</v>
      </c>
      <c r="F7" s="15">
        <v>1432.2505000000001</v>
      </c>
    </row>
    <row r="8" ht="12.75" customHeight="1">
      <c r="A8" s="1">
        <v>20220228</v>
      </c>
      <c r="B8" s="1" t="s">
        <v>39</v>
      </c>
      <c r="C8" s="1" t="s">
        <v>38</v>
      </c>
      <c r="D8" s="15">
        <v>-124.9314</v>
      </c>
      <c r="E8" s="15">
        <v>-342.81810000000002</v>
      </c>
      <c r="F8" s="15">
        <v>-467.74950000000001</v>
      </c>
    </row>
    <row r="9" ht="12.75" customHeight="1">
      <c r="A9" s="1">
        <v>20220228</v>
      </c>
      <c r="B9" s="1" t="s">
        <v>55</v>
      </c>
      <c r="C9" s="1" t="s">
        <v>38</v>
      </c>
      <c r="D9" s="15">
        <v>-342.81799999999998</v>
      </c>
      <c r="E9" s="15">
        <v>342.81799999999998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38</v>
      </c>
      <c r="D10" s="15">
        <v>0</v>
      </c>
      <c r="E10" s="15">
        <v>1900</v>
      </c>
      <c r="F10" s="15">
        <v>1900</v>
      </c>
    </row>
    <row r="11" ht="12.75" customHeight="1">
      <c r="A11" s="1">
        <v>20220331</v>
      </c>
      <c r="B11" s="1" t="s">
        <v>54</v>
      </c>
      <c r="C11" s="1" t="s">
        <v>38</v>
      </c>
      <c r="D11" s="15">
        <v>-138.31709999999998</v>
      </c>
      <c r="E11" s="15">
        <v>1432.2505000000001</v>
      </c>
      <c r="F11" s="15">
        <v>1293.9333999999999</v>
      </c>
    </row>
    <row r="12" ht="12.75" customHeight="1">
      <c r="A12" s="1">
        <v>20220331</v>
      </c>
      <c r="B12" s="1" t="s">
        <v>39</v>
      </c>
      <c r="C12" s="1" t="s">
        <v>38</v>
      </c>
      <c r="D12" s="15">
        <v>-138.31709999999998</v>
      </c>
      <c r="E12" s="15">
        <v>-467.74950000000001</v>
      </c>
      <c r="F12" s="15">
        <v>-606.06659999999999</v>
      </c>
    </row>
    <row r="13" ht="12.75" customHeight="1">
      <c r="A13" s="1">
        <v>20220331</v>
      </c>
      <c r="B13" s="1" t="s">
        <v>55</v>
      </c>
      <c r="C13" s="1" t="s">
        <v>38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38</v>
      </c>
      <c r="D14" s="15">
        <v>0</v>
      </c>
      <c r="E14" s="15">
        <v>1900</v>
      </c>
      <c r="F14" s="15">
        <v>1900</v>
      </c>
    </row>
    <row r="15" ht="12.75" customHeight="1">
      <c r="A15" s="1">
        <v>20220430</v>
      </c>
      <c r="B15" s="1" t="s">
        <v>54</v>
      </c>
      <c r="C15" s="1" t="s">
        <v>38</v>
      </c>
      <c r="D15" s="15">
        <v>-310.98059999999998</v>
      </c>
      <c r="E15" s="15">
        <v>1293.9333999999999</v>
      </c>
      <c r="F15" s="15">
        <v>982.9527999999998</v>
      </c>
    </row>
    <row r="16" ht="12.75" customHeight="1">
      <c r="A16" s="1">
        <v>20220430</v>
      </c>
      <c r="B16" s="1" t="s">
        <v>39</v>
      </c>
      <c r="C16" s="1" t="s">
        <v>38</v>
      </c>
      <c r="D16" s="15">
        <v>-310.98059999999998</v>
      </c>
      <c r="E16" s="15">
        <v>-606.06660000000011</v>
      </c>
      <c r="F16" s="15">
        <v>-917.04719999999998</v>
      </c>
    </row>
    <row r="17" ht="12.75" customHeight="1">
      <c r="A17" s="1">
        <v>20220430</v>
      </c>
      <c r="B17" s="1" t="s">
        <v>55</v>
      </c>
      <c r="C17" s="1" t="s">
        <v>38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38</v>
      </c>
      <c r="D18" s="15">
        <v>600</v>
      </c>
      <c r="E18" s="15">
        <v>1900</v>
      </c>
      <c r="F18" s="15">
        <v>2500</v>
      </c>
    </row>
    <row r="19" ht="12.75" customHeight="1">
      <c r="A19" s="1">
        <v>20220531</v>
      </c>
      <c r="B19" s="1" t="s">
        <v>54</v>
      </c>
      <c r="C19" s="1" t="s">
        <v>38</v>
      </c>
      <c r="D19" s="15">
        <v>411.26340000000005</v>
      </c>
      <c r="E19" s="15">
        <v>982.9527999999998</v>
      </c>
      <c r="F19" s="15">
        <v>1394.2161999999998</v>
      </c>
    </row>
    <row r="20" ht="12.75" customHeight="1">
      <c r="A20" s="1">
        <v>20220531</v>
      </c>
      <c r="B20" s="1" t="s">
        <v>39</v>
      </c>
      <c r="C20" s="1" t="s">
        <v>38</v>
      </c>
      <c r="D20" s="15">
        <v>-188.73660000000001</v>
      </c>
      <c r="E20" s="15">
        <v>-917.04719999999998</v>
      </c>
      <c r="F20" s="15">
        <v>-1105.7838000000002</v>
      </c>
    </row>
    <row r="21" ht="12.75" customHeight="1">
      <c r="A21" s="1">
        <v>20220531</v>
      </c>
      <c r="B21" s="1" t="s">
        <v>55</v>
      </c>
      <c r="C21" s="1" t="s">
        <v>38</v>
      </c>
      <c r="D21" s="15">
        <v>0</v>
      </c>
      <c r="E21" s="15">
        <v>0</v>
      </c>
      <c r="F21" s="15">
        <v>0</v>
      </c>
    </row>
  </sheetData>
  <sortState ref="A3:F21">
    <sortCondition ref="A3:A21"/>
    <sortCondition ref="B3:B21"/>
    <sortCondition ref="C3:C21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42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43</v>
      </c>
      <c r="D3" s="15">
        <v>0</v>
      </c>
      <c r="E3" s="15">
        <v>0</v>
      </c>
      <c r="F3" s="15">
        <v>0</v>
      </c>
    </row>
    <row r="4" ht="12.75" customHeight="1">
      <c r="A4" s="1">
        <v>20220131</v>
      </c>
      <c r="B4" s="1" t="s">
        <v>39</v>
      </c>
      <c r="C4" s="1" t="s">
        <v>43</v>
      </c>
      <c r="D4" s="15">
        <v>-685.63599999999997</v>
      </c>
      <c r="E4" s="15">
        <v>0</v>
      </c>
      <c r="F4" s="15">
        <v>-685.63599999999997</v>
      </c>
    </row>
    <row r="5" ht="12.75" customHeight="1">
      <c r="A5" s="1">
        <v>20220131</v>
      </c>
      <c r="B5" s="1" t="s">
        <v>55</v>
      </c>
      <c r="C5" s="1" t="s">
        <v>43</v>
      </c>
      <c r="D5" s="15">
        <v>685.63599999999997</v>
      </c>
      <c r="E5" s="15">
        <v>0</v>
      </c>
      <c r="F5" s="15">
        <v>685.63599999999997</v>
      </c>
    </row>
    <row r="6" ht="12.75" customHeight="1">
      <c r="A6" s="1">
        <v>20220228</v>
      </c>
      <c r="B6" s="1" t="s">
        <v>56</v>
      </c>
      <c r="C6" s="1" t="s">
        <v>43</v>
      </c>
      <c r="D6" s="15">
        <v>3800</v>
      </c>
      <c r="E6" s="15">
        <v>0</v>
      </c>
      <c r="F6" s="15">
        <v>3800</v>
      </c>
    </row>
    <row r="7" ht="12.75" customHeight="1">
      <c r="A7" s="1">
        <v>20220228</v>
      </c>
      <c r="B7" s="1" t="s">
        <v>54</v>
      </c>
      <c r="C7" s="1" t="s">
        <v>43</v>
      </c>
      <c r="D7" s="15">
        <v>2864.5010000000002</v>
      </c>
      <c r="E7" s="15">
        <v>0</v>
      </c>
      <c r="F7" s="15">
        <v>2864.5010000000002</v>
      </c>
    </row>
    <row r="8" ht="12.75" customHeight="1">
      <c r="A8" s="1">
        <v>20220228</v>
      </c>
      <c r="B8" s="1" t="s">
        <v>39</v>
      </c>
      <c r="C8" s="1" t="s">
        <v>43</v>
      </c>
      <c r="D8" s="15">
        <v>-249.863</v>
      </c>
      <c r="E8" s="15">
        <v>-685.63599999999997</v>
      </c>
      <c r="F8" s="15">
        <v>-935.49900000000002</v>
      </c>
    </row>
    <row r="9" ht="12.75" customHeight="1">
      <c r="A9" s="1">
        <v>20220228</v>
      </c>
      <c r="B9" s="1" t="s">
        <v>55</v>
      </c>
      <c r="C9" s="1" t="s">
        <v>43</v>
      </c>
      <c r="D9" s="15">
        <v>-685.63599999999997</v>
      </c>
      <c r="E9" s="15">
        <v>685.63599999999997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43</v>
      </c>
      <c r="D10" s="15">
        <v>0</v>
      </c>
      <c r="E10" s="15">
        <v>3800</v>
      </c>
      <c r="F10" s="15">
        <v>3800</v>
      </c>
    </row>
    <row r="11" ht="12.75" customHeight="1">
      <c r="A11" s="1">
        <v>20220331</v>
      </c>
      <c r="B11" s="1" t="s">
        <v>54</v>
      </c>
      <c r="C11" s="1" t="s">
        <v>43</v>
      </c>
      <c r="D11" s="15">
        <v>-276.63409999999999</v>
      </c>
      <c r="E11" s="15">
        <v>2864.5010000000002</v>
      </c>
      <c r="F11" s="15">
        <v>2587.8669</v>
      </c>
    </row>
    <row r="12" ht="12.75" customHeight="1">
      <c r="A12" s="1">
        <v>20220331</v>
      </c>
      <c r="B12" s="1" t="s">
        <v>39</v>
      </c>
      <c r="C12" s="1" t="s">
        <v>43</v>
      </c>
      <c r="D12" s="15">
        <v>-276.63409999999999</v>
      </c>
      <c r="E12" s="15">
        <v>-935.49900000000002</v>
      </c>
      <c r="F12" s="15">
        <v>-1212.1331</v>
      </c>
    </row>
    <row r="13" ht="12.75" customHeight="1">
      <c r="A13" s="1">
        <v>20220331</v>
      </c>
      <c r="B13" s="1" t="s">
        <v>55</v>
      </c>
      <c r="C13" s="1" t="s">
        <v>43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43</v>
      </c>
      <c r="D14" s="15">
        <v>0</v>
      </c>
      <c r="E14" s="15">
        <v>3800</v>
      </c>
      <c r="F14" s="15">
        <v>3800</v>
      </c>
    </row>
    <row r="15" ht="12.75" customHeight="1">
      <c r="A15" s="1">
        <v>20220430</v>
      </c>
      <c r="B15" s="1" t="s">
        <v>54</v>
      </c>
      <c r="C15" s="1" t="s">
        <v>43</v>
      </c>
      <c r="D15" s="15">
        <v>-621.96130000000005</v>
      </c>
      <c r="E15" s="15">
        <v>2587.8669</v>
      </c>
      <c r="F15" s="15">
        <v>1965.9056</v>
      </c>
    </row>
    <row r="16" ht="12.75" customHeight="1">
      <c r="A16" s="1">
        <v>20220430</v>
      </c>
      <c r="B16" s="1" t="s">
        <v>39</v>
      </c>
      <c r="C16" s="1" t="s">
        <v>43</v>
      </c>
      <c r="D16" s="15">
        <v>-621.96130000000005</v>
      </c>
      <c r="E16" s="15">
        <v>-1212.1331</v>
      </c>
      <c r="F16" s="15">
        <v>-1834.0944</v>
      </c>
    </row>
    <row r="17" ht="12.75" customHeight="1">
      <c r="A17" s="1">
        <v>20220430</v>
      </c>
      <c r="B17" s="1" t="s">
        <v>55</v>
      </c>
      <c r="C17" s="1" t="s">
        <v>43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43</v>
      </c>
      <c r="D18" s="15">
        <v>1200</v>
      </c>
      <c r="E18" s="15">
        <v>3800</v>
      </c>
      <c r="F18" s="15">
        <v>5000</v>
      </c>
    </row>
    <row r="19" ht="12.75" customHeight="1">
      <c r="A19" s="1">
        <v>20220531</v>
      </c>
      <c r="B19" s="1" t="s">
        <v>54</v>
      </c>
      <c r="C19" s="1" t="s">
        <v>43</v>
      </c>
      <c r="D19" s="15">
        <v>822.52660000000003</v>
      </c>
      <c r="E19" s="15">
        <v>1965.9056</v>
      </c>
      <c r="F19" s="15">
        <v>2788.4322000000002</v>
      </c>
    </row>
    <row r="20" ht="12.75" customHeight="1">
      <c r="A20" s="1">
        <v>20220531</v>
      </c>
      <c r="B20" s="1" t="s">
        <v>39</v>
      </c>
      <c r="C20" s="1" t="s">
        <v>43</v>
      </c>
      <c r="D20" s="15">
        <v>-377.47340000000003</v>
      </c>
      <c r="E20" s="15">
        <v>-1834.0944</v>
      </c>
      <c r="F20" s="15">
        <v>-2211.5677999999998</v>
      </c>
    </row>
    <row r="21" ht="12.75" customHeight="1">
      <c r="A21" s="1">
        <v>20220531</v>
      </c>
      <c r="B21" s="1" t="s">
        <v>55</v>
      </c>
      <c r="C21" s="1" t="s">
        <v>43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44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45</v>
      </c>
      <c r="D3" s="15">
        <v>0</v>
      </c>
      <c r="E3" s="15">
        <v>0</v>
      </c>
      <c r="F3" s="15">
        <v>0</v>
      </c>
    </row>
    <row r="4" ht="12.75" customHeight="1">
      <c r="A4" s="1">
        <v>20220131</v>
      </c>
      <c r="B4" s="1" t="s">
        <v>39</v>
      </c>
      <c r="C4" s="1" t="s">
        <v>45</v>
      </c>
      <c r="D4" s="15">
        <v>-1028.454</v>
      </c>
      <c r="E4" s="15">
        <v>0</v>
      </c>
      <c r="F4" s="15">
        <v>-1028.454</v>
      </c>
    </row>
    <row r="5" ht="12.75" customHeight="1">
      <c r="A5" s="1">
        <v>20220131</v>
      </c>
      <c r="B5" s="1" t="s">
        <v>55</v>
      </c>
      <c r="C5" s="1" t="s">
        <v>45</v>
      </c>
      <c r="D5" s="15">
        <v>1028.454</v>
      </c>
      <c r="E5" s="15">
        <v>0</v>
      </c>
      <c r="F5" s="15">
        <v>1028.454</v>
      </c>
    </row>
    <row r="6" ht="12.75" customHeight="1">
      <c r="A6" s="1">
        <v>20220228</v>
      </c>
      <c r="B6" s="1" t="s">
        <v>56</v>
      </c>
      <c r="C6" s="1" t="s">
        <v>45</v>
      </c>
      <c r="D6" s="15">
        <v>5700</v>
      </c>
      <c r="E6" s="15">
        <v>0</v>
      </c>
      <c r="F6" s="15">
        <v>5700</v>
      </c>
    </row>
    <row r="7" ht="12.75" customHeight="1">
      <c r="A7" s="1">
        <v>20220228</v>
      </c>
      <c r="B7" s="1" t="s">
        <v>54</v>
      </c>
      <c r="C7" s="1" t="s">
        <v>45</v>
      </c>
      <c r="D7" s="15">
        <v>4296.7515000000003</v>
      </c>
      <c r="E7" s="15">
        <v>0</v>
      </c>
      <c r="F7" s="15">
        <v>4296.7515000000003</v>
      </c>
    </row>
    <row r="8" ht="12.75" customHeight="1">
      <c r="A8" s="1">
        <v>20220228</v>
      </c>
      <c r="B8" s="1" t="s">
        <v>39</v>
      </c>
      <c r="C8" s="1" t="s">
        <v>45</v>
      </c>
      <c r="D8" s="15">
        <v>-374.79450000000003</v>
      </c>
      <c r="E8" s="15">
        <v>-1028.454</v>
      </c>
      <c r="F8" s="15">
        <v>-1403.2484999999999</v>
      </c>
    </row>
    <row r="9" ht="12.75" customHeight="1">
      <c r="A9" s="1">
        <v>20220228</v>
      </c>
      <c r="B9" s="1" t="s">
        <v>55</v>
      </c>
      <c r="C9" s="1" t="s">
        <v>45</v>
      </c>
      <c r="D9" s="15">
        <v>-1028.454</v>
      </c>
      <c r="E9" s="15">
        <v>1028.454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45</v>
      </c>
      <c r="D10" s="15">
        <v>0</v>
      </c>
      <c r="E10" s="15">
        <v>5700</v>
      </c>
      <c r="F10" s="15">
        <v>5700</v>
      </c>
    </row>
    <row r="11" ht="12.75" customHeight="1">
      <c r="A11" s="1">
        <v>20220331</v>
      </c>
      <c r="B11" s="1" t="s">
        <v>54</v>
      </c>
      <c r="C11" s="1" t="s">
        <v>45</v>
      </c>
      <c r="D11" s="15">
        <v>-414.9511</v>
      </c>
      <c r="E11" s="15">
        <v>4296.7515000000003</v>
      </c>
      <c r="F11" s="15">
        <v>3881.8004000000001</v>
      </c>
    </row>
    <row r="12" ht="12.75" customHeight="1">
      <c r="A12" s="1">
        <v>20220331</v>
      </c>
      <c r="B12" s="1" t="s">
        <v>39</v>
      </c>
      <c r="C12" s="1" t="s">
        <v>45</v>
      </c>
      <c r="D12" s="15">
        <v>-414.9511</v>
      </c>
      <c r="E12" s="15">
        <v>-1403.2484999999999</v>
      </c>
      <c r="F12" s="15">
        <v>-1818.1995999999999</v>
      </c>
    </row>
    <row r="13" ht="12.75" customHeight="1">
      <c r="A13" s="1">
        <v>20220331</v>
      </c>
      <c r="B13" s="1" t="s">
        <v>55</v>
      </c>
      <c r="C13" s="1" t="s">
        <v>45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45</v>
      </c>
      <c r="D14" s="15">
        <v>0</v>
      </c>
      <c r="E14" s="15">
        <v>5700</v>
      </c>
      <c r="F14" s="15">
        <v>5700</v>
      </c>
    </row>
    <row r="15" ht="12.75" customHeight="1">
      <c r="A15" s="1">
        <v>20220430</v>
      </c>
      <c r="B15" s="1" t="s">
        <v>54</v>
      </c>
      <c r="C15" s="1" t="s">
        <v>45</v>
      </c>
      <c r="D15" s="15">
        <v>-932.94190000000003</v>
      </c>
      <c r="E15" s="15">
        <v>3881.8004000000001</v>
      </c>
      <c r="F15" s="15">
        <v>2948.8584999999998</v>
      </c>
    </row>
    <row r="16" ht="12.75" customHeight="1">
      <c r="A16" s="1">
        <v>20220430</v>
      </c>
      <c r="B16" s="1" t="s">
        <v>39</v>
      </c>
      <c r="C16" s="1" t="s">
        <v>45</v>
      </c>
      <c r="D16" s="15">
        <v>-932.94190000000003</v>
      </c>
      <c r="E16" s="15">
        <v>-1818.1995999999999</v>
      </c>
      <c r="F16" s="15">
        <v>-2751.1415000000002</v>
      </c>
    </row>
    <row r="17" ht="12.75" customHeight="1">
      <c r="A17" s="1">
        <v>20220430</v>
      </c>
      <c r="B17" s="1" t="s">
        <v>55</v>
      </c>
      <c r="C17" s="1" t="s">
        <v>45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45</v>
      </c>
      <c r="D18" s="15">
        <v>1800</v>
      </c>
      <c r="E18" s="15">
        <v>5700</v>
      </c>
      <c r="F18" s="15">
        <v>7500</v>
      </c>
    </row>
    <row r="19" ht="12.75" customHeight="1">
      <c r="A19" s="1">
        <v>20220531</v>
      </c>
      <c r="B19" s="1" t="s">
        <v>54</v>
      </c>
      <c r="C19" s="1" t="s">
        <v>45</v>
      </c>
      <c r="D19" s="15">
        <v>1233.79</v>
      </c>
      <c r="E19" s="15">
        <v>2948.8584999999998</v>
      </c>
      <c r="F19" s="15">
        <v>4182.6485000000002</v>
      </c>
    </row>
    <row r="20" ht="12.75" customHeight="1">
      <c r="A20" s="1">
        <v>20220531</v>
      </c>
      <c r="B20" s="1" t="s">
        <v>39</v>
      </c>
      <c r="C20" s="1" t="s">
        <v>45</v>
      </c>
      <c r="D20" s="15">
        <v>-566.21000000000004</v>
      </c>
      <c r="E20" s="15">
        <v>-2751.1415000000002</v>
      </c>
      <c r="F20" s="15">
        <v>-3317.3515000000002</v>
      </c>
    </row>
    <row r="21" ht="12.75" customHeight="1">
      <c r="A21" s="1">
        <v>20220531</v>
      </c>
      <c r="B21" s="1" t="s">
        <v>55</v>
      </c>
      <c r="C21" s="1" t="s">
        <v>45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46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>
      <c r="A3" s="1">
        <v>20220131</v>
      </c>
      <c r="B3" s="1" t="s">
        <v>54</v>
      </c>
      <c r="C3" s="1" t="s">
        <v>47</v>
      </c>
      <c r="D3" s="15">
        <v>0</v>
      </c>
      <c r="E3" s="15">
        <v>0</v>
      </c>
      <c r="F3" s="15">
        <v>0</v>
      </c>
    </row>
    <row r="4" ht="12.75" customHeight="1">
      <c r="A4" s="1">
        <v>20220131</v>
      </c>
      <c r="B4" s="1" t="s">
        <v>39</v>
      </c>
      <c r="C4" s="1" t="s">
        <v>47</v>
      </c>
      <c r="D4" s="15">
        <v>-1371.2719999999999</v>
      </c>
      <c r="E4" s="15">
        <v>0</v>
      </c>
      <c r="F4" s="15">
        <v>-1371.2719999999999</v>
      </c>
    </row>
    <row r="5" ht="12.75" customHeight="1">
      <c r="A5" s="1">
        <v>20220131</v>
      </c>
      <c r="B5" s="1" t="s">
        <v>55</v>
      </c>
      <c r="C5" s="1" t="s">
        <v>47</v>
      </c>
      <c r="D5" s="15">
        <v>1371.2719999999999</v>
      </c>
      <c r="E5" s="15">
        <v>0</v>
      </c>
      <c r="F5" s="15">
        <v>1371.2719999999999</v>
      </c>
    </row>
    <row r="6" ht="12.75" customHeight="1">
      <c r="A6" s="1">
        <v>20220228</v>
      </c>
      <c r="B6" s="1" t="s">
        <v>56</v>
      </c>
      <c r="C6" s="1" t="s">
        <v>47</v>
      </c>
      <c r="D6" s="15">
        <v>7600</v>
      </c>
      <c r="E6" s="15">
        <v>0</v>
      </c>
      <c r="F6" s="15">
        <v>7600</v>
      </c>
    </row>
    <row r="7" ht="12.75" customHeight="1">
      <c r="A7" s="1">
        <v>20220228</v>
      </c>
      <c r="B7" s="1" t="s">
        <v>54</v>
      </c>
      <c r="C7" s="1" t="s">
        <v>47</v>
      </c>
      <c r="D7" s="15">
        <v>5729.0019000000002</v>
      </c>
      <c r="E7" s="15">
        <v>0</v>
      </c>
      <c r="F7" s="15">
        <v>5729.0019000000002</v>
      </c>
    </row>
    <row r="8" ht="12.75" customHeight="1">
      <c r="A8" s="1">
        <v>20220228</v>
      </c>
      <c r="B8" s="1" t="s">
        <v>39</v>
      </c>
      <c r="C8" s="1" t="s">
        <v>47</v>
      </c>
      <c r="D8" s="15">
        <v>-499.72609999999997</v>
      </c>
      <c r="E8" s="15">
        <v>-1371.2719999999999</v>
      </c>
      <c r="F8" s="15">
        <v>-1870.9981</v>
      </c>
    </row>
    <row r="9" ht="12.75" customHeight="1">
      <c r="A9" s="1">
        <v>20220228</v>
      </c>
      <c r="B9" s="1" t="s">
        <v>55</v>
      </c>
      <c r="C9" s="1" t="s">
        <v>47</v>
      </c>
      <c r="D9" s="15">
        <v>-1371.2719999999999</v>
      </c>
      <c r="E9" s="15">
        <v>1371.2719999999999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47</v>
      </c>
      <c r="D10" s="15">
        <v>0</v>
      </c>
      <c r="E10" s="15">
        <v>7600</v>
      </c>
      <c r="F10" s="15">
        <v>7600</v>
      </c>
    </row>
    <row r="11" ht="12.75" customHeight="1">
      <c r="A11" s="1">
        <v>20220331</v>
      </c>
      <c r="B11" s="1" t="s">
        <v>54</v>
      </c>
      <c r="C11" s="1" t="s">
        <v>47</v>
      </c>
      <c r="D11" s="15">
        <v>-553.2681</v>
      </c>
      <c r="E11" s="15">
        <v>5729.0019000000002</v>
      </c>
      <c r="F11" s="15">
        <v>5175.7338</v>
      </c>
    </row>
    <row r="12" ht="12.75" customHeight="1">
      <c r="A12" s="1">
        <v>20220331</v>
      </c>
      <c r="B12" s="1" t="s">
        <v>39</v>
      </c>
      <c r="C12" s="1" t="s">
        <v>47</v>
      </c>
      <c r="D12" s="15">
        <v>-553.2681</v>
      </c>
      <c r="E12" s="15">
        <v>-1870.9981</v>
      </c>
      <c r="F12" s="15">
        <v>-2424.2662</v>
      </c>
    </row>
    <row r="13" ht="12.75" customHeight="1">
      <c r="A13" s="1">
        <v>20220331</v>
      </c>
      <c r="B13" s="1" t="s">
        <v>55</v>
      </c>
      <c r="C13" s="1" t="s">
        <v>47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47</v>
      </c>
      <c r="D14" s="15">
        <v>0</v>
      </c>
      <c r="E14" s="15">
        <v>7600</v>
      </c>
      <c r="F14" s="15">
        <v>7600</v>
      </c>
    </row>
    <row r="15" ht="12.75" customHeight="1">
      <c r="A15" s="1">
        <v>20220430</v>
      </c>
      <c r="B15" s="1" t="s">
        <v>54</v>
      </c>
      <c r="C15" s="1" t="s">
        <v>47</v>
      </c>
      <c r="D15" s="15">
        <v>-1243.9224999999999</v>
      </c>
      <c r="E15" s="15">
        <v>5175.7338</v>
      </c>
      <c r="F15" s="15">
        <v>3931.8112999999998</v>
      </c>
    </row>
    <row r="16" ht="12.75" customHeight="1">
      <c r="A16" s="1">
        <v>20220430</v>
      </c>
      <c r="B16" s="1" t="s">
        <v>39</v>
      </c>
      <c r="C16" s="1" t="s">
        <v>47</v>
      </c>
      <c r="D16" s="15">
        <v>-1243.9224999999999</v>
      </c>
      <c r="E16" s="15">
        <v>-2424.2662</v>
      </c>
      <c r="F16" s="15">
        <v>-3668.1887000000002</v>
      </c>
    </row>
    <row r="17" ht="12.75" customHeight="1">
      <c r="A17" s="1">
        <v>20220430</v>
      </c>
      <c r="B17" s="1" t="s">
        <v>55</v>
      </c>
      <c r="C17" s="1" t="s">
        <v>47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47</v>
      </c>
      <c r="D18" s="15">
        <v>2400</v>
      </c>
      <c r="E18" s="15">
        <v>7600</v>
      </c>
      <c r="F18" s="15">
        <v>10000</v>
      </c>
    </row>
    <row r="19" ht="12.75" customHeight="1">
      <c r="A19" s="1">
        <v>20220531</v>
      </c>
      <c r="B19" s="1" t="s">
        <v>54</v>
      </c>
      <c r="C19" s="1" t="s">
        <v>47</v>
      </c>
      <c r="D19" s="15">
        <v>1645.0532000000001</v>
      </c>
      <c r="E19" s="15">
        <v>3931.8112999999998</v>
      </c>
      <c r="F19" s="15">
        <v>5576.8644999999997</v>
      </c>
    </row>
    <row r="20" ht="12.75" customHeight="1">
      <c r="A20" s="1">
        <v>20220531</v>
      </c>
      <c r="B20" s="1" t="s">
        <v>39</v>
      </c>
      <c r="C20" s="1" t="s">
        <v>47</v>
      </c>
      <c r="D20" s="15">
        <v>-754.94680000000005</v>
      </c>
      <c r="E20" s="15">
        <v>-3668.1887000000002</v>
      </c>
      <c r="F20" s="15">
        <v>-4423.1355000000003</v>
      </c>
    </row>
    <row r="21" ht="12.75" customHeight="1">
      <c r="A21" s="1">
        <v>20220531</v>
      </c>
      <c r="B21" s="1" t="s">
        <v>55</v>
      </c>
      <c r="C21" s="1" t="s">
        <v>47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7" style="1" width="21.7109375"/>
    <col customWidth="1" min="8" max="9" style="1" width="23.140625"/>
  </cols>
  <sheetData>
    <row r="1" ht="15">
      <c r="A1" s="4" t="s">
        <v>24</v>
      </c>
      <c r="B1" s="5" t="s">
        <v>58</v>
      </c>
      <c r="G1" s="6"/>
    </row>
    <row r="2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</row>
    <row r="3">
      <c r="A3" s="11">
        <v>20220131</v>
      </c>
      <c r="B3" s="11">
        <v>0</v>
      </c>
      <c r="C3" s="11" t="s">
        <v>36</v>
      </c>
      <c r="D3" s="11" t="s">
        <v>37</v>
      </c>
      <c r="E3" s="11">
        <v>20220131</v>
      </c>
      <c r="F3" s="11" t="s">
        <v>59</v>
      </c>
      <c r="G3" s="12">
        <v>1714.0899999999999</v>
      </c>
      <c r="H3" s="11">
        <v>202201</v>
      </c>
      <c r="I3" s="11">
        <v>202201</v>
      </c>
      <c r="J3" s="11">
        <v>0</v>
      </c>
    </row>
    <row r="4">
      <c r="A4" s="11">
        <v>20220131</v>
      </c>
      <c r="B4" s="11">
        <v>2</v>
      </c>
      <c r="C4" s="11" t="s">
        <v>39</v>
      </c>
      <c r="D4" s="11" t="s">
        <v>37</v>
      </c>
      <c r="E4" s="11">
        <v>20220131</v>
      </c>
      <c r="F4" s="11" t="s">
        <v>59</v>
      </c>
      <c r="G4" s="12">
        <v>-237.9648</v>
      </c>
      <c r="H4" s="11">
        <v>202201</v>
      </c>
      <c r="I4" s="11">
        <v>202201</v>
      </c>
      <c r="J4" s="11">
        <v>0</v>
      </c>
    </row>
    <row r="5">
      <c r="A5" s="11">
        <v>20220131</v>
      </c>
      <c r="B5" s="11">
        <v>3</v>
      </c>
      <c r="C5" s="11" t="s">
        <v>39</v>
      </c>
      <c r="D5" s="11" t="s">
        <v>37</v>
      </c>
      <c r="E5" s="11">
        <v>20220131</v>
      </c>
      <c r="F5" s="11" t="s">
        <v>59</v>
      </c>
      <c r="G5" s="12">
        <v>-1357.1429000000001</v>
      </c>
      <c r="H5" s="11">
        <v>202201</v>
      </c>
      <c r="I5" s="11">
        <v>202201</v>
      </c>
      <c r="J5" s="11">
        <v>0</v>
      </c>
    </row>
    <row r="6" ht="12.75" customHeight="1">
      <c r="A6" s="11">
        <v>20220131</v>
      </c>
      <c r="B6" s="11">
        <v>4</v>
      </c>
      <c r="C6" s="11" t="s">
        <v>39</v>
      </c>
      <c r="D6" s="11" t="s">
        <v>37</v>
      </c>
      <c r="E6" s="11">
        <v>20220131</v>
      </c>
      <c r="F6" s="11" t="s">
        <v>59</v>
      </c>
      <c r="G6" s="12">
        <v>-118.9824</v>
      </c>
      <c r="H6" s="11">
        <v>202201</v>
      </c>
      <c r="I6" s="11">
        <v>202201</v>
      </c>
      <c r="J6" s="11">
        <v>0</v>
      </c>
    </row>
    <row r="7" ht="12.75" customHeight="1">
      <c r="A7" s="11">
        <v>20220228</v>
      </c>
      <c r="B7" s="11">
        <v>0</v>
      </c>
      <c r="C7" s="11" t="s">
        <v>40</v>
      </c>
      <c r="D7" s="11" t="s">
        <v>41</v>
      </c>
      <c r="E7" s="11">
        <v>20220228</v>
      </c>
      <c r="F7" s="11" t="s">
        <v>59</v>
      </c>
      <c r="G7" s="12">
        <v>9500</v>
      </c>
      <c r="H7" s="11">
        <v>202202</v>
      </c>
      <c r="I7" s="11">
        <v>202202</v>
      </c>
      <c r="J7" s="11">
        <v>0</v>
      </c>
    </row>
    <row r="8" ht="12.75" customHeight="1">
      <c r="A8" s="11">
        <v>20220228</v>
      </c>
      <c r="B8" s="11">
        <v>0</v>
      </c>
      <c r="C8" s="11" t="s">
        <v>36</v>
      </c>
      <c r="D8" s="11" t="s">
        <v>37</v>
      </c>
      <c r="E8" s="11">
        <v>20220228</v>
      </c>
      <c r="F8" s="11" t="s">
        <v>59</v>
      </c>
      <c r="G8" s="12">
        <v>-1714.0899999999999</v>
      </c>
      <c r="H8" s="11">
        <v>202202</v>
      </c>
      <c r="I8" s="11">
        <v>202202</v>
      </c>
      <c r="J8" s="11">
        <v>0</v>
      </c>
    </row>
    <row r="9" ht="12.75" customHeight="1">
      <c r="A9" s="11">
        <v>20220228</v>
      </c>
      <c r="B9" s="11">
        <v>2</v>
      </c>
      <c r="C9" s="11" t="s">
        <v>39</v>
      </c>
      <c r="D9" s="11" t="s">
        <v>37</v>
      </c>
      <c r="E9" s="11">
        <v>20220228</v>
      </c>
      <c r="F9" s="11" t="s">
        <v>59</v>
      </c>
      <c r="G9" s="12">
        <v>-416.43830000000003</v>
      </c>
      <c r="H9" s="11">
        <v>202202</v>
      </c>
      <c r="I9" s="11">
        <v>202202</v>
      </c>
      <c r="J9" s="11">
        <v>0</v>
      </c>
    </row>
    <row r="10" ht="12.75" customHeight="1">
      <c r="A10" s="11">
        <v>20220228</v>
      </c>
      <c r="B10" s="11">
        <v>4</v>
      </c>
      <c r="C10" s="11" t="s">
        <v>39</v>
      </c>
      <c r="D10" s="11" t="s">
        <v>37</v>
      </c>
      <c r="E10" s="11">
        <v>20220228</v>
      </c>
      <c r="F10" s="11" t="s">
        <v>59</v>
      </c>
      <c r="G10" s="12">
        <v>-208.2192</v>
      </c>
      <c r="H10" s="11">
        <v>202202</v>
      </c>
      <c r="I10" s="11">
        <v>202202</v>
      </c>
      <c r="J10" s="11">
        <v>0</v>
      </c>
    </row>
    <row r="11" ht="12.75" customHeight="1">
      <c r="A11" s="11">
        <v>20220331</v>
      </c>
      <c r="B11" s="11">
        <v>2</v>
      </c>
      <c r="C11" s="11" t="s">
        <v>39</v>
      </c>
      <c r="D11" s="11" t="s">
        <v>37</v>
      </c>
      <c r="E11" s="11">
        <v>20220331</v>
      </c>
      <c r="F11" s="11" t="s">
        <v>59</v>
      </c>
      <c r="G11" s="12">
        <v>-461.05680000000001</v>
      </c>
      <c r="H11" s="11">
        <v>202203</v>
      </c>
      <c r="I11" s="11">
        <v>202203</v>
      </c>
      <c r="J11" s="11">
        <v>0</v>
      </c>
    </row>
    <row r="12" ht="12.75" customHeight="1">
      <c r="A12" s="11">
        <v>20220331</v>
      </c>
      <c r="B12" s="11">
        <v>4</v>
      </c>
      <c r="C12" s="11" t="s">
        <v>39</v>
      </c>
      <c r="D12" s="11" t="s">
        <v>37</v>
      </c>
      <c r="E12" s="11">
        <v>20220331</v>
      </c>
      <c r="F12" s="11" t="s">
        <v>59</v>
      </c>
      <c r="G12" s="12">
        <v>-230.5283</v>
      </c>
      <c r="H12" s="11">
        <v>202203</v>
      </c>
      <c r="I12" s="11">
        <v>202203</v>
      </c>
      <c r="J12" s="11">
        <v>0</v>
      </c>
    </row>
    <row r="13" ht="12.75" customHeight="1">
      <c r="A13" s="11">
        <v>20220430</v>
      </c>
      <c r="B13" s="11">
        <v>2</v>
      </c>
      <c r="C13" s="11" t="s">
        <v>39</v>
      </c>
      <c r="D13" s="11" t="s">
        <v>37</v>
      </c>
      <c r="E13" s="11">
        <v>20220430</v>
      </c>
      <c r="F13" s="11" t="s">
        <v>59</v>
      </c>
      <c r="G13" s="12">
        <v>-482.71359999999999</v>
      </c>
      <c r="H13" s="11">
        <v>202204</v>
      </c>
      <c r="I13" s="11">
        <v>202204</v>
      </c>
      <c r="J13" s="11">
        <v>0</v>
      </c>
    </row>
    <row r="14" ht="12.75" customHeight="1">
      <c r="A14" s="11">
        <v>20220430</v>
      </c>
      <c r="B14" s="11">
        <v>3</v>
      </c>
      <c r="C14" s="11" t="s">
        <v>39</v>
      </c>
      <c r="D14" s="11" t="s">
        <v>37</v>
      </c>
      <c r="E14" s="11">
        <v>20220430</v>
      </c>
      <c r="F14" s="11" t="s">
        <v>59</v>
      </c>
      <c r="G14" s="12">
        <v>-31.745999999999999</v>
      </c>
      <c r="H14" s="11">
        <v>202204</v>
      </c>
      <c r="I14" s="11">
        <v>202204</v>
      </c>
      <c r="J14" s="11">
        <v>0</v>
      </c>
    </row>
    <row r="15" ht="12.75" customHeight="1">
      <c r="A15" s="11">
        <v>20220430</v>
      </c>
      <c r="B15" s="11">
        <v>4</v>
      </c>
      <c r="C15" s="11" t="s">
        <v>39</v>
      </c>
      <c r="D15" s="11" t="s">
        <v>37</v>
      </c>
      <c r="E15" s="11">
        <v>20220430</v>
      </c>
      <c r="F15" s="11" t="s">
        <v>59</v>
      </c>
      <c r="G15" s="12">
        <v>-1040.4436000000001</v>
      </c>
      <c r="H15" s="11">
        <v>202204</v>
      </c>
      <c r="I15" s="11">
        <v>202204</v>
      </c>
      <c r="J15" s="11">
        <v>0</v>
      </c>
    </row>
    <row r="16" ht="12.75" customHeight="1">
      <c r="A16" s="11">
        <v>20220531</v>
      </c>
      <c r="B16" s="11">
        <v>0</v>
      </c>
      <c r="C16" s="11" t="s">
        <v>40</v>
      </c>
      <c r="D16" s="11" t="s">
        <v>41</v>
      </c>
      <c r="E16" s="11">
        <v>20220531</v>
      </c>
      <c r="F16" s="11" t="s">
        <v>59</v>
      </c>
      <c r="G16" s="13">
        <v>3000</v>
      </c>
      <c r="H16" s="11">
        <v>202205</v>
      </c>
      <c r="I16" s="11">
        <v>202205</v>
      </c>
      <c r="J16" s="11">
        <v>0</v>
      </c>
    </row>
    <row r="17" ht="12.75" customHeight="1">
      <c r="A17" s="11">
        <v>20220531</v>
      </c>
      <c r="B17" s="11">
        <v>2</v>
      </c>
      <c r="C17" s="11" t="s">
        <v>39</v>
      </c>
      <c r="D17" s="11" t="s">
        <v>37</v>
      </c>
      <c r="E17" s="11">
        <v>20220531</v>
      </c>
      <c r="F17" s="11" t="s">
        <v>59</v>
      </c>
      <c r="G17" s="12">
        <v>-471.8417</v>
      </c>
      <c r="H17" s="11">
        <v>202205</v>
      </c>
      <c r="I17" s="11">
        <v>202205</v>
      </c>
      <c r="J17" s="11">
        <v>0</v>
      </c>
    </row>
    <row r="18" ht="12.75" customHeight="1">
      <c r="A18" s="11">
        <v>20220531</v>
      </c>
      <c r="B18" s="11">
        <v>4</v>
      </c>
      <c r="C18" s="11" t="s">
        <v>39</v>
      </c>
      <c r="D18" s="11" t="s">
        <v>37</v>
      </c>
      <c r="E18" s="11">
        <v>20220531</v>
      </c>
      <c r="F18" s="11" t="s">
        <v>59</v>
      </c>
      <c r="G18" s="12">
        <v>-471.8417</v>
      </c>
      <c r="H18" s="11">
        <v>202205</v>
      </c>
      <c r="I18" s="11">
        <v>202205</v>
      </c>
      <c r="J18" s="11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21" activeCellId="0" sqref="C21"/>
    </sheetView>
  </sheetViews>
  <sheetFormatPr defaultColWidth="11.5703125" defaultRowHeight="12.75" customHeight="1"/>
  <cols>
    <col customWidth="1" min="1" max="1" style="1" width="21.7109375"/>
    <col customWidth="1" min="2" max="2" style="1" width="26.140625"/>
    <col customWidth="1" min="3" max="3" style="1" width="21"/>
    <col customWidth="1" min="4" max="4" style="1" width="17.42578125"/>
    <col customWidth="1" min="5" max="5" style="1" width="21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58</v>
      </c>
    </row>
    <row r="2" ht="12.75" customHeight="1">
      <c r="A2" s="1" t="s">
        <v>26</v>
      </c>
      <c r="B2" s="1" t="s">
        <v>27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</row>
    <row r="3" ht="12.75" customHeight="1">
      <c r="A3" s="1">
        <v>20220131</v>
      </c>
      <c r="B3" s="1">
        <v>0</v>
      </c>
      <c r="C3" s="1" t="s">
        <v>54</v>
      </c>
      <c r="D3" s="1" t="s">
        <v>59</v>
      </c>
      <c r="E3" s="1">
        <v>0</v>
      </c>
      <c r="F3" s="14">
        <v>1714.0899999999999</v>
      </c>
      <c r="G3" s="1">
        <v>1714.0899999999999</v>
      </c>
    </row>
    <row r="4" ht="12.75" customHeight="1">
      <c r="A4" s="1">
        <v>20220131</v>
      </c>
      <c r="B4" s="1">
        <v>0</v>
      </c>
      <c r="C4" s="1" t="s">
        <v>55</v>
      </c>
      <c r="D4" s="1" t="s">
        <v>59</v>
      </c>
      <c r="E4" s="1">
        <v>0</v>
      </c>
      <c r="F4" s="14">
        <v>1714.0899999999999</v>
      </c>
      <c r="G4" s="1">
        <v>1714.0899999999999</v>
      </c>
    </row>
    <row r="5" ht="12.75" customHeight="1">
      <c r="A5" s="1">
        <v>20220131</v>
      </c>
      <c r="B5" s="1">
        <v>2</v>
      </c>
      <c r="C5" s="1" t="s">
        <v>54</v>
      </c>
      <c r="D5" s="1" t="s">
        <v>59</v>
      </c>
      <c r="E5" s="1">
        <v>0</v>
      </c>
      <c r="F5" s="14">
        <v>-237.9648</v>
      </c>
      <c r="G5" s="1">
        <v>-237.9648</v>
      </c>
    </row>
    <row r="6" ht="12.75" customHeight="1">
      <c r="A6" s="1">
        <v>20220131</v>
      </c>
      <c r="B6" s="1">
        <v>2</v>
      </c>
      <c r="C6" s="1" t="s">
        <v>39</v>
      </c>
      <c r="D6" s="1" t="s">
        <v>59</v>
      </c>
      <c r="E6" s="1">
        <v>0</v>
      </c>
      <c r="F6" s="1">
        <v>-237.9648</v>
      </c>
      <c r="G6" s="1">
        <v>-237.9648</v>
      </c>
    </row>
    <row r="7" ht="12.75" customHeight="1">
      <c r="A7" s="1">
        <v>20220131</v>
      </c>
      <c r="B7" s="1">
        <v>3</v>
      </c>
      <c r="C7" s="1" t="s">
        <v>54</v>
      </c>
      <c r="D7" s="1" t="s">
        <v>59</v>
      </c>
      <c r="E7" s="1">
        <v>0</v>
      </c>
      <c r="F7" s="14">
        <v>-1357.1429000000001</v>
      </c>
      <c r="G7" s="1">
        <v>-1357.1429000000001</v>
      </c>
    </row>
    <row r="8" ht="12.75" customHeight="1">
      <c r="A8" s="1">
        <v>20220131</v>
      </c>
      <c r="B8" s="1">
        <v>3</v>
      </c>
      <c r="C8" s="1" t="s">
        <v>39</v>
      </c>
      <c r="D8" s="1" t="s">
        <v>59</v>
      </c>
      <c r="E8" s="1">
        <v>0</v>
      </c>
      <c r="F8" s="14">
        <v>-1357.1429000000001</v>
      </c>
      <c r="G8" s="1">
        <v>-1357.1429000000001</v>
      </c>
    </row>
    <row r="9" ht="12.75" customHeight="1">
      <c r="A9" s="1">
        <v>20220131</v>
      </c>
      <c r="B9" s="1">
        <v>4</v>
      </c>
      <c r="C9" s="1" t="s">
        <v>54</v>
      </c>
      <c r="D9" s="1" t="s">
        <v>59</v>
      </c>
      <c r="E9" s="1">
        <v>0</v>
      </c>
      <c r="F9" s="14">
        <v>-118.9824</v>
      </c>
      <c r="G9" s="1">
        <v>-118.9824</v>
      </c>
    </row>
    <row r="10" ht="12.75" customHeight="1">
      <c r="A10" s="1">
        <v>20220131</v>
      </c>
      <c r="B10" s="1">
        <v>4</v>
      </c>
      <c r="C10" s="1" t="s">
        <v>39</v>
      </c>
      <c r="D10" s="1" t="s">
        <v>59</v>
      </c>
      <c r="E10" s="1">
        <v>0</v>
      </c>
      <c r="F10" s="14">
        <v>-118.9824</v>
      </c>
      <c r="G10" s="1">
        <v>-118.9824</v>
      </c>
    </row>
    <row r="11" ht="12.75" customHeight="1">
      <c r="A11" s="1">
        <v>20220228</v>
      </c>
      <c r="B11" s="1">
        <v>0</v>
      </c>
      <c r="C11" s="1" t="s">
        <v>56</v>
      </c>
      <c r="D11" s="1" t="s">
        <v>59</v>
      </c>
      <c r="E11" s="1">
        <v>0</v>
      </c>
      <c r="F11" s="14">
        <v>9500</v>
      </c>
      <c r="G11" s="1">
        <v>9500</v>
      </c>
    </row>
    <row r="12" ht="12.75" customHeight="1">
      <c r="A12" s="1">
        <v>20220228</v>
      </c>
      <c r="B12" s="1">
        <v>0</v>
      </c>
      <c r="C12" s="1" t="s">
        <v>54</v>
      </c>
      <c r="D12" s="1" t="s">
        <v>59</v>
      </c>
      <c r="E12" s="1">
        <v>1714.0899999999999</v>
      </c>
      <c r="F12" s="1">
        <v>7785.9099999999999</v>
      </c>
      <c r="G12" s="1">
        <v>9500</v>
      </c>
    </row>
    <row r="13" ht="12.75" customHeight="1">
      <c r="A13" s="1">
        <v>20220228</v>
      </c>
      <c r="B13" s="1">
        <v>0</v>
      </c>
      <c r="C13" s="1" t="s">
        <v>55</v>
      </c>
      <c r="D13" s="1" t="s">
        <v>59</v>
      </c>
      <c r="E13" s="1">
        <v>1714.0899999999999</v>
      </c>
      <c r="F13" s="1">
        <v>-1714.0899999999999</v>
      </c>
      <c r="G13" s="1">
        <v>0</v>
      </c>
    </row>
    <row r="14" ht="12.75" customHeight="1">
      <c r="A14" s="1">
        <v>20220228</v>
      </c>
      <c r="B14" s="1">
        <v>2</v>
      </c>
      <c r="C14" s="1" t="s">
        <v>54</v>
      </c>
      <c r="D14" s="1" t="s">
        <v>59</v>
      </c>
      <c r="E14" s="1">
        <v>-237.9648</v>
      </c>
      <c r="F14" s="1">
        <v>-416.43830000000003</v>
      </c>
      <c r="G14" s="1">
        <v>-654.40309999999999</v>
      </c>
    </row>
    <row r="15" ht="12.75" customHeight="1">
      <c r="A15" s="1">
        <v>20220228</v>
      </c>
      <c r="B15" s="1">
        <v>2</v>
      </c>
      <c r="C15" s="1" t="s">
        <v>39</v>
      </c>
      <c r="D15" s="1" t="s">
        <v>59</v>
      </c>
      <c r="E15" s="1">
        <v>-237.9648</v>
      </c>
      <c r="F15" s="1">
        <v>-416.43830000000003</v>
      </c>
      <c r="G15" s="1">
        <v>-654.40309999999999</v>
      </c>
    </row>
    <row r="16" ht="12.75" customHeight="1">
      <c r="A16" s="1">
        <v>20220228</v>
      </c>
      <c r="B16" s="1">
        <v>3</v>
      </c>
      <c r="C16" s="1" t="s">
        <v>54</v>
      </c>
      <c r="D16" s="1" t="s">
        <v>59</v>
      </c>
      <c r="E16" s="1">
        <v>-1357.1429000000001</v>
      </c>
      <c r="F16" s="1">
        <v>0</v>
      </c>
      <c r="G16" s="1">
        <v>-1357.1429000000001</v>
      </c>
    </row>
    <row r="17" ht="12.75" customHeight="1">
      <c r="A17" s="1">
        <v>20220228</v>
      </c>
      <c r="B17" s="1">
        <v>3</v>
      </c>
      <c r="C17" s="1" t="s">
        <v>39</v>
      </c>
      <c r="D17" s="1" t="s">
        <v>59</v>
      </c>
      <c r="E17" s="1">
        <v>-1357.1429000000001</v>
      </c>
      <c r="F17" s="1">
        <v>0</v>
      </c>
      <c r="G17" s="1">
        <v>-1357.1429000000001</v>
      </c>
    </row>
    <row r="18" ht="12.75" customHeight="1">
      <c r="A18" s="1">
        <v>20220228</v>
      </c>
      <c r="B18" s="1">
        <v>4</v>
      </c>
      <c r="C18" s="1" t="s">
        <v>54</v>
      </c>
      <c r="D18" s="1" t="s">
        <v>59</v>
      </c>
      <c r="E18" s="1">
        <v>-118.9824</v>
      </c>
      <c r="F18" s="1">
        <v>-208.2192</v>
      </c>
      <c r="G18" s="1">
        <v>-327.20159999999998</v>
      </c>
    </row>
    <row r="19" ht="12.75" customHeight="1">
      <c r="A19" s="1">
        <v>20220228</v>
      </c>
      <c r="B19" s="1">
        <v>4</v>
      </c>
      <c r="C19" s="1" t="s">
        <v>39</v>
      </c>
      <c r="D19" s="1" t="s">
        <v>59</v>
      </c>
      <c r="E19" s="1">
        <v>-118.9824</v>
      </c>
      <c r="F19" s="1">
        <v>-208.2192</v>
      </c>
      <c r="G19" s="1">
        <v>-327.20159999999998</v>
      </c>
    </row>
    <row r="20" ht="12.75" customHeight="1">
      <c r="A20" s="1">
        <v>20220331</v>
      </c>
      <c r="B20" s="1">
        <v>0</v>
      </c>
      <c r="C20" s="1" t="s">
        <v>56</v>
      </c>
      <c r="D20" s="1" t="s">
        <v>59</v>
      </c>
      <c r="E20" s="1">
        <v>9500</v>
      </c>
      <c r="F20" s="1">
        <v>0</v>
      </c>
      <c r="G20" s="1">
        <v>9500</v>
      </c>
    </row>
    <row r="21" ht="12.75" customHeight="1">
      <c r="A21" s="1">
        <v>20220331</v>
      </c>
      <c r="B21" s="1">
        <v>0</v>
      </c>
      <c r="C21" s="1" t="s">
        <v>54</v>
      </c>
      <c r="D21" s="1" t="s">
        <v>59</v>
      </c>
      <c r="E21" s="1">
        <v>9500</v>
      </c>
      <c r="F21" s="1">
        <v>0</v>
      </c>
      <c r="G21" s="1">
        <v>9500</v>
      </c>
    </row>
    <row r="22" ht="12.75" customHeight="1">
      <c r="A22" s="1">
        <v>20220331</v>
      </c>
      <c r="B22" s="1">
        <v>0</v>
      </c>
      <c r="C22" s="1" t="s">
        <v>55</v>
      </c>
      <c r="D22" s="1" t="s">
        <v>59</v>
      </c>
      <c r="E22" s="1">
        <v>0</v>
      </c>
      <c r="F22" s="1">
        <v>0</v>
      </c>
      <c r="G22" s="1">
        <v>0</v>
      </c>
    </row>
    <row r="23" ht="12.75" customHeight="1">
      <c r="A23" s="1">
        <v>20220331</v>
      </c>
      <c r="B23" s="1">
        <v>2</v>
      </c>
      <c r="C23" s="1" t="s">
        <v>54</v>
      </c>
      <c r="D23" s="1" t="s">
        <v>59</v>
      </c>
      <c r="E23" s="1">
        <v>-654.40309999999999</v>
      </c>
      <c r="F23" s="1">
        <v>-461.05680000000001</v>
      </c>
      <c r="G23" s="1">
        <v>-1115.4599000000001</v>
      </c>
    </row>
    <row r="24" ht="12.75" customHeight="1">
      <c r="A24" s="1">
        <v>20220331</v>
      </c>
      <c r="B24" s="1">
        <v>2</v>
      </c>
      <c r="C24" s="1" t="s">
        <v>39</v>
      </c>
      <c r="D24" s="1" t="s">
        <v>59</v>
      </c>
      <c r="E24" s="1">
        <v>-654.40309999999999</v>
      </c>
      <c r="F24" s="1">
        <v>-461.05680000000001</v>
      </c>
      <c r="G24" s="1">
        <v>-1115.4599000000001</v>
      </c>
    </row>
    <row r="25" ht="12.75" customHeight="1">
      <c r="A25" s="1">
        <v>20220331</v>
      </c>
      <c r="B25" s="1">
        <v>3</v>
      </c>
      <c r="C25" s="1" t="s">
        <v>54</v>
      </c>
      <c r="D25" s="1" t="s">
        <v>59</v>
      </c>
      <c r="E25" s="1">
        <v>-1357.1429000000001</v>
      </c>
      <c r="F25" s="1">
        <v>0</v>
      </c>
      <c r="G25" s="1">
        <v>-1357.1429000000001</v>
      </c>
    </row>
    <row r="26" ht="12.75" customHeight="1">
      <c r="A26" s="1">
        <v>20220331</v>
      </c>
      <c r="B26" s="1">
        <v>3</v>
      </c>
      <c r="C26" s="1" t="s">
        <v>39</v>
      </c>
      <c r="D26" s="1" t="s">
        <v>59</v>
      </c>
      <c r="E26" s="1">
        <v>-1357.1429000000001</v>
      </c>
      <c r="F26" s="1">
        <v>0</v>
      </c>
      <c r="G26" s="1">
        <v>-1357.1429000000001</v>
      </c>
    </row>
    <row r="27" ht="12.75" customHeight="1">
      <c r="A27" s="1">
        <v>20220331</v>
      </c>
      <c r="B27" s="1">
        <v>4</v>
      </c>
      <c r="C27" s="1" t="s">
        <v>54</v>
      </c>
      <c r="D27" s="1" t="s">
        <v>59</v>
      </c>
      <c r="E27" s="1">
        <v>-327.20159999999998</v>
      </c>
      <c r="F27" s="1">
        <v>-230.5283</v>
      </c>
      <c r="G27" s="1">
        <v>-557.72990000000004</v>
      </c>
    </row>
    <row r="28" ht="12.75" customHeight="1">
      <c r="A28" s="1">
        <v>20220331</v>
      </c>
      <c r="B28" s="1">
        <v>4</v>
      </c>
      <c r="C28" s="1" t="s">
        <v>39</v>
      </c>
      <c r="D28" s="1" t="s">
        <v>59</v>
      </c>
      <c r="E28" s="1">
        <v>-327.20159999999998</v>
      </c>
      <c r="F28" s="1">
        <v>-230.5283</v>
      </c>
      <c r="G28" s="1">
        <v>-557.72990000000004</v>
      </c>
    </row>
    <row r="29" ht="12.75" customHeight="1">
      <c r="A29" s="1">
        <v>20220430</v>
      </c>
      <c r="B29" s="1">
        <v>0</v>
      </c>
      <c r="C29" s="1" t="s">
        <v>56</v>
      </c>
      <c r="D29" s="1" t="s">
        <v>59</v>
      </c>
      <c r="E29" s="1">
        <v>9500</v>
      </c>
      <c r="F29" s="1">
        <v>0</v>
      </c>
      <c r="G29" s="1">
        <v>9500</v>
      </c>
    </row>
    <row r="30" ht="12.75" customHeight="1">
      <c r="A30" s="1">
        <v>20220430</v>
      </c>
      <c r="B30" s="1">
        <v>0</v>
      </c>
      <c r="C30" s="1" t="s">
        <v>54</v>
      </c>
      <c r="D30" s="1" t="s">
        <v>59</v>
      </c>
      <c r="E30" s="1">
        <v>9500</v>
      </c>
      <c r="F30" s="1">
        <v>0</v>
      </c>
      <c r="G30" s="1">
        <v>9500</v>
      </c>
    </row>
    <row r="31" ht="12.75" customHeight="1">
      <c r="A31" s="1">
        <v>20220430</v>
      </c>
      <c r="B31" s="1">
        <v>0</v>
      </c>
      <c r="C31" s="1" t="s">
        <v>55</v>
      </c>
      <c r="D31" s="1" t="s">
        <v>59</v>
      </c>
      <c r="E31" s="1">
        <v>0</v>
      </c>
      <c r="F31" s="1">
        <v>0</v>
      </c>
      <c r="G31" s="1">
        <v>0</v>
      </c>
    </row>
    <row r="32" ht="12.75" customHeight="1">
      <c r="A32" s="1">
        <v>20220430</v>
      </c>
      <c r="B32" s="1">
        <v>2</v>
      </c>
      <c r="C32" s="1" t="s">
        <v>54</v>
      </c>
      <c r="D32" s="1" t="s">
        <v>59</v>
      </c>
      <c r="E32" s="1">
        <v>-1115.4599000000001</v>
      </c>
      <c r="F32" s="1">
        <v>-482.71359999999999</v>
      </c>
      <c r="G32" s="1">
        <v>-1598.1735000000001</v>
      </c>
    </row>
    <row r="33" ht="12.75" customHeight="1">
      <c r="A33" s="1">
        <v>20220430</v>
      </c>
      <c r="B33" s="1">
        <v>2</v>
      </c>
      <c r="C33" s="1" t="s">
        <v>39</v>
      </c>
      <c r="D33" s="1" t="s">
        <v>59</v>
      </c>
      <c r="E33" s="1">
        <v>-1115.4599000000001</v>
      </c>
      <c r="F33" s="1">
        <v>-482.71359999999999</v>
      </c>
      <c r="G33" s="1">
        <v>-1598.1735000000001</v>
      </c>
    </row>
    <row r="34" ht="12.75" customHeight="1">
      <c r="A34" s="1">
        <v>20220430</v>
      </c>
      <c r="B34" s="1">
        <v>3</v>
      </c>
      <c r="C34" s="1" t="s">
        <v>54</v>
      </c>
      <c r="D34" s="1" t="s">
        <v>59</v>
      </c>
      <c r="E34" s="1">
        <v>-1357.1429000000001</v>
      </c>
      <c r="F34" s="1">
        <v>-31.745999999999999</v>
      </c>
      <c r="G34" s="1">
        <v>-1388.8888999999999</v>
      </c>
    </row>
    <row r="35" ht="12.75" customHeight="1">
      <c r="A35" s="1">
        <v>20220430</v>
      </c>
      <c r="B35" s="1">
        <v>3</v>
      </c>
      <c r="C35" s="1" t="s">
        <v>39</v>
      </c>
      <c r="D35" s="1" t="s">
        <v>59</v>
      </c>
      <c r="E35" s="1">
        <v>-1357.1429000000001</v>
      </c>
      <c r="F35" s="1">
        <v>-31.745999999999999</v>
      </c>
      <c r="G35" s="1">
        <v>-1388.8888999999999</v>
      </c>
    </row>
    <row r="36" ht="12.75" customHeight="1">
      <c r="A36" s="1">
        <v>20220430</v>
      </c>
      <c r="B36" s="1">
        <v>4</v>
      </c>
      <c r="C36" s="1" t="s">
        <v>54</v>
      </c>
      <c r="D36" s="1" t="s">
        <v>59</v>
      </c>
      <c r="E36" s="1">
        <v>-557.72990000000004</v>
      </c>
      <c r="F36" s="1">
        <v>-1040.4436000000001</v>
      </c>
      <c r="G36" s="1">
        <v>-1598.1735000000001</v>
      </c>
    </row>
    <row r="37" ht="12.75" customHeight="1">
      <c r="A37" s="1">
        <v>20220430</v>
      </c>
      <c r="B37" s="1">
        <v>4</v>
      </c>
      <c r="C37" s="1" t="s">
        <v>39</v>
      </c>
      <c r="D37" s="1" t="s">
        <v>59</v>
      </c>
      <c r="E37" s="1">
        <v>-557.72990000000004</v>
      </c>
      <c r="F37" s="1">
        <v>-1040.4436000000001</v>
      </c>
      <c r="G37" s="1">
        <v>-1598.1735000000001</v>
      </c>
    </row>
    <row r="38" ht="12.75" customHeight="1">
      <c r="A38" s="1">
        <v>20220531</v>
      </c>
      <c r="B38" s="1">
        <v>0</v>
      </c>
      <c r="C38" s="1" t="s">
        <v>56</v>
      </c>
      <c r="D38" s="1" t="s">
        <v>59</v>
      </c>
      <c r="E38" s="1">
        <v>9500</v>
      </c>
      <c r="F38" s="1">
        <v>3000</v>
      </c>
      <c r="G38" s="1">
        <v>12500</v>
      </c>
    </row>
    <row r="39" ht="12.75" customHeight="1">
      <c r="A39" s="1">
        <v>20220531</v>
      </c>
      <c r="B39" s="1">
        <v>0</v>
      </c>
      <c r="C39" s="1" t="s">
        <v>54</v>
      </c>
      <c r="D39" s="1" t="s">
        <v>59</v>
      </c>
      <c r="E39" s="1">
        <v>9500</v>
      </c>
      <c r="F39" s="1">
        <v>3000</v>
      </c>
      <c r="G39" s="1">
        <v>12500</v>
      </c>
    </row>
    <row r="40" ht="12.75" customHeight="1">
      <c r="A40" s="1">
        <v>20220531</v>
      </c>
      <c r="B40" s="1">
        <v>0</v>
      </c>
      <c r="C40" s="1" t="s">
        <v>55</v>
      </c>
      <c r="D40" s="1" t="s">
        <v>59</v>
      </c>
      <c r="E40" s="1">
        <v>0</v>
      </c>
      <c r="F40" s="1">
        <v>0</v>
      </c>
      <c r="G40" s="1">
        <v>0</v>
      </c>
    </row>
    <row r="41" ht="12.75" customHeight="1">
      <c r="A41" s="1">
        <v>20220531</v>
      </c>
      <c r="B41" s="1">
        <v>2</v>
      </c>
      <c r="C41" s="1" t="s">
        <v>54</v>
      </c>
      <c r="D41" s="1" t="s">
        <v>59</v>
      </c>
      <c r="E41" s="1">
        <v>-1598.1735000000001</v>
      </c>
      <c r="F41" s="1">
        <v>-471.8417</v>
      </c>
      <c r="G41" s="1">
        <v>-2070.0151999999998</v>
      </c>
    </row>
    <row r="42" ht="12.75" customHeight="1">
      <c r="A42" s="1">
        <v>20220531</v>
      </c>
      <c r="B42" s="1">
        <v>2</v>
      </c>
      <c r="C42" s="1" t="s">
        <v>39</v>
      </c>
      <c r="D42" s="1" t="s">
        <v>59</v>
      </c>
      <c r="E42" s="1">
        <v>-1598.1735000000001</v>
      </c>
      <c r="F42" s="1">
        <v>-471.8417</v>
      </c>
      <c r="G42" s="1">
        <v>-2070.0151999999998</v>
      </c>
    </row>
    <row r="43" ht="12.75" customHeight="1">
      <c r="A43" s="1">
        <v>20220531</v>
      </c>
      <c r="B43" s="1">
        <v>3</v>
      </c>
      <c r="C43" s="1" t="s">
        <v>54</v>
      </c>
      <c r="D43" s="1" t="s">
        <v>59</v>
      </c>
      <c r="E43" s="1">
        <v>-1388.8888999999999</v>
      </c>
      <c r="F43" s="1">
        <v>0</v>
      </c>
      <c r="G43" s="1">
        <v>-1388.8888999999999</v>
      </c>
    </row>
    <row r="44" ht="12.75" customHeight="1">
      <c r="A44" s="1">
        <v>20220531</v>
      </c>
      <c r="B44" s="1">
        <v>3</v>
      </c>
      <c r="C44" s="1" t="s">
        <v>39</v>
      </c>
      <c r="D44" s="1" t="s">
        <v>59</v>
      </c>
      <c r="E44" s="1">
        <v>-1388.8888999999999</v>
      </c>
      <c r="F44" s="1">
        <v>0</v>
      </c>
      <c r="G44" s="1">
        <v>-1388.8888999999999</v>
      </c>
    </row>
    <row r="45" ht="12.75" customHeight="1">
      <c r="A45" s="1">
        <v>20220531</v>
      </c>
      <c r="B45" s="1">
        <v>4</v>
      </c>
      <c r="C45" s="1" t="s">
        <v>54</v>
      </c>
      <c r="D45" s="1" t="s">
        <v>59</v>
      </c>
      <c r="E45" s="1">
        <v>-1598.1735000000001</v>
      </c>
      <c r="F45" s="1">
        <v>-471.8417</v>
      </c>
      <c r="G45" s="1">
        <v>-2070.0151999999998</v>
      </c>
    </row>
    <row r="46" ht="12.75" customHeight="1">
      <c r="A46" s="1">
        <v>20220531</v>
      </c>
      <c r="B46" s="1">
        <v>4</v>
      </c>
      <c r="C46" s="1" t="s">
        <v>39</v>
      </c>
      <c r="D46" s="1" t="s">
        <v>59</v>
      </c>
      <c r="E46" s="1">
        <v>-1598.1735000000001</v>
      </c>
      <c r="F46" s="1">
        <v>-471.8417</v>
      </c>
      <c r="G46" s="1">
        <v>-2070.0151999999998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1.42578125"/>
    <col customWidth="1" min="5" max="6" style="1" width="23.5703125"/>
  </cols>
  <sheetData>
    <row r="1" ht="15">
      <c r="A1" s="4" t="s">
        <v>57</v>
      </c>
      <c r="B1" s="5" t="s">
        <v>58</v>
      </c>
    </row>
    <row r="2">
      <c r="A2" s="1" t="s">
        <v>26</v>
      </c>
      <c r="B2" s="1" t="s">
        <v>49</v>
      </c>
      <c r="C2" s="1" t="s">
        <v>50</v>
      </c>
      <c r="D2" s="1" t="s">
        <v>52</v>
      </c>
      <c r="E2" s="1" t="s">
        <v>51</v>
      </c>
      <c r="F2" s="1" t="s">
        <v>53</v>
      </c>
    </row>
    <row r="3" ht="12.75" customHeight="1">
      <c r="A3" s="1">
        <v>20220131</v>
      </c>
      <c r="B3" s="1" t="s">
        <v>54</v>
      </c>
      <c r="C3" s="1" t="s">
        <v>59</v>
      </c>
      <c r="D3" s="15">
        <v>-0.0001</v>
      </c>
      <c r="E3" s="15">
        <v>0</v>
      </c>
      <c r="F3" s="15">
        <v>-0.0001</v>
      </c>
    </row>
    <row r="4" ht="12.75" customHeight="1">
      <c r="A4" s="1">
        <v>20220131</v>
      </c>
      <c r="B4" s="1" t="s">
        <v>39</v>
      </c>
      <c r="C4" s="1" t="s">
        <v>59</v>
      </c>
      <c r="D4" s="15">
        <v>-1714.0900999999999</v>
      </c>
      <c r="E4" s="15">
        <v>0</v>
      </c>
      <c r="F4" s="15">
        <v>-1714.0900999999999</v>
      </c>
    </row>
    <row r="5" ht="12.75" customHeight="1">
      <c r="A5" s="1">
        <v>20220131</v>
      </c>
      <c r="B5" s="1" t="s">
        <v>55</v>
      </c>
      <c r="C5" s="1" t="s">
        <v>59</v>
      </c>
      <c r="D5" s="15">
        <v>1714.0899999999999</v>
      </c>
      <c r="E5" s="15">
        <v>0</v>
      </c>
      <c r="F5" s="15">
        <v>1714.0899999999999</v>
      </c>
    </row>
    <row r="6" ht="12.75" customHeight="1">
      <c r="A6" s="1">
        <v>20220228</v>
      </c>
      <c r="B6" s="1" t="s">
        <v>56</v>
      </c>
      <c r="C6" s="1" t="s">
        <v>59</v>
      </c>
      <c r="D6" s="15">
        <v>9500</v>
      </c>
      <c r="E6" s="15">
        <v>0</v>
      </c>
      <c r="F6" s="15">
        <v>9500</v>
      </c>
    </row>
    <row r="7" ht="12.75" customHeight="1">
      <c r="A7" s="1">
        <v>20220228</v>
      </c>
      <c r="B7" s="1" t="s">
        <v>54</v>
      </c>
      <c r="C7" s="1" t="s">
        <v>59</v>
      </c>
      <c r="D7" s="15">
        <v>7161.2524999999996</v>
      </c>
      <c r="E7" s="15">
        <v>-0.0001</v>
      </c>
      <c r="F7" s="15">
        <v>7161.2524000000003</v>
      </c>
    </row>
    <row r="8" ht="12.75" customHeight="1">
      <c r="A8" s="1">
        <v>20220228</v>
      </c>
      <c r="B8" s="1" t="s">
        <v>39</v>
      </c>
      <c r="C8" s="1" t="s">
        <v>59</v>
      </c>
      <c r="D8" s="15">
        <v>-624.65750000000003</v>
      </c>
      <c r="E8" s="15">
        <v>-1714.0900999999999</v>
      </c>
      <c r="F8" s="15">
        <v>-2338.7476000000001</v>
      </c>
    </row>
    <row r="9" ht="12.75" customHeight="1">
      <c r="A9" s="1">
        <v>20220228</v>
      </c>
      <c r="B9" s="1" t="s">
        <v>55</v>
      </c>
      <c r="C9" s="1" t="s">
        <v>59</v>
      </c>
      <c r="D9" s="15">
        <v>-1714.0899999999999</v>
      </c>
      <c r="E9" s="15">
        <v>1714.0899999999999</v>
      </c>
      <c r="F9" s="15">
        <v>0</v>
      </c>
    </row>
    <row r="10" ht="12.75" customHeight="1">
      <c r="A10" s="1">
        <v>20220331</v>
      </c>
      <c r="B10" s="1" t="s">
        <v>56</v>
      </c>
      <c r="C10" s="1" t="s">
        <v>59</v>
      </c>
      <c r="D10" s="15">
        <v>0</v>
      </c>
      <c r="E10" s="15">
        <v>9500</v>
      </c>
      <c r="F10" s="15">
        <v>9500</v>
      </c>
    </row>
    <row r="11" ht="12.75" customHeight="1">
      <c r="A11" s="1">
        <v>20220331</v>
      </c>
      <c r="B11" s="1" t="s">
        <v>54</v>
      </c>
      <c r="C11" s="1" t="s">
        <v>59</v>
      </c>
      <c r="D11" s="15">
        <v>-691.58510000000001</v>
      </c>
      <c r="E11" s="15">
        <v>7161.2524000000003</v>
      </c>
      <c r="F11" s="15">
        <v>6469.6673000000001</v>
      </c>
    </row>
    <row r="12" ht="12.75" customHeight="1">
      <c r="A12" s="1">
        <v>20220331</v>
      </c>
      <c r="B12" s="1" t="s">
        <v>39</v>
      </c>
      <c r="C12" s="1" t="s">
        <v>59</v>
      </c>
      <c r="D12" s="15">
        <v>-691.58510000000001</v>
      </c>
      <c r="E12" s="15">
        <v>-2338.7476000000001</v>
      </c>
      <c r="F12" s="15">
        <v>-3030.3326999999999</v>
      </c>
    </row>
    <row r="13" ht="12.75" customHeight="1">
      <c r="A13" s="1">
        <v>20220331</v>
      </c>
      <c r="B13" s="1" t="s">
        <v>55</v>
      </c>
      <c r="C13" s="1" t="s">
        <v>59</v>
      </c>
      <c r="D13" s="15">
        <v>0</v>
      </c>
      <c r="E13" s="15">
        <v>0</v>
      </c>
      <c r="F13" s="15">
        <v>0</v>
      </c>
    </row>
    <row r="14" ht="12.75" customHeight="1">
      <c r="A14" s="1">
        <v>20220430</v>
      </c>
      <c r="B14" s="1" t="s">
        <v>56</v>
      </c>
      <c r="C14" s="1" t="s">
        <v>59</v>
      </c>
      <c r="D14" s="15">
        <v>0</v>
      </c>
      <c r="E14" s="15">
        <v>9500</v>
      </c>
      <c r="F14" s="15">
        <v>9500</v>
      </c>
    </row>
    <row r="15" ht="12.75" customHeight="1">
      <c r="A15" s="1">
        <v>20220430</v>
      </c>
      <c r="B15" s="1" t="s">
        <v>54</v>
      </c>
      <c r="C15" s="1" t="s">
        <v>59</v>
      </c>
      <c r="D15" s="15">
        <v>-1554.9032</v>
      </c>
      <c r="E15" s="15">
        <v>6469.6673000000001</v>
      </c>
      <c r="F15" s="15">
        <v>4914.7641000000003</v>
      </c>
    </row>
    <row r="16" ht="12.75" customHeight="1">
      <c r="A16" s="1">
        <v>20220430</v>
      </c>
      <c r="B16" s="1" t="s">
        <v>39</v>
      </c>
      <c r="C16" s="1" t="s">
        <v>59</v>
      </c>
      <c r="D16" s="15">
        <v>-1554.9032</v>
      </c>
      <c r="E16" s="15">
        <v>-3030.3326999999999</v>
      </c>
      <c r="F16" s="15">
        <v>-4585.2358999999997</v>
      </c>
    </row>
    <row r="17" ht="12.75" customHeight="1">
      <c r="A17" s="1">
        <v>20220430</v>
      </c>
      <c r="B17" s="1" t="s">
        <v>55</v>
      </c>
      <c r="C17" s="1" t="s">
        <v>59</v>
      </c>
      <c r="D17" s="15">
        <v>0</v>
      </c>
      <c r="E17" s="15">
        <v>0</v>
      </c>
      <c r="F17" s="15">
        <v>0</v>
      </c>
    </row>
    <row r="18" ht="12.75" customHeight="1">
      <c r="A18" s="1">
        <v>20220531</v>
      </c>
      <c r="B18" s="1" t="s">
        <v>56</v>
      </c>
      <c r="C18" s="1" t="s">
        <v>59</v>
      </c>
      <c r="D18" s="15">
        <v>3000</v>
      </c>
      <c r="E18" s="15">
        <v>9500</v>
      </c>
      <c r="F18" s="15">
        <v>12500</v>
      </c>
    </row>
    <row r="19" ht="12.75" customHeight="1">
      <c r="A19" s="1">
        <v>20220531</v>
      </c>
      <c r="B19" s="1" t="s">
        <v>54</v>
      </c>
      <c r="C19" s="1" t="s">
        <v>59</v>
      </c>
      <c r="D19" s="15">
        <v>2056.3166000000001</v>
      </c>
      <c r="E19" s="15">
        <v>4914.7641000000003</v>
      </c>
      <c r="F19" s="15">
        <v>6971.0807000000004</v>
      </c>
    </row>
    <row r="20" ht="12.75" customHeight="1">
      <c r="A20" s="1">
        <v>20220531</v>
      </c>
      <c r="B20" s="1" t="s">
        <v>39</v>
      </c>
      <c r="C20" s="1" t="s">
        <v>59</v>
      </c>
      <c r="D20" s="15">
        <v>-943.68340000000001</v>
      </c>
      <c r="E20" s="15">
        <v>-4585.2358999999997</v>
      </c>
      <c r="F20" s="15">
        <v>-5528.9192999999996</v>
      </c>
    </row>
    <row r="21" ht="12.75" customHeight="1">
      <c r="A21" s="1">
        <v>20220531</v>
      </c>
      <c r="B21" s="1" t="s">
        <v>55</v>
      </c>
      <c r="C21" s="1" t="s">
        <v>59</v>
      </c>
      <c r="D21" s="15">
        <v>0</v>
      </c>
      <c r="E21" s="15">
        <v>0</v>
      </c>
      <c r="F21" s="15">
        <v>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3.5703125"/>
    <col customWidth="1" min="4" max="5" style="1" width="24.85546875"/>
  </cols>
  <sheetData>
    <row r="1" ht="15">
      <c r="A1" s="4" t="s">
        <v>60</v>
      </c>
      <c r="B1" s="6" t="s">
        <v>61</v>
      </c>
    </row>
    <row r="2">
      <c r="A2" s="1" t="s">
        <v>26</v>
      </c>
      <c r="B2" s="1" t="s">
        <v>49</v>
      </c>
      <c r="C2" s="1" t="s">
        <v>51</v>
      </c>
      <c r="D2" s="1" t="s">
        <v>52</v>
      </c>
      <c r="E2" s="1" t="s">
        <v>53</v>
      </c>
    </row>
    <row r="3">
      <c r="A3" s="1">
        <v>20220131</v>
      </c>
      <c r="B3" s="1" t="s">
        <v>54</v>
      </c>
      <c r="C3" s="1">
        <v>0</v>
      </c>
      <c r="D3" s="1">
        <v>-0.00020000000000000001</v>
      </c>
      <c r="E3" s="1">
        <v>-0.00020000000000000001</v>
      </c>
    </row>
    <row r="4">
      <c r="A4" s="1">
        <v>20220131</v>
      </c>
      <c r="B4" s="1" t="s">
        <v>39</v>
      </c>
      <c r="C4" s="1">
        <v>0</v>
      </c>
      <c r="D4" s="1">
        <v>-5142.2701999999999</v>
      </c>
      <c r="E4" s="1">
        <v>-5142.2701999999999</v>
      </c>
    </row>
    <row r="5">
      <c r="A5" s="1">
        <v>20220131</v>
      </c>
      <c r="B5" s="1" t="s">
        <v>55</v>
      </c>
      <c r="C5" s="1">
        <v>0</v>
      </c>
      <c r="D5" s="1">
        <v>5142.2700000000004</v>
      </c>
      <c r="E5" s="1">
        <v>5142.2700000000004</v>
      </c>
    </row>
    <row r="6">
      <c r="A6" s="1">
        <v>20220228</v>
      </c>
      <c r="B6" s="1" t="s">
        <v>56</v>
      </c>
      <c r="C6" s="1">
        <v>0</v>
      </c>
      <c r="D6" s="1">
        <v>28500</v>
      </c>
      <c r="E6" s="1">
        <v>28500</v>
      </c>
    </row>
    <row r="7" ht="12.75" customHeight="1">
      <c r="A7" s="1">
        <v>20220228</v>
      </c>
      <c r="B7" s="1" t="s">
        <v>54</v>
      </c>
      <c r="C7" s="1">
        <v>-0.00020000000000000001</v>
      </c>
      <c r="D7" s="1">
        <v>21483.7575</v>
      </c>
      <c r="E7" s="1">
        <v>21483.757300000001</v>
      </c>
    </row>
    <row r="8" ht="12.75" customHeight="1">
      <c r="A8" s="1">
        <v>20220228</v>
      </c>
      <c r="B8" s="1" t="s">
        <v>39</v>
      </c>
      <c r="C8" s="1">
        <v>-5142.2701999999999</v>
      </c>
      <c r="D8" s="1">
        <v>-1873.9725000000001</v>
      </c>
      <c r="E8" s="1">
        <v>-7016.2426999999998</v>
      </c>
    </row>
    <row r="9" ht="12.75" customHeight="1">
      <c r="A9" s="1">
        <v>20220228</v>
      </c>
      <c r="B9" s="1" t="s">
        <v>55</v>
      </c>
      <c r="C9" s="1">
        <v>5142.2700000000004</v>
      </c>
      <c r="D9" s="1">
        <v>-5142.2700000000004</v>
      </c>
      <c r="E9" s="1">
        <v>0</v>
      </c>
    </row>
    <row r="10" ht="12.75" customHeight="1">
      <c r="A10" s="1">
        <v>20220331</v>
      </c>
      <c r="B10" s="1" t="s">
        <v>56</v>
      </c>
      <c r="C10" s="1">
        <v>28500</v>
      </c>
      <c r="D10" s="1">
        <v>0</v>
      </c>
      <c r="E10" s="1">
        <v>28500</v>
      </c>
    </row>
    <row r="11" ht="12.75" customHeight="1">
      <c r="A11" s="1">
        <v>20220331</v>
      </c>
      <c r="B11" s="1" t="s">
        <v>54</v>
      </c>
      <c r="C11" s="1">
        <v>21483.757300000001</v>
      </c>
      <c r="D11" s="1">
        <v>-2074.7555000000002</v>
      </c>
      <c r="E11" s="1">
        <v>19409.001799999998</v>
      </c>
    </row>
    <row r="12" ht="12.75" customHeight="1">
      <c r="A12" s="1">
        <v>20220331</v>
      </c>
      <c r="B12" s="1" t="s">
        <v>39</v>
      </c>
      <c r="C12" s="1">
        <v>-7016.2426999999998</v>
      </c>
      <c r="D12" s="1">
        <v>-2074.7555000000002</v>
      </c>
      <c r="E12" s="1">
        <v>-9090.9982</v>
      </c>
    </row>
    <row r="13" ht="12.75" customHeight="1">
      <c r="A13" s="1">
        <v>20220331</v>
      </c>
      <c r="B13" s="1" t="s">
        <v>55</v>
      </c>
      <c r="C13" s="1">
        <v>0</v>
      </c>
      <c r="D13" s="1">
        <v>0</v>
      </c>
      <c r="E13" s="1">
        <v>0</v>
      </c>
    </row>
    <row r="14" ht="12.75" customHeight="1">
      <c r="A14" s="1">
        <v>20220430</v>
      </c>
      <c r="B14" s="1" t="s">
        <v>56</v>
      </c>
      <c r="C14" s="1">
        <v>28500</v>
      </c>
      <c r="D14" s="1">
        <v>0</v>
      </c>
      <c r="E14" s="1">
        <v>28500</v>
      </c>
    </row>
    <row r="15" ht="12.75" customHeight="1">
      <c r="A15" s="1">
        <v>20220430</v>
      </c>
      <c r="B15" s="1" t="s">
        <v>54</v>
      </c>
      <c r="C15" s="1">
        <v>19409.001799999998</v>
      </c>
      <c r="D15" s="1">
        <v>-4664.7094999999999</v>
      </c>
      <c r="E15" s="1">
        <v>14744.292299999999</v>
      </c>
    </row>
    <row r="16" ht="12.75" customHeight="1">
      <c r="A16" s="1">
        <v>20220430</v>
      </c>
      <c r="B16" s="1" t="s">
        <v>39</v>
      </c>
      <c r="C16" s="1">
        <v>-9090.9982</v>
      </c>
      <c r="D16" s="1">
        <v>-4664.7094999999999</v>
      </c>
      <c r="E16" s="1">
        <v>-13755.707700000001</v>
      </c>
    </row>
    <row r="17" ht="12.75" customHeight="1">
      <c r="A17" s="1">
        <v>20220430</v>
      </c>
      <c r="B17" s="1" t="s">
        <v>55</v>
      </c>
      <c r="C17" s="1">
        <v>0</v>
      </c>
      <c r="D17" s="1">
        <v>0</v>
      </c>
      <c r="E17" s="1">
        <v>0</v>
      </c>
    </row>
    <row r="18" ht="12.75" customHeight="1">
      <c r="A18" s="1">
        <v>20220531</v>
      </c>
      <c r="B18" s="1" t="s">
        <v>56</v>
      </c>
      <c r="C18" s="1">
        <v>28500</v>
      </c>
      <c r="D18" s="1">
        <v>9000</v>
      </c>
      <c r="E18" s="1">
        <v>37500</v>
      </c>
    </row>
    <row r="19" ht="12.75" customHeight="1">
      <c r="A19" s="1">
        <v>20220531</v>
      </c>
      <c r="B19" s="1" t="s">
        <v>54</v>
      </c>
      <c r="C19" s="1">
        <v>14744.292299999999</v>
      </c>
      <c r="D19" s="1">
        <v>6168.9498000000003</v>
      </c>
      <c r="E19" s="1">
        <v>20913.242099999999</v>
      </c>
    </row>
    <row r="20" ht="12.75" customHeight="1">
      <c r="A20" s="1">
        <v>20220531</v>
      </c>
      <c r="B20" s="1" t="s">
        <v>39</v>
      </c>
      <c r="C20" s="1">
        <v>-13755.707700000001</v>
      </c>
      <c r="D20" s="1">
        <v>-2831.0502000000001</v>
      </c>
      <c r="E20" s="1">
        <v>-16586.757900000001</v>
      </c>
    </row>
    <row r="21" ht="12.75" customHeight="1">
      <c r="A21" s="1">
        <v>20220531</v>
      </c>
      <c r="B21" s="1" t="s">
        <v>55</v>
      </c>
      <c r="C21" s="1">
        <v>0</v>
      </c>
      <c r="D21" s="1">
        <v>0</v>
      </c>
      <c r="E21" s="1">
        <v>0</v>
      </c>
    </row>
  </sheetData>
  <sortState ref="A3:E21">
    <sortCondition ref="A3:A21"/>
    <sortCondition ref="B3:B21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1.5703125" defaultRowHeight="12.75" customHeight="1"/>
  <cols>
    <col customWidth="1" min="1" max="1" style="1" width="21.7109375"/>
    <col customWidth="1" min="2" max="2" style="1" width="21.85546875"/>
    <col customWidth="1" min="3" max="3" width="21.85546875"/>
    <col customWidth="1" min="4" max="4" style="1" width="24.140625"/>
    <col customWidth="1" min="5" max="5" style="1" width="26.7109375"/>
    <col customWidth="1" min="7" max="7" style="1" width="7"/>
    <col customWidth="1" min="8" max="8" style="1" width="20.42578125"/>
    <col customWidth="1" min="9" max="9" style="1" width="21.140625"/>
    <col customWidth="1" min="10" max="11" style="1" width="24.140625"/>
    <col customWidth="1" min="12" max="12" style="1" width="19"/>
    <col customWidth="1" min="13" max="13" style="1" width="31.5703125"/>
    <col customWidth="1" min="14" max="14" style="1" width="16.7109375"/>
    <col customWidth="1" min="15" max="15" style="1" width="26.28515625"/>
    <col customWidth="1" min="16" max="16" style="1" width="21.7109375"/>
    <col customWidth="1" min="17" max="17" style="1" width="30.42578125"/>
  </cols>
  <sheetData>
    <row r="1" ht="14.25">
      <c r="A1" s="4" t="s">
        <v>62</v>
      </c>
      <c r="B1" s="5" t="s">
        <v>25</v>
      </c>
    </row>
    <row r="2">
      <c r="A2" s="1" t="s">
        <v>26</v>
      </c>
      <c r="B2" s="1" t="s">
        <v>27</v>
      </c>
      <c r="C2" s="1" t="s">
        <v>50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</row>
    <row r="3">
      <c r="A3" s="1">
        <v>20220131</v>
      </c>
      <c r="B3" s="1">
        <v>0</v>
      </c>
      <c r="C3" s="1" t="s">
        <v>38</v>
      </c>
      <c r="D3" s="1" t="s">
        <v>77</v>
      </c>
      <c r="E3" s="1"/>
      <c r="F3" s="1">
        <v>202201</v>
      </c>
      <c r="G3" s="1" t="s">
        <v>41</v>
      </c>
      <c r="H3" s="1" t="s">
        <v>78</v>
      </c>
      <c r="J3" s="1" t="s">
        <v>79</v>
      </c>
      <c r="N3" s="1" t="s">
        <v>80</v>
      </c>
      <c r="P3" s="1">
        <v>0</v>
      </c>
      <c r="Q3" s="1" t="s">
        <v>80</v>
      </c>
    </row>
    <row r="4">
      <c r="A4" s="1">
        <v>20220131</v>
      </c>
      <c r="B4" s="1">
        <v>1</v>
      </c>
      <c r="C4" s="1" t="s">
        <v>38</v>
      </c>
      <c r="D4" s="1" t="s">
        <v>77</v>
      </c>
      <c r="E4" s="1"/>
      <c r="F4" s="1">
        <v>202201</v>
      </c>
      <c r="G4" s="1" t="s">
        <v>41</v>
      </c>
      <c r="H4" s="1" t="s">
        <v>78</v>
      </c>
      <c r="I4" s="1">
        <v>-200</v>
      </c>
      <c r="J4" s="1" t="s">
        <v>79</v>
      </c>
      <c r="K4" s="1" t="s">
        <v>79</v>
      </c>
      <c r="L4" s="1">
        <v>1</v>
      </c>
      <c r="M4" s="1">
        <v>-200</v>
      </c>
      <c r="N4" s="1" t="s">
        <v>81</v>
      </c>
      <c r="O4" s="1" t="s">
        <v>79</v>
      </c>
      <c r="P4" s="1">
        <v>1</v>
      </c>
      <c r="Q4" s="1" t="s">
        <v>82</v>
      </c>
    </row>
    <row r="5" ht="12.75" customHeight="1">
      <c r="A5" s="1">
        <v>20220131</v>
      </c>
      <c r="B5" s="1">
        <v>2</v>
      </c>
      <c r="C5" s="1" t="s">
        <v>38</v>
      </c>
      <c r="D5" s="1" t="s">
        <v>77</v>
      </c>
      <c r="E5" s="1"/>
      <c r="F5" s="1">
        <v>202201</v>
      </c>
      <c r="G5" s="1" t="s">
        <v>41</v>
      </c>
      <c r="H5" s="1" t="s">
        <v>78</v>
      </c>
      <c r="I5" s="1">
        <v>100</v>
      </c>
      <c r="J5" s="1" t="s">
        <v>79</v>
      </c>
      <c r="K5" s="1" t="s">
        <v>83</v>
      </c>
      <c r="L5" s="1">
        <v>12</v>
      </c>
      <c r="M5" s="1">
        <v>1200</v>
      </c>
      <c r="N5" s="1" t="s">
        <v>84</v>
      </c>
      <c r="O5" s="1" t="s">
        <v>79</v>
      </c>
      <c r="P5" s="1">
        <v>2</v>
      </c>
      <c r="Q5" s="1" t="s">
        <v>85</v>
      </c>
    </row>
    <row r="6" ht="12.75" customHeight="1">
      <c r="A6" s="1">
        <v>20220131</v>
      </c>
      <c r="B6" s="1">
        <v>3</v>
      </c>
      <c r="C6" s="1" t="s">
        <v>38</v>
      </c>
      <c r="D6" s="1" t="s">
        <v>77</v>
      </c>
      <c r="E6" s="1"/>
      <c r="F6" s="1">
        <v>202201</v>
      </c>
      <c r="G6" s="1" t="s">
        <v>41</v>
      </c>
      <c r="H6" s="1" t="s">
        <v>78</v>
      </c>
      <c r="I6" s="1">
        <v>300</v>
      </c>
      <c r="J6" s="1" t="s">
        <v>79</v>
      </c>
      <c r="K6" s="1" t="s">
        <v>79</v>
      </c>
      <c r="L6" s="1">
        <v>1</v>
      </c>
      <c r="M6" s="1">
        <v>300</v>
      </c>
      <c r="N6" s="1" t="s">
        <v>86</v>
      </c>
      <c r="O6" s="1" t="s">
        <v>79</v>
      </c>
      <c r="P6" s="1">
        <v>3</v>
      </c>
      <c r="Q6" s="1" t="s">
        <v>87</v>
      </c>
    </row>
    <row r="7" ht="12.75" customHeight="1">
      <c r="A7" s="1">
        <v>20220131</v>
      </c>
      <c r="B7" s="1">
        <v>4</v>
      </c>
      <c r="C7" s="1" t="s">
        <v>38</v>
      </c>
      <c r="D7" s="1" t="s">
        <v>77</v>
      </c>
      <c r="E7" s="1" t="s">
        <v>77</v>
      </c>
      <c r="F7" s="1">
        <v>202201</v>
      </c>
      <c r="G7" s="1" t="s">
        <v>41</v>
      </c>
      <c r="H7" s="1" t="s">
        <v>78</v>
      </c>
      <c r="I7" s="1">
        <v>50</v>
      </c>
      <c r="J7" s="1" t="s">
        <v>79</v>
      </c>
      <c r="K7" s="1" t="s">
        <v>83</v>
      </c>
      <c r="L7" s="1">
        <v>12</v>
      </c>
      <c r="M7" s="1">
        <v>600</v>
      </c>
      <c r="N7" s="1" t="s">
        <v>88</v>
      </c>
      <c r="O7" s="1" t="s">
        <v>79</v>
      </c>
      <c r="P7" s="1">
        <v>5</v>
      </c>
      <c r="Q7" s="1" t="s">
        <v>89</v>
      </c>
    </row>
    <row r="8" ht="12.75" customHeight="1">
      <c r="A8" s="1">
        <v>20220430</v>
      </c>
      <c r="B8" s="1">
        <v>4</v>
      </c>
      <c r="C8" s="1" t="s">
        <v>38</v>
      </c>
      <c r="D8" s="1" t="s">
        <v>77</v>
      </c>
      <c r="E8" s="1"/>
      <c r="F8" s="1">
        <v>202201</v>
      </c>
      <c r="G8" s="1" t="s">
        <v>41</v>
      </c>
      <c r="H8" s="1" t="s">
        <v>78</v>
      </c>
      <c r="I8" s="1">
        <v>50</v>
      </c>
      <c r="J8" s="1" t="s">
        <v>79</v>
      </c>
      <c r="K8" s="1" t="s">
        <v>83</v>
      </c>
      <c r="L8" s="1">
        <v>24</v>
      </c>
      <c r="M8" s="1">
        <v>1200</v>
      </c>
      <c r="N8" s="1" t="s">
        <v>88</v>
      </c>
      <c r="O8" s="1" t="s">
        <v>79</v>
      </c>
      <c r="P8" s="1">
        <v>5</v>
      </c>
      <c r="Q8" s="1" t="s">
        <v>89</v>
      </c>
    </row>
    <row r="9" ht="12.75" customHeight="1">
      <c r="A9" s="1"/>
      <c r="B9" s="1"/>
      <c r="D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12.75" customHeight="1">
      <c r="A10" s="1"/>
      <c r="B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12.75" customHeight="1">
      <c r="A11" s="1"/>
      <c r="B11" s="1"/>
      <c r="D11" s="1"/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6" zoomScale="100" workbookViewId="0">
      <selection activeCell="H17" activeCellId="0" sqref="H17"/>
    </sheetView>
  </sheetViews>
  <sheetFormatPr defaultColWidth="8.7109375" defaultRowHeight="12.75" customHeight="1"/>
  <cols>
    <col customWidth="1" min="1" max="1" style="1" width="10.85546875"/>
    <col customWidth="1" min="2" max="2" style="1" width="24.85546875"/>
    <col customWidth="1" min="3" max="3" style="1" width="30.5703125"/>
    <col customWidth="1" min="4" max="4" style="1" width="32.140625"/>
    <col customWidth="1" min="5" max="5" style="1" width="8.5703125"/>
    <col customWidth="1" min="6" max="6" style="1" width="10.85546875"/>
    <col customWidth="1" min="7" max="8" style="1" width="9.7109375"/>
    <col customWidth="1" min="13" max="13" style="1" width="16.5703125"/>
    <col customWidth="1" min="14" max="14" style="1" width="10.85546875"/>
    <col customWidth="1" min="15" max="15" style="1" width="11.7109375"/>
    <col customWidth="1" min="16" max="16" style="1" width="15.42578125"/>
    <col customWidth="1" min="17" max="17" style="1" width="12.5703125"/>
    <col customWidth="1" min="18" max="18" style="1" width="8.140625"/>
  </cols>
  <sheetData>
    <row r="1" ht="21">
      <c r="A1" s="16" t="s">
        <v>90</v>
      </c>
      <c r="B1" s="16"/>
      <c r="C1" s="16"/>
      <c r="D1" s="16"/>
      <c r="E1" s="16"/>
    </row>
    <row r="2" ht="15">
      <c r="A2" s="17" t="s">
        <v>91</v>
      </c>
      <c r="B2" s="17" t="s">
        <v>92</v>
      </c>
      <c r="C2" s="17" t="s">
        <v>93</v>
      </c>
      <c r="D2" s="17" t="s">
        <v>94</v>
      </c>
      <c r="E2" s="17" t="s">
        <v>95</v>
      </c>
      <c r="L2" s="18" t="s">
        <v>96</v>
      </c>
      <c r="M2" s="19" t="s">
        <v>97</v>
      </c>
      <c r="N2" s="19" t="s">
        <v>98</v>
      </c>
      <c r="O2" s="19" t="s">
        <v>99</v>
      </c>
      <c r="P2" s="19" t="s">
        <v>100</v>
      </c>
      <c r="Q2" s="19" t="s">
        <v>101</v>
      </c>
      <c r="R2" s="19" t="s">
        <v>95</v>
      </c>
    </row>
    <row r="3" ht="15">
      <c r="A3" s="8">
        <v>1</v>
      </c>
      <c r="B3" s="8" t="s">
        <v>102</v>
      </c>
      <c r="C3" s="8" t="s">
        <v>103</v>
      </c>
      <c r="D3" s="8" t="s">
        <v>104</v>
      </c>
      <c r="E3" s="8">
        <v>0</v>
      </c>
      <c r="L3" s="18"/>
      <c r="M3" s="8" t="s">
        <v>105</v>
      </c>
      <c r="N3" s="20">
        <v>0</v>
      </c>
      <c r="O3" s="21">
        <v>44620</v>
      </c>
      <c r="P3" s="21">
        <v>44620</v>
      </c>
      <c r="Q3" s="22" t="s">
        <v>38</v>
      </c>
      <c r="R3" s="22">
        <v>1900</v>
      </c>
    </row>
    <row r="4" ht="15">
      <c r="A4" s="8">
        <v>2</v>
      </c>
      <c r="B4" s="8" t="s">
        <v>106</v>
      </c>
      <c r="C4" s="8" t="s">
        <v>107</v>
      </c>
      <c r="D4" s="8" t="s">
        <v>108</v>
      </c>
      <c r="E4" s="8"/>
      <c r="L4" s="18"/>
      <c r="M4" s="8" t="s">
        <v>105</v>
      </c>
      <c r="N4" s="20">
        <v>0</v>
      </c>
      <c r="O4" s="21">
        <v>44712</v>
      </c>
      <c r="P4" s="21">
        <v>44712</v>
      </c>
      <c r="Q4" s="22" t="s">
        <v>38</v>
      </c>
      <c r="R4" s="22">
        <v>600</v>
      </c>
    </row>
    <row r="5">
      <c r="A5" s="8">
        <v>3</v>
      </c>
      <c r="B5" s="8" t="s">
        <v>109</v>
      </c>
      <c r="C5" s="8" t="s">
        <v>107</v>
      </c>
      <c r="D5" s="8" t="s">
        <v>104</v>
      </c>
      <c r="E5" s="8"/>
    </row>
    <row r="6">
      <c r="A6" s="8">
        <v>4</v>
      </c>
      <c r="B6" s="8" t="s">
        <v>110</v>
      </c>
      <c r="C6" s="8" t="s">
        <v>107</v>
      </c>
      <c r="D6" s="8" t="s">
        <v>104</v>
      </c>
      <c r="E6" s="8"/>
    </row>
    <row r="7">
      <c r="A7" s="8">
        <v>5</v>
      </c>
      <c r="B7" s="8" t="s">
        <v>111</v>
      </c>
      <c r="C7" s="8" t="s">
        <v>107</v>
      </c>
      <c r="D7" s="8" t="s">
        <v>108</v>
      </c>
      <c r="E7" s="8"/>
    </row>
    <row r="8">
      <c r="A8" s="8">
        <v>0</v>
      </c>
      <c r="B8" s="8" t="s">
        <v>112</v>
      </c>
      <c r="C8" s="8"/>
      <c r="D8" s="8"/>
      <c r="E8" s="8"/>
    </row>
    <row r="11" ht="21">
      <c r="A11" s="23" t="s">
        <v>113</v>
      </c>
      <c r="B11" s="23"/>
      <c r="C11" s="23"/>
      <c r="D11" s="23"/>
      <c r="E11" s="23"/>
      <c r="F11" s="23"/>
      <c r="G11" s="23"/>
      <c r="H11" s="23"/>
    </row>
    <row r="12" ht="15">
      <c r="A12" s="17" t="s">
        <v>91</v>
      </c>
      <c r="B12" s="17" t="s">
        <v>92</v>
      </c>
      <c r="C12" s="17" t="s">
        <v>114</v>
      </c>
      <c r="D12" s="17" t="s">
        <v>115</v>
      </c>
      <c r="E12" s="17" t="s">
        <v>116</v>
      </c>
      <c r="F12" s="17" t="s">
        <v>117</v>
      </c>
      <c r="G12" s="17" t="s">
        <v>118</v>
      </c>
      <c r="H12" s="17" t="s">
        <v>119</v>
      </c>
    </row>
    <row r="13" ht="15">
      <c r="A13" s="8">
        <v>1</v>
      </c>
      <c r="B13" s="8" t="str">
        <f t="shared" ref="B13:B16" si="0">IFERROR(VLOOKUP(A13,A3:$B$7,2,FALSE()),"")</f>
        <v>Discount</v>
      </c>
      <c r="C13" s="24">
        <v>-200</v>
      </c>
      <c r="D13" s="24">
        <f t="shared" ref="D13:D16" si="1">IFERROR(IF(VLOOKUP(B13,$B$3:$C$7,2,FALSE())="USE SALES PRICE",C13,VLOOKUP(B13,$B$3:$E$7,4,FALSE())),"")</f>
        <v>0</v>
      </c>
      <c r="E13" s="24">
        <f t="shared" ref="E13:E16" si="2">IFERROR(D13/$D$18,"")</f>
        <v>0</v>
      </c>
      <c r="F13" s="24">
        <f t="shared" ref="F13:F16" si="3">IFERROR(E13*$C$18,"")</f>
        <v>0</v>
      </c>
      <c r="G13" s="21">
        <v>44576</v>
      </c>
      <c r="H13" s="21">
        <v>44576</v>
      </c>
    </row>
    <row r="14" ht="15">
      <c r="A14" s="8">
        <v>2</v>
      </c>
      <c r="B14" s="8" t="str">
        <f t="shared" si="0"/>
        <v xml:space="preserve">SaaS Basic Subscription</v>
      </c>
      <c r="C14" s="24">
        <v>1200</v>
      </c>
      <c r="D14" s="24">
        <f t="shared" si="1"/>
        <v>1200</v>
      </c>
      <c r="E14" s="24">
        <f t="shared" si="2"/>
        <v>0.5714285714285714</v>
      </c>
      <c r="F14" s="24">
        <f t="shared" si="3"/>
        <v>1085.7142857142856</v>
      </c>
      <c r="G14" s="21">
        <v>44576</v>
      </c>
      <c r="H14" s="21">
        <v>44941</v>
      </c>
    </row>
    <row r="15" ht="15">
      <c r="A15" s="8">
        <v>3</v>
      </c>
      <c r="B15" s="8" t="str">
        <f t="shared" si="0"/>
        <v xml:space="preserve">SaaS Implementation</v>
      </c>
      <c r="C15" s="24">
        <v>300</v>
      </c>
      <c r="D15" s="24">
        <f t="shared" si="1"/>
        <v>300</v>
      </c>
      <c r="E15" s="24">
        <f t="shared" si="2"/>
        <v>0.14285714285714285</v>
      </c>
      <c r="F15" s="24">
        <f t="shared" si="3"/>
        <v>271.42857142857139</v>
      </c>
      <c r="G15" s="21">
        <v>44576</v>
      </c>
      <c r="H15" s="21">
        <v>44576</v>
      </c>
    </row>
    <row r="16" ht="15">
      <c r="A16" s="8">
        <v>5</v>
      </c>
      <c r="B16" s="8" t="str">
        <f t="shared" si="0"/>
        <v xml:space="preserve">SaaS Premium Subscription</v>
      </c>
      <c r="C16" s="24">
        <v>600</v>
      </c>
      <c r="D16" s="24">
        <f t="shared" si="1"/>
        <v>600</v>
      </c>
      <c r="E16" s="24">
        <f t="shared" si="2"/>
        <v>0.2857142857142857</v>
      </c>
      <c r="F16" s="24">
        <f t="shared" si="3"/>
        <v>542.85714285714278</v>
      </c>
      <c r="G16" s="21">
        <v>44576</v>
      </c>
      <c r="H16" s="21">
        <v>44941</v>
      </c>
    </row>
    <row r="17">
      <c r="A17" s="8"/>
      <c r="B17" s="8"/>
      <c r="C17" s="24"/>
      <c r="D17" s="24"/>
      <c r="E17" s="24"/>
      <c r="F17" s="24"/>
      <c r="G17" s="8"/>
      <c r="H17" s="8"/>
    </row>
    <row r="18" ht="15">
      <c r="A18" s="25" t="s">
        <v>120</v>
      </c>
      <c r="B18" s="25"/>
      <c r="C18" s="26">
        <f>SUM(C13:C17)</f>
        <v>1900</v>
      </c>
      <c r="D18" s="26">
        <f>SUM(D13:D17)</f>
        <v>2100</v>
      </c>
      <c r="E18" s="26">
        <f>SUM(E13:E17)</f>
        <v>0.99999999999999989</v>
      </c>
      <c r="F18" s="26">
        <f>SUM(F13:F17)</f>
        <v>1899.9999999999995</v>
      </c>
      <c r="G18" s="8"/>
      <c r="H18" s="8"/>
    </row>
    <row r="20">
      <c r="B20" s="27" t="s">
        <v>106</v>
      </c>
      <c r="C20" s="27"/>
      <c r="D20" s="27"/>
    </row>
    <row r="21">
      <c r="B21" s="28" t="s">
        <v>121</v>
      </c>
      <c r="C21" s="28" t="s">
        <v>122</v>
      </c>
      <c r="D21" s="28" t="s">
        <v>123</v>
      </c>
    </row>
    <row r="22">
      <c r="B22" s="29">
        <v>44592</v>
      </c>
      <c r="C22" s="8">
        <f t="shared" ref="C22:C34" si="4">-ROUND($F$14/$D$35*D22,4)</f>
        <v>-47.593000000000004</v>
      </c>
      <c r="D22" s="8">
        <f>B22-G14</f>
        <v>16</v>
      </c>
    </row>
    <row r="23">
      <c r="B23" s="29">
        <v>44620</v>
      </c>
      <c r="C23" s="8">
        <f t="shared" si="4"/>
        <v>-83.287700000000001</v>
      </c>
      <c r="D23" s="8">
        <f t="shared" ref="D23:D34" si="5">B23-B22</f>
        <v>28</v>
      </c>
    </row>
    <row r="24">
      <c r="B24" s="29">
        <v>44651</v>
      </c>
      <c r="C24" s="8">
        <f t="shared" si="4"/>
        <v>-92.211399999999998</v>
      </c>
      <c r="D24" s="8">
        <f t="shared" si="5"/>
        <v>31</v>
      </c>
    </row>
    <row r="25">
      <c r="B25" s="29">
        <v>44681</v>
      </c>
      <c r="C25" s="8">
        <f t="shared" si="4"/>
        <v>-89.236800000000002</v>
      </c>
      <c r="D25" s="8">
        <f t="shared" si="5"/>
        <v>30</v>
      </c>
    </row>
    <row r="26">
      <c r="B26" s="29">
        <v>44712</v>
      </c>
      <c r="C26" s="8">
        <f t="shared" si="4"/>
        <v>-92.211399999999998</v>
      </c>
      <c r="D26" s="8">
        <f t="shared" si="5"/>
        <v>31</v>
      </c>
    </row>
    <row r="27">
      <c r="B27" s="29">
        <v>44742</v>
      </c>
      <c r="C27" s="8">
        <f t="shared" si="4"/>
        <v>-89.236800000000002</v>
      </c>
      <c r="D27" s="8">
        <f t="shared" si="5"/>
        <v>30</v>
      </c>
    </row>
    <row r="28">
      <c r="B28" s="29">
        <v>44773</v>
      </c>
      <c r="C28" s="8">
        <f t="shared" si="4"/>
        <v>-92.211399999999998</v>
      </c>
      <c r="D28" s="8">
        <f t="shared" si="5"/>
        <v>31</v>
      </c>
    </row>
    <row r="29">
      <c r="B29" s="29">
        <v>44804</v>
      </c>
      <c r="C29" s="8">
        <f t="shared" si="4"/>
        <v>-92.211399999999998</v>
      </c>
      <c r="D29" s="8">
        <f t="shared" si="5"/>
        <v>31</v>
      </c>
    </row>
    <row r="30">
      <c r="B30" s="29">
        <v>44834</v>
      </c>
      <c r="C30" s="8">
        <f t="shared" si="4"/>
        <v>-89.236800000000002</v>
      </c>
      <c r="D30" s="8">
        <f t="shared" si="5"/>
        <v>30</v>
      </c>
    </row>
    <row r="31">
      <c r="B31" s="29">
        <v>44865</v>
      </c>
      <c r="C31" s="8">
        <f t="shared" si="4"/>
        <v>-92.211399999999998</v>
      </c>
      <c r="D31" s="8">
        <f t="shared" si="5"/>
        <v>31</v>
      </c>
    </row>
    <row r="32">
      <c r="B32" s="29">
        <v>44895</v>
      </c>
      <c r="C32" s="8">
        <f t="shared" si="4"/>
        <v>-89.236800000000002</v>
      </c>
      <c r="D32" s="8">
        <f t="shared" si="5"/>
        <v>30</v>
      </c>
    </row>
    <row r="33">
      <c r="B33" s="29">
        <v>44926</v>
      </c>
      <c r="C33" s="8">
        <f t="shared" si="4"/>
        <v>-92.211399999999998</v>
      </c>
      <c r="D33" s="8">
        <f t="shared" si="5"/>
        <v>31</v>
      </c>
    </row>
    <row r="34">
      <c r="B34" s="29">
        <v>44941</v>
      </c>
      <c r="C34" s="8">
        <f t="shared" si="4"/>
        <v>-44.618400000000001</v>
      </c>
      <c r="D34" s="8">
        <f t="shared" si="5"/>
        <v>15</v>
      </c>
    </row>
    <row r="35">
      <c r="B35" s="8"/>
      <c r="C35" s="8">
        <f>SUM(C22:C34)</f>
        <v>-1085.7147000000002</v>
      </c>
      <c r="D35" s="8">
        <f>SUM(D22:D34)</f>
        <v>365</v>
      </c>
    </row>
    <row r="38">
      <c r="B38" s="27" t="s">
        <v>111</v>
      </c>
      <c r="C38" s="27"/>
      <c r="D38" s="27"/>
    </row>
    <row r="39">
      <c r="B39" s="28" t="s">
        <v>121</v>
      </c>
      <c r="C39" s="28" t="s">
        <v>122</v>
      </c>
      <c r="D39" s="28" t="s">
        <v>123</v>
      </c>
    </row>
    <row r="40">
      <c r="B40" s="29">
        <v>44592</v>
      </c>
      <c r="C40" s="8">
        <f t="shared" ref="C40:C52" si="6">-ROUND($F$16/$D$53*D40,4)</f>
        <v>-23.796500000000002</v>
      </c>
      <c r="D40" s="8">
        <f>B40-G16</f>
        <v>16</v>
      </c>
    </row>
    <row r="41">
      <c r="B41" s="29">
        <v>44620</v>
      </c>
      <c r="C41" s="8">
        <f t="shared" si="6"/>
        <v>-41.643799999999999</v>
      </c>
      <c r="D41" s="8">
        <f t="shared" ref="D41:D52" si="7">B41-B40</f>
        <v>28</v>
      </c>
    </row>
    <row r="42">
      <c r="B42" s="29">
        <v>44651</v>
      </c>
      <c r="C42" s="8">
        <f t="shared" si="6"/>
        <v>-46.105699999999999</v>
      </c>
      <c r="D42" s="8">
        <f t="shared" si="7"/>
        <v>31</v>
      </c>
    </row>
    <row r="43">
      <c r="B43" s="29">
        <v>44681</v>
      </c>
      <c r="C43" s="8">
        <f t="shared" si="6"/>
        <v>-44.618400000000001</v>
      </c>
      <c r="D43" s="8">
        <f t="shared" si="7"/>
        <v>30</v>
      </c>
    </row>
    <row r="44">
      <c r="B44" s="29">
        <v>44712</v>
      </c>
      <c r="C44" s="8">
        <f t="shared" si="6"/>
        <v>-46.105699999999999</v>
      </c>
      <c r="D44" s="8">
        <f t="shared" si="7"/>
        <v>31</v>
      </c>
    </row>
    <row r="45">
      <c r="B45" s="29">
        <v>44742</v>
      </c>
      <c r="C45" s="8">
        <f t="shared" si="6"/>
        <v>-44.618400000000001</v>
      </c>
      <c r="D45" s="8">
        <f t="shared" si="7"/>
        <v>30</v>
      </c>
    </row>
    <row r="46">
      <c r="B46" s="29">
        <v>44773</v>
      </c>
      <c r="C46" s="8">
        <f t="shared" si="6"/>
        <v>-46.105699999999999</v>
      </c>
      <c r="D46" s="8">
        <f t="shared" si="7"/>
        <v>31</v>
      </c>
    </row>
    <row r="47">
      <c r="B47" s="29">
        <v>44804</v>
      </c>
      <c r="C47" s="8">
        <f t="shared" si="6"/>
        <v>-46.105699999999999</v>
      </c>
      <c r="D47" s="8">
        <f t="shared" si="7"/>
        <v>31</v>
      </c>
    </row>
    <row r="48">
      <c r="B48" s="29">
        <v>44834</v>
      </c>
      <c r="C48" s="8">
        <f t="shared" si="6"/>
        <v>-44.618400000000001</v>
      </c>
      <c r="D48" s="8">
        <f t="shared" si="7"/>
        <v>30</v>
      </c>
    </row>
    <row r="49">
      <c r="B49" s="29">
        <v>44865</v>
      </c>
      <c r="C49" s="8">
        <f t="shared" si="6"/>
        <v>-46.105699999999999</v>
      </c>
      <c r="D49" s="8">
        <f t="shared" si="7"/>
        <v>31</v>
      </c>
    </row>
    <row r="50">
      <c r="B50" s="29">
        <v>44895</v>
      </c>
      <c r="C50" s="8">
        <f t="shared" si="6"/>
        <v>-44.618400000000001</v>
      </c>
      <c r="D50" s="8">
        <f t="shared" si="7"/>
        <v>30</v>
      </c>
    </row>
    <row r="51">
      <c r="B51" s="29">
        <v>44926</v>
      </c>
      <c r="C51" s="8">
        <f t="shared" si="6"/>
        <v>-46.105699999999999</v>
      </c>
      <c r="D51" s="8">
        <f t="shared" si="7"/>
        <v>31</v>
      </c>
    </row>
    <row r="52">
      <c r="B52" s="29">
        <v>44941</v>
      </c>
      <c r="C52" s="8">
        <f t="shared" si="6"/>
        <v>-22.309200000000001</v>
      </c>
      <c r="D52" s="8">
        <f t="shared" si="7"/>
        <v>15</v>
      </c>
    </row>
    <row r="53">
      <c r="B53" s="8"/>
      <c r="C53" s="8">
        <f>SUM(C40:C52)</f>
        <v>-542.85730000000012</v>
      </c>
      <c r="D53" s="8">
        <f>SUM(D40:D52)</f>
        <v>365</v>
      </c>
    </row>
    <row r="55">
      <c r="A55" s="30" t="s">
        <v>124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</row>
    <row r="57" ht="21">
      <c r="A57" s="16" t="s">
        <v>90</v>
      </c>
      <c r="B57" s="16"/>
      <c r="C57" s="16"/>
      <c r="D57" s="16"/>
      <c r="E57" s="16"/>
    </row>
    <row r="58" ht="15">
      <c r="A58" s="17" t="s">
        <v>91</v>
      </c>
      <c r="B58" s="17" t="s">
        <v>92</v>
      </c>
      <c r="C58" s="17" t="s">
        <v>93</v>
      </c>
      <c r="D58" s="17" t="s">
        <v>94</v>
      </c>
      <c r="E58" s="17" t="s">
        <v>95</v>
      </c>
    </row>
    <row r="59">
      <c r="A59" s="8">
        <v>1</v>
      </c>
      <c r="B59" s="8" t="s">
        <v>102</v>
      </c>
      <c r="C59" s="8" t="s">
        <v>103</v>
      </c>
      <c r="D59" s="8" t="s">
        <v>104</v>
      </c>
      <c r="E59" s="8">
        <v>0</v>
      </c>
    </row>
    <row r="60">
      <c r="A60" s="8">
        <v>2</v>
      </c>
      <c r="B60" s="8" t="s">
        <v>106</v>
      </c>
      <c r="C60" s="8" t="s">
        <v>107</v>
      </c>
      <c r="D60" s="8" t="s">
        <v>108</v>
      </c>
      <c r="E60" s="8"/>
    </row>
    <row r="61">
      <c r="A61" s="8">
        <v>3</v>
      </c>
      <c r="B61" s="8" t="s">
        <v>109</v>
      </c>
      <c r="C61" s="8" t="s">
        <v>107</v>
      </c>
      <c r="D61" s="8" t="s">
        <v>104</v>
      </c>
      <c r="E61" s="8"/>
    </row>
    <row r="62">
      <c r="A62" s="8">
        <v>4</v>
      </c>
      <c r="B62" s="8" t="s">
        <v>110</v>
      </c>
      <c r="C62" s="8" t="s">
        <v>107</v>
      </c>
      <c r="D62" s="8" t="s">
        <v>104</v>
      </c>
      <c r="E62" s="8"/>
    </row>
    <row r="63">
      <c r="A63" s="8">
        <v>5</v>
      </c>
      <c r="B63" s="8" t="s">
        <v>111</v>
      </c>
      <c r="C63" s="8" t="s">
        <v>107</v>
      </c>
      <c r="D63" s="8" t="s">
        <v>108</v>
      </c>
      <c r="E63" s="8"/>
    </row>
    <row r="64">
      <c r="A64" s="8">
        <v>0</v>
      </c>
      <c r="B64" s="8" t="s">
        <v>112</v>
      </c>
      <c r="C64" s="8"/>
      <c r="D64" s="8"/>
      <c r="E64" s="8"/>
    </row>
    <row r="67" ht="21">
      <c r="A67" s="23" t="s">
        <v>113</v>
      </c>
      <c r="B67" s="23"/>
      <c r="C67" s="23"/>
      <c r="D67" s="23"/>
      <c r="E67" s="23"/>
      <c r="F67" s="23"/>
      <c r="G67" s="23"/>
      <c r="H67" s="23"/>
    </row>
    <row r="68" ht="14.25">
      <c r="A68" s="17" t="s">
        <v>91</v>
      </c>
      <c r="B68" s="17" t="s">
        <v>92</v>
      </c>
      <c r="C68" s="17" t="s">
        <v>114</v>
      </c>
      <c r="D68" s="17" t="s">
        <v>115</v>
      </c>
      <c r="E68" s="17" t="s">
        <v>116</v>
      </c>
      <c r="F68" s="17" t="s">
        <v>117</v>
      </c>
      <c r="G68" s="17" t="s">
        <v>118</v>
      </c>
      <c r="H68" s="17" t="s">
        <v>119</v>
      </c>
    </row>
    <row r="69" ht="14.25">
      <c r="A69" s="8">
        <v>1</v>
      </c>
      <c r="B69" s="8" t="str">
        <f t="shared" ref="B69:B72" si="8">IFERROR(VLOOKUP(A69,A$7:$B59,2,FALSE()),"")</f>
        <v>Discount</v>
      </c>
      <c r="C69" s="24">
        <v>-200</v>
      </c>
      <c r="D69" s="24">
        <f t="shared" ref="D69:D72" si="9">IFERROR(IF(VLOOKUP(B69,$B$3:$C$7,2,FALSE())="USE SALES PRICE",C69,VLOOKUP(B69,$B$3:$E$7,4,FALSE())),"")</f>
        <v>0</v>
      </c>
      <c r="E69" s="24">
        <f>IFERROR(D69/$D$18,"")</f>
        <v>0</v>
      </c>
      <c r="F69" s="24">
        <f>IFERROR(E69*$C$18,"")</f>
        <v>0</v>
      </c>
      <c r="G69" s="21">
        <v>44576</v>
      </c>
      <c r="H69" s="21">
        <v>44576</v>
      </c>
    </row>
    <row r="70" ht="14.25">
      <c r="A70" s="8">
        <v>2</v>
      </c>
      <c r="B70" s="8" t="str">
        <f t="shared" si="8"/>
        <v xml:space="preserve">SaaS Basic Subscription</v>
      </c>
      <c r="C70" s="24">
        <v>1200</v>
      </c>
      <c r="D70" s="24">
        <f t="shared" si="9"/>
        <v>1200</v>
      </c>
      <c r="E70" s="24">
        <f t="shared" ref="E70:E72" si="10">IFERROR(D70/$D$74,"")</f>
        <v>0.44444444444444442</v>
      </c>
      <c r="F70" s="24">
        <f t="shared" ref="F70:F72" si="11">IFERROR(E70*$C$74,"")</f>
        <v>1111.1111111111111</v>
      </c>
      <c r="G70" s="21">
        <v>44576</v>
      </c>
      <c r="H70" s="21">
        <v>44941</v>
      </c>
    </row>
    <row r="71" ht="14.25">
      <c r="A71" s="8">
        <v>3</v>
      </c>
      <c r="B71" s="8" t="str">
        <f t="shared" si="8"/>
        <v xml:space="preserve">SaaS Implementation</v>
      </c>
      <c r="C71" s="24">
        <v>300</v>
      </c>
      <c r="D71" s="24">
        <f t="shared" si="9"/>
        <v>300</v>
      </c>
      <c r="E71" s="24">
        <f t="shared" si="10"/>
        <v>0.1111111111111111</v>
      </c>
      <c r="F71" s="24">
        <f t="shared" si="11"/>
        <v>277.77777777777777</v>
      </c>
      <c r="G71" s="21">
        <v>44576</v>
      </c>
      <c r="H71" s="21">
        <v>44576</v>
      </c>
    </row>
    <row r="72" ht="14.25">
      <c r="A72" s="8">
        <v>5</v>
      </c>
      <c r="B72" s="8" t="str">
        <f t="shared" si="8"/>
        <v xml:space="preserve">SaaS Premium Subscription</v>
      </c>
      <c r="C72" s="24">
        <v>1200</v>
      </c>
      <c r="D72" s="24">
        <f t="shared" si="9"/>
        <v>1200</v>
      </c>
      <c r="E72" s="24">
        <f t="shared" si="10"/>
        <v>0.44444444444444442</v>
      </c>
      <c r="F72" s="24">
        <f t="shared" si="11"/>
        <v>1111.1111111111111</v>
      </c>
      <c r="G72" s="21">
        <v>44576</v>
      </c>
      <c r="H72" s="21">
        <v>44941</v>
      </c>
    </row>
    <row r="73">
      <c r="A73" s="8"/>
      <c r="B73" s="8"/>
      <c r="C73" s="24"/>
      <c r="D73" s="24"/>
      <c r="E73" s="24"/>
      <c r="F73" s="24"/>
      <c r="G73" s="8"/>
      <c r="H73" s="8"/>
    </row>
    <row r="74" ht="14.25">
      <c r="A74" s="25" t="s">
        <v>120</v>
      </c>
      <c r="B74" s="25"/>
      <c r="C74" s="26">
        <f>SUM(C69:C73)</f>
        <v>2500</v>
      </c>
      <c r="D74" s="26">
        <f>SUM(D69:D73)</f>
        <v>2700</v>
      </c>
      <c r="E74" s="26">
        <f>SUM(E69:E73)</f>
        <v>1</v>
      </c>
      <c r="F74" s="26">
        <f>SUM(F69:F73)</f>
        <v>2500</v>
      </c>
      <c r="G74" s="8"/>
      <c r="H74" s="8"/>
    </row>
    <row r="76">
      <c r="B76" s="27" t="s">
        <v>106</v>
      </c>
      <c r="C76" s="27"/>
      <c r="D76" s="27"/>
    </row>
    <row r="77">
      <c r="B77" s="28" t="s">
        <v>121</v>
      </c>
      <c r="C77" s="28" t="s">
        <v>122</v>
      </c>
      <c r="D77" s="28" t="s">
        <v>123</v>
      </c>
    </row>
    <row r="78">
      <c r="B78" s="29">
        <v>44592</v>
      </c>
      <c r="C78" s="8">
        <f t="shared" ref="C78:C90" si="12">-ROUND($F$70/$D$91*D78,4)</f>
        <v>-48.706200000000003</v>
      </c>
      <c r="D78" s="8">
        <f>B78-G70</f>
        <v>16</v>
      </c>
    </row>
    <row r="79">
      <c r="B79" s="29">
        <v>44620</v>
      </c>
      <c r="C79" s="8">
        <f t="shared" si="12"/>
        <v>-85.235900000000001</v>
      </c>
      <c r="D79" s="8">
        <f t="shared" ref="D79:D90" si="13">B79-B78</f>
        <v>28</v>
      </c>
    </row>
    <row r="80">
      <c r="B80" s="29">
        <v>44651</v>
      </c>
      <c r="C80" s="8">
        <f t="shared" si="12"/>
        <v>-94.368300000000005</v>
      </c>
      <c r="D80" s="8">
        <f t="shared" si="13"/>
        <v>31</v>
      </c>
    </row>
    <row r="81">
      <c r="B81" s="29">
        <v>44681</v>
      </c>
      <c r="C81" s="8">
        <f t="shared" si="12"/>
        <v>-91.324200000000005</v>
      </c>
      <c r="D81" s="8">
        <f t="shared" si="13"/>
        <v>30</v>
      </c>
    </row>
    <row r="82">
      <c r="B82" s="29">
        <v>44712</v>
      </c>
      <c r="C82" s="8">
        <f t="shared" si="12"/>
        <v>-94.368300000000005</v>
      </c>
      <c r="D82" s="8">
        <f t="shared" si="13"/>
        <v>31</v>
      </c>
    </row>
    <row r="83">
      <c r="B83" s="29">
        <v>44742</v>
      </c>
      <c r="C83" s="8">
        <f t="shared" si="12"/>
        <v>-91.324200000000005</v>
      </c>
      <c r="D83" s="8">
        <f t="shared" si="13"/>
        <v>30</v>
      </c>
    </row>
    <row r="84">
      <c r="B84" s="29">
        <v>44773</v>
      </c>
      <c r="C84" s="8">
        <f t="shared" si="12"/>
        <v>-94.368300000000005</v>
      </c>
      <c r="D84" s="8">
        <f t="shared" si="13"/>
        <v>31</v>
      </c>
    </row>
    <row r="85">
      <c r="B85" s="29">
        <v>44804</v>
      </c>
      <c r="C85" s="8">
        <f t="shared" si="12"/>
        <v>-94.368300000000005</v>
      </c>
      <c r="D85" s="8">
        <f t="shared" si="13"/>
        <v>31</v>
      </c>
    </row>
    <row r="86">
      <c r="B86" s="29">
        <v>44834</v>
      </c>
      <c r="C86" s="8">
        <f t="shared" si="12"/>
        <v>-91.324200000000005</v>
      </c>
      <c r="D86" s="8">
        <f t="shared" si="13"/>
        <v>30</v>
      </c>
    </row>
    <row r="87">
      <c r="B87" s="29">
        <v>44865</v>
      </c>
      <c r="C87" s="8">
        <f t="shared" si="12"/>
        <v>-94.368300000000005</v>
      </c>
      <c r="D87" s="8">
        <f t="shared" si="13"/>
        <v>31</v>
      </c>
    </row>
    <row r="88">
      <c r="B88" s="29">
        <v>44895</v>
      </c>
      <c r="C88" s="8">
        <f t="shared" si="12"/>
        <v>-91.324200000000005</v>
      </c>
      <c r="D88" s="8">
        <f t="shared" si="13"/>
        <v>30</v>
      </c>
    </row>
    <row r="89">
      <c r="B89" s="29">
        <v>44926</v>
      </c>
      <c r="C89" s="8">
        <f t="shared" si="12"/>
        <v>-94.368300000000005</v>
      </c>
      <c r="D89" s="8">
        <f t="shared" si="13"/>
        <v>31</v>
      </c>
    </row>
    <row r="90">
      <c r="B90" s="29">
        <v>44941</v>
      </c>
      <c r="C90" s="8">
        <f t="shared" si="12"/>
        <v>-45.662100000000002</v>
      </c>
      <c r="D90" s="8">
        <f t="shared" si="13"/>
        <v>15</v>
      </c>
    </row>
    <row r="91">
      <c r="B91" s="8"/>
      <c r="C91" s="8">
        <f>SUM(C78:C90)</f>
        <v>-1111.1108000000002</v>
      </c>
      <c r="D91" s="8">
        <f>SUM(D78:D90)</f>
        <v>365</v>
      </c>
    </row>
    <row r="94">
      <c r="B94" s="27" t="s">
        <v>111</v>
      </c>
      <c r="C94" s="27"/>
      <c r="D94" s="27"/>
    </row>
    <row r="95">
      <c r="B95" s="28" t="s">
        <v>121</v>
      </c>
      <c r="C95" s="28" t="s">
        <v>122</v>
      </c>
      <c r="D95" s="28" t="s">
        <v>123</v>
      </c>
    </row>
    <row r="96">
      <c r="B96" s="29">
        <v>44592</v>
      </c>
      <c r="C96" s="8">
        <f t="shared" ref="C96:C108" si="14">-ROUND($F$72/$D$109*D96,4)</f>
        <v>-48.706200000000003</v>
      </c>
      <c r="D96" s="8">
        <f>B96-G72</f>
        <v>16</v>
      </c>
    </row>
    <row r="97">
      <c r="B97" s="29">
        <v>44620</v>
      </c>
      <c r="C97" s="8">
        <f t="shared" si="14"/>
        <v>-85.235900000000001</v>
      </c>
      <c r="D97" s="8">
        <f t="shared" ref="D97:D108" si="15">B97-B96</f>
        <v>28</v>
      </c>
    </row>
    <row r="98">
      <c r="B98" s="29">
        <v>44651</v>
      </c>
      <c r="C98" s="8">
        <f t="shared" si="14"/>
        <v>-94.368300000000005</v>
      </c>
      <c r="D98" s="8">
        <f t="shared" si="15"/>
        <v>31</v>
      </c>
    </row>
    <row r="99">
      <c r="B99" s="29">
        <v>44681</v>
      </c>
      <c r="C99" s="8">
        <f t="shared" si="14"/>
        <v>-91.324200000000005</v>
      </c>
      <c r="D99" s="8">
        <f t="shared" si="15"/>
        <v>30</v>
      </c>
    </row>
    <row r="100">
      <c r="B100" s="29">
        <v>44712</v>
      </c>
      <c r="C100" s="8">
        <f t="shared" si="14"/>
        <v>-94.368300000000005</v>
      </c>
      <c r="D100" s="8">
        <f t="shared" si="15"/>
        <v>31</v>
      </c>
    </row>
    <row r="101">
      <c r="B101" s="29">
        <v>44742</v>
      </c>
      <c r="C101" s="8">
        <f t="shared" si="14"/>
        <v>-91.324200000000005</v>
      </c>
      <c r="D101" s="8">
        <f t="shared" si="15"/>
        <v>30</v>
      </c>
    </row>
    <row r="102">
      <c r="B102" s="29">
        <v>44773</v>
      </c>
      <c r="C102" s="8">
        <f t="shared" si="14"/>
        <v>-94.368300000000005</v>
      </c>
      <c r="D102" s="8">
        <f t="shared" si="15"/>
        <v>31</v>
      </c>
    </row>
    <row r="103">
      <c r="B103" s="29">
        <v>44804</v>
      </c>
      <c r="C103" s="8">
        <f t="shared" si="14"/>
        <v>-94.368300000000005</v>
      </c>
      <c r="D103" s="8">
        <f t="shared" si="15"/>
        <v>31</v>
      </c>
    </row>
    <row r="104">
      <c r="B104" s="29">
        <v>44834</v>
      </c>
      <c r="C104" s="8">
        <f t="shared" si="14"/>
        <v>-91.324200000000005</v>
      </c>
      <c r="D104" s="8">
        <f t="shared" si="15"/>
        <v>30</v>
      </c>
    </row>
    <row r="105">
      <c r="B105" s="29">
        <v>44865</v>
      </c>
      <c r="C105" s="8">
        <f t="shared" si="14"/>
        <v>-94.368300000000005</v>
      </c>
      <c r="D105" s="8">
        <f t="shared" si="15"/>
        <v>31</v>
      </c>
    </row>
    <row r="106">
      <c r="B106" s="29">
        <v>44895</v>
      </c>
      <c r="C106" s="8">
        <f t="shared" si="14"/>
        <v>-91.324200000000005</v>
      </c>
      <c r="D106" s="8">
        <f t="shared" si="15"/>
        <v>30</v>
      </c>
    </row>
    <row r="107">
      <c r="B107" s="29">
        <v>44926</v>
      </c>
      <c r="C107" s="8">
        <f t="shared" si="14"/>
        <v>-94.368300000000005</v>
      </c>
      <c r="D107" s="8">
        <f t="shared" si="15"/>
        <v>31</v>
      </c>
    </row>
    <row r="108">
      <c r="B108" s="29">
        <v>44941</v>
      </c>
      <c r="C108" s="8">
        <f t="shared" si="14"/>
        <v>-45.662100000000002</v>
      </c>
      <c r="D108" s="8">
        <f t="shared" si="15"/>
        <v>15</v>
      </c>
    </row>
    <row r="109">
      <c r="B109" s="8"/>
      <c r="C109" s="8">
        <f>SUM(C96:C108)</f>
        <v>-1111.1108000000002</v>
      </c>
      <c r="D109" s="8">
        <f>SUM(D96:D108)</f>
        <v>365</v>
      </c>
    </row>
  </sheetData>
  <mergeCells count="12">
    <mergeCell ref="A1:E1"/>
    <mergeCell ref="L2:L4"/>
    <mergeCell ref="A11:H11"/>
    <mergeCell ref="A18:B18"/>
    <mergeCell ref="B20:D20"/>
    <mergeCell ref="B38:D38"/>
    <mergeCell ref="A55:P55"/>
    <mergeCell ref="A57:E57"/>
    <mergeCell ref="A67:H67"/>
    <mergeCell ref="A74:B74"/>
    <mergeCell ref="B76:D76"/>
    <mergeCell ref="B94:D94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149</cp:revision>
  <dcterms:created xsi:type="dcterms:W3CDTF">2025-06-10T09:23:35Z</dcterms:created>
  <dcterms:modified xsi:type="dcterms:W3CDTF">2026-09-07T18:06:28Z</dcterms:modified>
</cp:coreProperties>
</file>