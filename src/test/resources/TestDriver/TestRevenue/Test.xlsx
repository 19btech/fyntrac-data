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/>
  <mc:AlternateContent xmlns:mc="http://schemas.openxmlformats.org/markup-compatibility/2006">
    <mc:Choice Requires="x15">
      <x15ac:absPath xmlns:x15ac="http://schemas.microsoft.com/office/spreadsheetml/2010/11/ac" url="C:\Users\arahmed\OneDrive - SS&amp;C Technologies, Inc\Desktop\Pers\TestRevenue (1)\TestRevenue\"/>
    </mc:Choice>
  </mc:AlternateContent>
  <xr:revisionPtr revIDLastSave="0" documentId="13_ncr:1_{229CA5CC-D94D-4120-9763-2BBB38B164CB}" xr6:coauthVersionLast="47" xr6:coauthVersionMax="47" xr10:uidLastSave="{00000000-0000-0000-0000-000000000000}"/>
  <bookViews>
    <workbookView xWindow="-120" yWindow="-120" windowWidth="29040" windowHeight="17520" tabRatio="500" activeTab="2" xr2:uid="{00000000-000D-0000-FFFF-FFFF00000000}"/>
  </bookViews>
  <sheets>
    <sheet name="Test" sheetId="1" r:id="rId1"/>
    <sheet name="O_TransactionActivity" sheetId="2" r:id="rId2"/>
    <sheet name="O_Attribute" sheetId="3" r:id="rId3"/>
    <sheet name="O_Instrument" sheetId="4" r:id="rId4"/>
    <sheet name="O_Metric" sheetId="5" r:id="rId5"/>
    <sheet name="O_InstrumentAttribute" sheetId="6" r:id="rId6"/>
    <sheet name="Calc" sheetId="7" r:id="rId7"/>
  </sheets>
  <definedNames>
    <definedName name="_xlnm._FilterDatabase" localSheetId="3" hidden="1">O_Instrument!#REF!</definedName>
    <definedName name="_xlnm._FilterDatabase" localSheetId="5" hidden="1">O_InstrumentAttribute!$A$2:$R$52</definedName>
    <definedName name="_xlnm._FilterDatabase" localSheetId="1" hidden="1">O_TransactionActivity!$A$2:$J$18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D108" i="7" l="1"/>
  <c r="D107" i="7"/>
  <c r="D106" i="7"/>
  <c r="D105" i="7"/>
  <c r="D104" i="7"/>
  <c r="D103" i="7"/>
  <c r="D102" i="7"/>
  <c r="D101" i="7"/>
  <c r="D100" i="7"/>
  <c r="D99" i="7"/>
  <c r="D98" i="7"/>
  <c r="D97" i="7"/>
  <c r="D96" i="7"/>
  <c r="D109" i="7" s="1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91" i="7" s="1"/>
  <c r="C74" i="7"/>
  <c r="B72" i="7"/>
  <c r="D72" i="7" s="1"/>
  <c r="B70" i="7"/>
  <c r="D70" i="7" s="1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53" i="7" s="1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35" i="7" s="1"/>
  <c r="C18" i="7"/>
  <c r="B16" i="7"/>
  <c r="D16" i="7" s="1"/>
  <c r="B15" i="7"/>
  <c r="D15" i="7" s="1"/>
  <c r="B14" i="7"/>
  <c r="D14" i="7" s="1"/>
  <c r="B13" i="7"/>
  <c r="D13" i="7" s="1"/>
  <c r="D18" i="7" l="1"/>
  <c r="E14" i="7" s="1"/>
  <c r="F14" i="7" s="1"/>
  <c r="B71" i="7"/>
  <c r="D71" i="7" s="1"/>
  <c r="B69" i="7"/>
  <c r="D69" i="7" s="1"/>
  <c r="C32" i="7" l="1"/>
  <c r="C26" i="7"/>
  <c r="C23" i="7"/>
  <c r="C33" i="7"/>
  <c r="C27" i="7"/>
  <c r="C31" i="7"/>
  <c r="C30" i="7"/>
  <c r="C24" i="7"/>
  <c r="C22" i="7"/>
  <c r="C25" i="7"/>
  <c r="C29" i="7"/>
  <c r="C34" i="7"/>
  <c r="C28" i="7"/>
  <c r="D74" i="7"/>
  <c r="E69" i="7"/>
  <c r="E15" i="7"/>
  <c r="F15" i="7" s="1"/>
  <c r="E13" i="7"/>
  <c r="E16" i="7"/>
  <c r="F16" i="7" s="1"/>
  <c r="E71" i="7"/>
  <c r="F71" i="7" s="1"/>
  <c r="C35" i="7" l="1"/>
  <c r="C48" i="7"/>
  <c r="C42" i="7"/>
  <c r="C49" i="7"/>
  <c r="C43" i="7"/>
  <c r="C52" i="7"/>
  <c r="C46" i="7"/>
  <c r="C40" i="7"/>
  <c r="C51" i="7"/>
  <c r="C47" i="7"/>
  <c r="C41" i="7"/>
  <c r="C45" i="7"/>
  <c r="C50" i="7"/>
  <c r="C44" i="7"/>
  <c r="E18" i="7"/>
  <c r="F13" i="7"/>
  <c r="F18" i="7" s="1"/>
  <c r="F69" i="7"/>
  <c r="E70" i="7"/>
  <c r="F70" i="7" s="1"/>
  <c r="E72" i="7"/>
  <c r="F72" i="7" s="1"/>
  <c r="C96" i="7" l="1"/>
  <c r="C101" i="7"/>
  <c r="C105" i="7"/>
  <c r="C103" i="7"/>
  <c r="C97" i="7"/>
  <c r="C102" i="7"/>
  <c r="C106" i="7"/>
  <c r="C104" i="7"/>
  <c r="C108" i="7"/>
  <c r="C107" i="7"/>
  <c r="C100" i="7"/>
  <c r="C99" i="7"/>
  <c r="C98" i="7"/>
  <c r="C90" i="7"/>
  <c r="C88" i="7"/>
  <c r="C87" i="7"/>
  <c r="C81" i="7"/>
  <c r="C86" i="7"/>
  <c r="C79" i="7"/>
  <c r="C78" i="7"/>
  <c r="C89" i="7"/>
  <c r="C80" i="7"/>
  <c r="C85" i="7"/>
  <c r="C84" i="7"/>
  <c r="C83" i="7"/>
  <c r="C82" i="7"/>
  <c r="E74" i="7"/>
  <c r="C53" i="7"/>
  <c r="F74" i="7"/>
  <c r="C91" i="7" l="1"/>
  <c r="C109" i="7"/>
</calcChain>
</file>

<file path=xl/sharedStrings.xml><?xml version="1.0" encoding="utf-8"?>
<sst xmlns="http://schemas.openxmlformats.org/spreadsheetml/2006/main" count="1529" uniqueCount="119">
  <si>
    <t>Steps</t>
  </si>
  <si>
    <t>Type</t>
  </si>
  <si>
    <t>Input</t>
  </si>
  <si>
    <t>LOAD_REF_DATA</t>
  </si>
  <si>
    <t>FILE_UPLOAD</t>
  </si>
  <si>
    <t>ReferenceData/Revenue_RefData.xlsx</t>
  </si>
  <si>
    <t>EVENT_CONFIGURATION</t>
  </si>
  <si>
    <t>CONFIGURATION</t>
  </si>
  <si>
    <t>TestRevenue/EventConfigurations.json</t>
  </si>
  <si>
    <t>MODEL_UPLOAD</t>
  </si>
  <si>
    <t>Model/Revenue_model_changed_V4.xlsx</t>
  </si>
  <si>
    <t>MODEL_CONFIGURATION</t>
  </si>
  <si>
    <t>ATTRIBUTE</t>
  </si>
  <si>
    <t>ACTIVITY_UPLOAD</t>
  </si>
  <si>
    <t>TestRevenue/ActivityData_Jan22.xlsx</t>
  </si>
  <si>
    <t>MODEL_EXECUTION</t>
  </si>
  <si>
    <t>EXECUTION</t>
  </si>
  <si>
    <t>TestRevenue/ActivityData_Feb22.xlsx</t>
  </si>
  <si>
    <t>TestRevenue/ActivityData_Apr22.xlsx</t>
  </si>
  <si>
    <t>TestRevenue/ActivityData_May22.xlsx</t>
  </si>
  <si>
    <t>TransactionActivity</t>
  </si>
  <si>
    <t>postingDate ASC</t>
  </si>
  <si>
    <t>attributeId ASC</t>
  </si>
  <si>
    <t>transactionName ASC</t>
  </si>
  <si>
    <t>source ASC</t>
  </si>
  <si>
    <t>effectiveDate ASC</t>
  </si>
  <si>
    <t>instrumentId</t>
  </si>
  <si>
    <t>amount</t>
  </si>
  <si>
    <t>originalPeriodId</t>
  </si>
  <si>
    <t>accountingPeriod.periodId</t>
  </si>
  <si>
    <t>isReplayable</t>
  </si>
  <si>
    <t>UNBILLED_CHARGE</t>
  </si>
  <si>
    <t>MODEL</t>
  </si>
  <si>
    <t>SO1</t>
  </si>
  <si>
    <t>REVENUE</t>
  </si>
  <si>
    <t>NEW_BILLING</t>
  </si>
  <si>
    <t>ETL</t>
  </si>
  <si>
    <t>AttributeLevelLtd</t>
  </si>
  <si>
    <t>metricName ASC</t>
  </si>
  <si>
    <t>balance.beginningBalance</t>
  </si>
  <si>
    <t>balance.activity</t>
  </si>
  <si>
    <t>balance.endingBalance</t>
  </si>
  <si>
    <t>DEFERRED_REVENUE</t>
  </si>
  <si>
    <t>UNBILLED</t>
  </si>
  <si>
    <t>BILLING</t>
  </si>
  <si>
    <t>InstrumentLevelLtd</t>
  </si>
  <si>
    <t>MetricLevelLtd</t>
  </si>
  <si>
    <t>{}</t>
  </si>
  <si>
    <t>InstrumentAttribute</t>
  </si>
  <si>
    <t>effectiveDate</t>
  </si>
  <si>
    <t>batchId</t>
  </si>
  <si>
    <t>endDate</t>
  </si>
  <si>
    <t>periodId</t>
  </si>
  <si>
    <t>source</t>
  </si>
  <si>
    <t>attributes.CURRENCY</t>
  </si>
  <si>
    <t>attributes.SALE_PRICE</t>
  </si>
  <si>
    <t>attributes.ORDER_DATE</t>
  </si>
  <si>
    <t>attributes.ITEM_ENDDATE</t>
  </si>
  <si>
    <t>attributes.QUANTITY</t>
  </si>
  <si>
    <t>attributes.EXTENDED_SALEPRICE</t>
  </si>
  <si>
    <t>attributes.ITEM_ID</t>
  </si>
  <si>
    <t>attributes.ITEM_STARTDATE</t>
  </si>
  <si>
    <t>attributes.PRODUCT_ID</t>
  </si>
  <si>
    <t>attributes.PRODUCT_NAME</t>
  </si>
  <si>
    <t>2022-01-15T00:00:00.000Z</t>
  </si>
  <si>
    <t>2022-04-30T00:00:00.000Z</t>
  </si>
  <si>
    <t>USD</t>
  </si>
  <si>
    <t>2022-01-15T18:30:00.000Z</t>
  </si>
  <si>
    <t>INVOICE</t>
  </si>
  <si>
    <t>IDHJ-EGNY</t>
  </si>
  <si>
    <t>DISCOUNT</t>
  </si>
  <si>
    <t>2023-01-15T18:30:00.000Z</t>
  </si>
  <si>
    <t>FFFF-AAAA</t>
  </si>
  <si>
    <t>SAAS BASIC SUBSCRIPTION</t>
  </si>
  <si>
    <t>FFFF-BBBB</t>
  </si>
  <si>
    <t>SAAS IMPLEMENTATION</t>
  </si>
  <si>
    <t>FFFF-CCC</t>
  </si>
  <si>
    <t>SAAS PREMIUM SUBSCRIPTION</t>
  </si>
  <si>
    <t>PRODUCT CATALOG</t>
  </si>
  <si>
    <t>ProductId</t>
  </si>
  <si>
    <t>ProductName</t>
  </si>
  <si>
    <t>Standalone Sellig Price Rule</t>
  </si>
  <si>
    <t>Revenue Recognition Method</t>
  </si>
  <si>
    <t>Amount</t>
  </si>
  <si>
    <t>Billings</t>
  </si>
  <si>
    <t>TransactionName</t>
  </si>
  <si>
    <t>AttributeId</t>
  </si>
  <si>
    <t>PostingDate</t>
  </si>
  <si>
    <t>TransactionDate</t>
  </si>
  <si>
    <t>InstrumentId</t>
  </si>
  <si>
    <t>Discount</t>
  </si>
  <si>
    <t>AMOUNT</t>
  </si>
  <si>
    <t>POINT_IN_TIME</t>
  </si>
  <si>
    <t>New Billing</t>
  </si>
  <si>
    <t>SaaS Basic Subscription</t>
  </si>
  <si>
    <t>USE SALES PRICE</t>
  </si>
  <si>
    <t>RATABLE</t>
  </si>
  <si>
    <t>SaaS Implementation</t>
  </si>
  <si>
    <t>SaaS Training</t>
  </si>
  <si>
    <t>SaaS Premium Subscription</t>
  </si>
  <si>
    <t>Invoice</t>
  </si>
  <si>
    <t>REVENUE ALLOCATION</t>
  </si>
  <si>
    <t>Sale Price</t>
  </si>
  <si>
    <t>SSP</t>
  </si>
  <si>
    <t>Ratio</t>
  </si>
  <si>
    <t>Allocation</t>
  </si>
  <si>
    <t>StartDate</t>
  </si>
  <si>
    <t>EndDate</t>
  </si>
  <si>
    <t>Total</t>
  </si>
  <si>
    <t>Date</t>
  </si>
  <si>
    <t>Revenue</t>
  </si>
  <si>
    <t>Days</t>
  </si>
  <si>
    <t>Correction 4/30/2022</t>
  </si>
  <si>
    <t>SO2</t>
  </si>
  <si>
    <t>SO3</t>
  </si>
  <si>
    <t>SO4</t>
  </si>
  <si>
    <t>SO5</t>
  </si>
  <si>
    <t>{
  "instrumentId": ["SO1", "SO2", "SO3", "SO4", "SO5"]
}</t>
  </si>
  <si>
    <t>instrumentId ASC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</si>
</sst>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/dd/yy"/>
    <numFmt numFmtId="165" formatCode="#,##0.0000_);[Red]\(#,##0.0000\)"/>
    <numFmt numFmtId="166" formatCode="0.0000"/>
  </numFmts>
  <fonts count="7" x14ac:knownFonts="1">
    <font>
      <sz val="10"/>
      <name val="Arial"/>
      <family val="2"/>
      <charset val="1"/>
    </font>
    <font>
      <sz val="11"/>
      <color theme="1"/>
      <name val="Calibri"/>
      <family val="2"/>
      <charset val="1"/>
    </font>
    <font>
      <i/>
      <sz val="10"/>
      <color rgb="FFC77DBB"/>
      <name val="Arial"/>
      <family val="2"/>
      <charset val="1"/>
    </font>
    <font>
      <b/>
      <sz val="10"/>
      <name val="Arial"/>
      <family val="2"/>
      <charset val="1"/>
    </font>
    <font>
      <b/>
      <sz val="16"/>
      <color theme="1"/>
      <name val="Calibri"/>
      <family val="2"/>
      <charset val="1"/>
    </font>
    <font>
      <b/>
      <sz val="11"/>
      <color theme="1"/>
      <name val="Arial"/>
      <family val="2"/>
      <charset val="1"/>
    </font>
    <font>
      <b/>
      <sz val="11"/>
      <color theme="1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rgb="FFC0C0C0"/>
      </patternFill>
    </fill>
    <fill>
      <patternFill patternType="solid">
        <fgColor theme="9" tint="0.59987182226020086"/>
        <bgColor rgb="FFFF8080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</borders>
  <cellStyleXfs count="2">
    <xf numFmtId="0" fontId="0" fillId="0" borderId="0"/>
    <xf numFmtId="0" fontId="1" fillId="0" borderId="0"/>
  </cellStyleXfs>
  <cellXfs count="33">
    <xf numFmtId="0" fontId="0" fillId="0" borderId="0" xfId="0"/>
    <xf numFmtId="0" fontId="0" fillId="0" borderId="0" xfId="0" applyAlignment="1" applyProtection="1"/>
    <xf numFmtId="0" fontId="2" fillId="0" borderId="0" xfId="0" applyFont="1"/>
    <xf numFmtId="164" fontId="0" fillId="0" borderId="0" xfId="0" applyNumberFormat="1" applyAlignment="1" applyProtection="1"/>
    <xf numFmtId="0" fontId="0" fillId="0" borderId="0" xfId="0" applyFont="1" applyAlignment="1" applyProtection="1">
      <alignment wrapText="1"/>
    </xf>
    <xf numFmtId="0" fontId="1" fillId="0" borderId="0" xfId="0" applyFont="1" applyAlignment="1" applyProtection="1"/>
    <xf numFmtId="0" fontId="3" fillId="2" borderId="1" xfId="0" applyFont="1" applyFill="1" applyBorder="1" applyAlignment="1" applyProtection="1"/>
    <xf numFmtId="0" fontId="0" fillId="0" borderId="1" xfId="0" applyBorder="1" applyAlignment="1" applyProtection="1"/>
    <xf numFmtId="165" fontId="0" fillId="0" borderId="1" xfId="0" applyNumberFormat="1" applyBorder="1" applyAlignment="1" applyProtection="1"/>
    <xf numFmtId="166" fontId="0" fillId="0" borderId="1" xfId="0" applyNumberFormat="1" applyBorder="1" applyAlignment="1" applyProtection="1"/>
    <xf numFmtId="165" fontId="0" fillId="0" borderId="0" xfId="0" applyNumberFormat="1" applyAlignment="1" applyProtection="1"/>
    <xf numFmtId="0" fontId="5" fillId="2" borderId="3" xfId="0" applyFont="1" applyFill="1" applyBorder="1" applyAlignment="1" applyProtection="1"/>
    <xf numFmtId="0" fontId="6" fillId="2" borderId="1" xfId="1" applyFont="1" applyFill="1" applyBorder="1" applyAlignment="1" applyProtection="1"/>
    <xf numFmtId="1" fontId="1" fillId="0" borderId="1" xfId="1" applyNumberFormat="1" applyFont="1" applyBorder="1" applyAlignment="1" applyProtection="1"/>
    <xf numFmtId="14" fontId="1" fillId="0" borderId="1" xfId="1" applyNumberFormat="1" applyFont="1" applyBorder="1" applyAlignment="1" applyProtection="1"/>
    <xf numFmtId="0" fontId="1" fillId="0" borderId="1" xfId="1" applyFont="1" applyBorder="1" applyAlignment="1" applyProtection="1"/>
    <xf numFmtId="40" fontId="0" fillId="0" borderId="1" xfId="0" applyNumberFormat="1" applyBorder="1" applyAlignment="1" applyProtection="1"/>
    <xf numFmtId="40" fontId="0" fillId="3" borderId="1" xfId="0" applyNumberFormat="1" applyFill="1" applyBorder="1" applyAlignment="1" applyProtection="1"/>
    <xf numFmtId="0" fontId="3" fillId="0" borderId="1" xfId="0" applyFont="1" applyBorder="1" applyAlignment="1" applyProtection="1"/>
    <xf numFmtId="14" fontId="0" fillId="0" borderId="1" xfId="0" applyNumberFormat="1" applyBorder="1" applyAlignment="1" applyProtection="1"/>
    <xf numFmtId="0" fontId="0" fillId="4" borderId="1" xfId="0" applyFill="1" applyBorder="1" applyAlignment="1" applyProtection="1"/>
    <xf numFmtId="165" fontId="0" fillId="4" borderId="1" xfId="0" applyNumberFormat="1" applyFill="1" applyBorder="1" applyAlignment="1" applyProtection="1"/>
    <xf numFmtId="166" fontId="0" fillId="4" borderId="1" xfId="0" applyNumberFormat="1" applyFill="1" applyBorder="1" applyAlignment="1" applyProtection="1"/>
    <xf numFmtId="0" fontId="3" fillId="0" borderId="1" xfId="0" applyFont="1" applyBorder="1" applyAlignment="1" applyProtection="1">
      <alignment horizontal="center"/>
    </xf>
    <xf numFmtId="0" fontId="3" fillId="0" borderId="2" xfId="0" applyFont="1" applyBorder="1" applyAlignment="1" applyProtection="1">
      <alignment horizontal="center"/>
    </xf>
    <xf numFmtId="0" fontId="4" fillId="2" borderId="2" xfId="1" applyFont="1" applyFill="1" applyBorder="1" applyAlignment="1" applyProtection="1">
      <alignment horizontal="center"/>
    </xf>
    <xf numFmtId="0" fontId="4" fillId="2" borderId="1" xfId="1" applyFont="1" applyFill="1" applyBorder="1" applyAlignment="1" applyProtection="1">
      <alignment horizontal="center"/>
    </xf>
    <xf numFmtId="0" fontId="5" fillId="3" borderId="1" xfId="0" applyFont="1" applyFill="1" applyBorder="1" applyAlignment="1" applyProtection="1"/>
    <xf numFmtId="0" fontId="3" fillId="0" borderId="4" xfId="0" applyFont="1" applyBorder="1" applyAlignment="1" applyProtection="1">
      <alignment horizontal="center" vertical="center"/>
    </xf>
    <xf numFmtId="0" fontId="1" fillId="0" borderId="0" xfId="0" applyFont="1" applyAlignment="1" applyProtection="1">
      <alignment wrapText="1"/>
    </xf>
    <xf numFmtId="166" fontId="0" fillId="0" borderId="0" xfId="0" applyNumberFormat="1" applyAlignment="1" applyProtection="1"/>
    <xf numFmtId="0" fontId="0" fillId="4" borderId="0" xfId="0" applyFill="1" applyAlignment="1" applyProtection="1"/>
    <xf numFmtId="2" fontId="0" fillId="0" borderId="0" xfId="1" applyNumberFormat="1" applyFont="1"/>
  </cellXfs>
  <cellStyles count="2">
    <cellStyle name="Normal" xfId="0" builtinId="0"/>
    <cellStyle name="Normal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19F9E"/>
      <rgbColor rgb="FFC77DBB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4"/>
  <sheetViews>
    <sheetView zoomScale="120" zoomScaleNormal="120" workbookViewId="0">
      <selection activeCell="K23" sqref="K23"/>
    </sheetView>
  </sheetViews>
  <sheetFormatPr defaultColWidth="11.5703125" defaultRowHeight="12.75" customHeight="1" x14ac:dyDescent="0.2"/>
  <cols>
    <col min="1" max="1" width="24.7109375" style="1" customWidth="1"/>
    <col min="2" max="2" width="20.140625" style="1" customWidth="1"/>
    <col min="3" max="3" width="42.7109375" style="1" customWidth="1"/>
    <col min="4" max="4" width="31.140625" style="1" customWidth="1"/>
  </cols>
  <sheetData>
    <row r="1" spans="1:3" ht="12.75" customHeight="1" x14ac:dyDescent="0.2">
      <c r="A1" s="1" t="s">
        <v>0</v>
      </c>
      <c r="B1" s="1" t="s">
        <v>1</v>
      </c>
      <c r="C1" s="1" t="s">
        <v>2</v>
      </c>
    </row>
    <row r="2" spans="1:3" ht="12.75" customHeight="1" x14ac:dyDescent="0.2">
      <c r="A2" s="1" t="s">
        <v>3</v>
      </c>
      <c r="B2" s="1" t="s">
        <v>4</v>
      </c>
      <c r="C2" s="1" t="s">
        <v>5</v>
      </c>
    </row>
    <row r="3" spans="1:3" ht="12.75" customHeight="1" x14ac:dyDescent="0.2">
      <c r="A3" s="2" t="s">
        <v>6</v>
      </c>
      <c r="B3" s="1" t="s">
        <v>7</v>
      </c>
      <c r="C3" s="1" t="s">
        <v>8</v>
      </c>
    </row>
    <row r="4" spans="1:3" ht="12.75" customHeight="1" x14ac:dyDescent="0.2">
      <c r="A4" s="1" t="s">
        <v>9</v>
      </c>
      <c r="B4" s="1" t="s">
        <v>4</v>
      </c>
      <c r="C4" s="1" t="s">
        <v>10</v>
      </c>
    </row>
    <row r="5" spans="1:3" ht="12.75" customHeight="1" x14ac:dyDescent="0.2">
      <c r="A5" s="1" t="s">
        <v>11</v>
      </c>
      <c r="B5" s="1" t="s">
        <v>7</v>
      </c>
      <c r="C5" s="1" t="s">
        <v>12</v>
      </c>
    </row>
    <row r="6" spans="1:3" ht="12.75" customHeight="1" x14ac:dyDescent="0.2">
      <c r="A6" s="1" t="s">
        <v>13</v>
      </c>
      <c r="B6" s="1" t="s">
        <v>4</v>
      </c>
      <c r="C6" s="1" t="s">
        <v>14</v>
      </c>
    </row>
    <row r="7" spans="1:3" ht="12.75" customHeight="1" x14ac:dyDescent="0.2">
      <c r="A7" s="1" t="s">
        <v>15</v>
      </c>
      <c r="B7" s="1" t="s">
        <v>16</v>
      </c>
      <c r="C7" s="3">
        <v>44592</v>
      </c>
    </row>
    <row r="8" spans="1:3" ht="12.75" customHeight="1" x14ac:dyDescent="0.2">
      <c r="A8" s="1" t="s">
        <v>13</v>
      </c>
      <c r="B8" s="1" t="s">
        <v>4</v>
      </c>
      <c r="C8" s="1" t="s">
        <v>17</v>
      </c>
    </row>
    <row r="9" spans="1:3" ht="12.75" customHeight="1" x14ac:dyDescent="0.2">
      <c r="A9" s="1" t="s">
        <v>15</v>
      </c>
      <c r="B9" s="1" t="s">
        <v>16</v>
      </c>
      <c r="C9" s="3">
        <v>44620</v>
      </c>
    </row>
    <row r="10" spans="1:3" ht="12.75" customHeight="1" x14ac:dyDescent="0.2">
      <c r="A10" s="1" t="s">
        <v>15</v>
      </c>
      <c r="B10" s="1" t="s">
        <v>16</v>
      </c>
      <c r="C10" s="3">
        <v>44651</v>
      </c>
    </row>
    <row r="11" spans="1:3" ht="12.75" customHeight="1" x14ac:dyDescent="0.2">
      <c r="A11" s="1" t="s">
        <v>13</v>
      </c>
      <c r="B11" s="1" t="s">
        <v>4</v>
      </c>
      <c r="C11" s="1" t="s">
        <v>18</v>
      </c>
    </row>
    <row r="12" spans="1:3" ht="12.75" customHeight="1" x14ac:dyDescent="0.2">
      <c r="A12" s="1" t="s">
        <v>15</v>
      </c>
      <c r="B12" s="1" t="s">
        <v>16</v>
      </c>
      <c r="C12" s="3">
        <v>44681</v>
      </c>
    </row>
    <row r="13" spans="1:3" ht="12.75" customHeight="1" x14ac:dyDescent="0.2">
      <c r="A13" s="1" t="s">
        <v>13</v>
      </c>
      <c r="B13" s="1" t="s">
        <v>4</v>
      </c>
      <c r="C13" s="1" t="s">
        <v>19</v>
      </c>
    </row>
    <row r="14" spans="1:3" ht="12.75" customHeight="1" x14ac:dyDescent="0.2">
      <c r="A14" s="1" t="s">
        <v>15</v>
      </c>
      <c r="B14" s="1" t="s">
        <v>16</v>
      </c>
      <c r="C14" s="3">
        <v>44712</v>
      </c>
    </row>
  </sheetData>
  <pageMargins left="0.78749999999999998" right="0.78749999999999998" top="1.05277777777778" bottom="1.05277777777778" header="0.78749999999999998" footer="0.78749999999999998"/>
  <pageSetup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82"/>
  <sheetViews>
    <sheetView zoomScale="120" zoomScaleNormal="120" workbookViewId="0">
      <selection activeCell="B1" sqref="B1"/>
    </sheetView>
  </sheetViews>
  <sheetFormatPr defaultColWidth="11.5703125" defaultRowHeight="12.75" customHeight="1" x14ac:dyDescent="0.2"/>
  <cols>
    <col min="1" max="7" width="21.7109375" style="1" customWidth="1"/>
    <col min="8" max="9" width="23.140625" style="1" customWidth="1"/>
  </cols>
  <sheetData>
    <row r="1" spans="1:10" ht="75" x14ac:dyDescent="0.25">
      <c r="A1" s="4" t="s">
        <v>20</v>
      </c>
      <c r="B1" s="29" t="s">
        <v>117</v>
      </c>
      <c r="G1" s="5"/>
    </row>
    <row r="2" spans="1:10" x14ac:dyDescent="0.2">
      <c r="A2" s="6" t="s">
        <v>21</v>
      </c>
      <c r="B2" s="6" t="s">
        <v>22</v>
      </c>
      <c r="C2" s="6" t="s">
        <v>23</v>
      </c>
      <c r="D2" s="6" t="s">
        <v>24</v>
      </c>
      <c r="E2" s="6" t="s">
        <v>25</v>
      </c>
      <c r="F2" s="6" t="s">
        <v>26</v>
      </c>
      <c r="G2" s="6" t="s">
        <v>27</v>
      </c>
      <c r="H2" s="6" t="s">
        <v>28</v>
      </c>
      <c r="I2" s="6" t="s">
        <v>29</v>
      </c>
      <c r="J2" s="6" t="s">
        <v>30</v>
      </c>
    </row>
    <row r="3" spans="1:10" x14ac:dyDescent="0.2">
      <c r="A3" s="7">
        <v>20220131</v>
      </c>
      <c r="B3" s="7">
        <v>0</v>
      </c>
      <c r="C3" s="7" t="s">
        <v>31</v>
      </c>
      <c r="D3" s="7" t="s">
        <v>32</v>
      </c>
      <c r="E3" s="7">
        <v>20220131</v>
      </c>
      <c r="F3" s="7" t="s">
        <v>33</v>
      </c>
      <c r="G3" s="8">
        <v>342.81800000000004</v>
      </c>
      <c r="H3" s="7">
        <v>202201</v>
      </c>
      <c r="I3" s="7">
        <v>202201</v>
      </c>
      <c r="J3" s="7">
        <v>0</v>
      </c>
    </row>
    <row r="4" spans="1:10" x14ac:dyDescent="0.2">
      <c r="A4" s="7">
        <v>20220131</v>
      </c>
      <c r="B4" s="7">
        <v>0</v>
      </c>
      <c r="C4" s="7" t="s">
        <v>31</v>
      </c>
      <c r="D4" s="7" t="s">
        <v>32</v>
      </c>
      <c r="E4" s="7">
        <v>20220131</v>
      </c>
      <c r="F4" s="7" t="s">
        <v>113</v>
      </c>
      <c r="G4" s="8">
        <v>685.63600000000008</v>
      </c>
      <c r="H4" s="7">
        <v>202201</v>
      </c>
      <c r="I4" s="7">
        <v>202201</v>
      </c>
      <c r="J4" s="7">
        <v>0</v>
      </c>
    </row>
    <row r="5" spans="1:10" x14ac:dyDescent="0.2">
      <c r="A5" s="20">
        <v>20220131</v>
      </c>
      <c r="B5" s="20">
        <v>0</v>
      </c>
      <c r="C5" s="20" t="s">
        <v>31</v>
      </c>
      <c r="D5" s="20" t="s">
        <v>32</v>
      </c>
      <c r="E5" s="20">
        <v>20220131</v>
      </c>
      <c r="F5" s="20" t="s">
        <v>114</v>
      </c>
      <c r="G5" s="21">
        <v>1028.4540000000002</v>
      </c>
      <c r="H5" s="20">
        <v>202201</v>
      </c>
      <c r="I5" s="20">
        <v>202201</v>
      </c>
      <c r="J5" s="20">
        <v>0</v>
      </c>
    </row>
    <row r="6" spans="1:10" x14ac:dyDescent="0.2">
      <c r="A6" s="7">
        <v>20220131</v>
      </c>
      <c r="B6" s="7">
        <v>0</v>
      </c>
      <c r="C6" s="7" t="s">
        <v>31</v>
      </c>
      <c r="D6" s="7" t="s">
        <v>32</v>
      </c>
      <c r="E6" s="7">
        <v>20220131</v>
      </c>
      <c r="F6" s="7" t="s">
        <v>115</v>
      </c>
      <c r="G6" s="8">
        <v>1371.2720000000002</v>
      </c>
      <c r="H6" s="7">
        <v>202201</v>
      </c>
      <c r="I6" s="7">
        <v>202201</v>
      </c>
      <c r="J6" s="7">
        <v>0</v>
      </c>
    </row>
    <row r="7" spans="1:10" x14ac:dyDescent="0.2">
      <c r="A7" s="20">
        <v>20220131</v>
      </c>
      <c r="B7" s="20">
        <v>0</v>
      </c>
      <c r="C7" s="20" t="s">
        <v>31</v>
      </c>
      <c r="D7" s="20" t="s">
        <v>32</v>
      </c>
      <c r="E7" s="20">
        <v>20220131</v>
      </c>
      <c r="F7" s="20" t="s">
        <v>116</v>
      </c>
      <c r="G7" s="21">
        <v>1714.0900000000001</v>
      </c>
      <c r="H7" s="20">
        <v>202201</v>
      </c>
      <c r="I7" s="20">
        <v>202201</v>
      </c>
      <c r="J7" s="20">
        <v>0</v>
      </c>
    </row>
    <row r="8" spans="1:10" x14ac:dyDescent="0.2">
      <c r="A8" s="7">
        <v>20220131</v>
      </c>
      <c r="B8" s="7">
        <v>2</v>
      </c>
      <c r="C8" s="7" t="s">
        <v>34</v>
      </c>
      <c r="D8" s="7" t="s">
        <v>32</v>
      </c>
      <c r="E8" s="7">
        <v>20220131</v>
      </c>
      <c r="F8" s="7" t="s">
        <v>33</v>
      </c>
      <c r="G8" s="8">
        <v>-47.593000000000004</v>
      </c>
      <c r="H8" s="7">
        <v>202201</v>
      </c>
      <c r="I8" s="7">
        <v>202201</v>
      </c>
      <c r="J8" s="7">
        <v>0</v>
      </c>
    </row>
    <row r="9" spans="1:10" x14ac:dyDescent="0.2">
      <c r="A9" s="7">
        <v>20220131</v>
      </c>
      <c r="B9" s="7">
        <v>2</v>
      </c>
      <c r="C9" s="7" t="s">
        <v>34</v>
      </c>
      <c r="D9" s="7" t="s">
        <v>32</v>
      </c>
      <c r="E9" s="7">
        <v>20220131</v>
      </c>
      <c r="F9" s="7" t="s">
        <v>113</v>
      </c>
      <c r="G9" s="8">
        <v>-95.186000000000007</v>
      </c>
      <c r="H9" s="7">
        <v>202201</v>
      </c>
      <c r="I9" s="7">
        <v>202201</v>
      </c>
      <c r="J9" s="7">
        <v>0</v>
      </c>
    </row>
    <row r="10" spans="1:10" x14ac:dyDescent="0.2">
      <c r="A10" s="20">
        <v>20220131</v>
      </c>
      <c r="B10" s="20">
        <v>2</v>
      </c>
      <c r="C10" s="20" t="s">
        <v>34</v>
      </c>
      <c r="D10" s="20" t="s">
        <v>32</v>
      </c>
      <c r="E10" s="20">
        <v>20220131</v>
      </c>
      <c r="F10" s="20" t="s">
        <v>114</v>
      </c>
      <c r="G10" s="21">
        <v>-142.779</v>
      </c>
      <c r="H10" s="20">
        <v>202201</v>
      </c>
      <c r="I10" s="20">
        <v>202201</v>
      </c>
      <c r="J10" s="20">
        <v>0</v>
      </c>
    </row>
    <row r="11" spans="1:10" x14ac:dyDescent="0.2">
      <c r="A11" s="7">
        <v>20220131</v>
      </c>
      <c r="B11" s="7">
        <v>2</v>
      </c>
      <c r="C11" s="7" t="s">
        <v>34</v>
      </c>
      <c r="D11" s="7" t="s">
        <v>32</v>
      </c>
      <c r="E11" s="7">
        <v>20220131</v>
      </c>
      <c r="F11" s="7" t="s">
        <v>115</v>
      </c>
      <c r="G11" s="8">
        <v>-190.37200000000001</v>
      </c>
      <c r="H11" s="7">
        <v>202201</v>
      </c>
      <c r="I11" s="7">
        <v>202201</v>
      </c>
      <c r="J11" s="7">
        <v>0</v>
      </c>
    </row>
    <row r="12" spans="1:10" x14ac:dyDescent="0.2">
      <c r="A12" s="20">
        <v>20220131</v>
      </c>
      <c r="B12" s="20">
        <v>2</v>
      </c>
      <c r="C12" s="20" t="s">
        <v>34</v>
      </c>
      <c r="D12" s="20" t="s">
        <v>32</v>
      </c>
      <c r="E12" s="20">
        <v>20220131</v>
      </c>
      <c r="F12" s="20" t="s">
        <v>116</v>
      </c>
      <c r="G12" s="21">
        <v>-237.96500000000003</v>
      </c>
      <c r="H12" s="20">
        <v>202201</v>
      </c>
      <c r="I12" s="20">
        <v>202201</v>
      </c>
      <c r="J12" s="20">
        <v>0</v>
      </c>
    </row>
    <row r="13" spans="1:10" x14ac:dyDescent="0.2">
      <c r="A13" s="7">
        <v>20220131</v>
      </c>
      <c r="B13" s="7">
        <v>3</v>
      </c>
      <c r="C13" s="7" t="s">
        <v>34</v>
      </c>
      <c r="D13" s="7" t="s">
        <v>32</v>
      </c>
      <c r="E13" s="7">
        <v>20220131</v>
      </c>
      <c r="F13" s="7" t="s">
        <v>33</v>
      </c>
      <c r="G13" s="8">
        <v>-271.42860000000002</v>
      </c>
      <c r="H13" s="7">
        <v>202201</v>
      </c>
      <c r="I13" s="7">
        <v>202201</v>
      </c>
      <c r="J13" s="7">
        <v>0</v>
      </c>
    </row>
    <row r="14" spans="1:10" x14ac:dyDescent="0.2">
      <c r="A14" s="7">
        <v>20220131</v>
      </c>
      <c r="B14" s="7">
        <v>3</v>
      </c>
      <c r="C14" s="7" t="s">
        <v>34</v>
      </c>
      <c r="D14" s="7" t="s">
        <v>32</v>
      </c>
      <c r="E14" s="7">
        <v>20220131</v>
      </c>
      <c r="F14" s="7" t="s">
        <v>113</v>
      </c>
      <c r="G14" s="8">
        <v>-542.85720000000003</v>
      </c>
      <c r="H14" s="7">
        <v>202201</v>
      </c>
      <c r="I14" s="7">
        <v>202201</v>
      </c>
      <c r="J14" s="7">
        <v>0</v>
      </c>
    </row>
    <row r="15" spans="1:10" x14ac:dyDescent="0.2">
      <c r="A15" s="20">
        <v>20220131</v>
      </c>
      <c r="B15" s="20">
        <v>3</v>
      </c>
      <c r="C15" s="20" t="s">
        <v>34</v>
      </c>
      <c r="D15" s="20" t="s">
        <v>32</v>
      </c>
      <c r="E15" s="20">
        <v>20220131</v>
      </c>
      <c r="F15" s="20" t="s">
        <v>114</v>
      </c>
      <c r="G15" s="21">
        <v>-814.28580000000011</v>
      </c>
      <c r="H15" s="20">
        <v>202201</v>
      </c>
      <c r="I15" s="20">
        <v>202201</v>
      </c>
      <c r="J15" s="20">
        <v>0</v>
      </c>
    </row>
    <row r="16" spans="1:10" x14ac:dyDescent="0.2">
      <c r="A16" s="7">
        <v>20220131</v>
      </c>
      <c r="B16" s="7">
        <v>3</v>
      </c>
      <c r="C16" s="7" t="s">
        <v>34</v>
      </c>
      <c r="D16" s="7" t="s">
        <v>32</v>
      </c>
      <c r="E16" s="7">
        <v>20220131</v>
      </c>
      <c r="F16" s="7" t="s">
        <v>115</v>
      </c>
      <c r="G16" s="8">
        <v>-1085.7144000000001</v>
      </c>
      <c r="H16" s="7">
        <v>202201</v>
      </c>
      <c r="I16" s="7">
        <v>202201</v>
      </c>
      <c r="J16" s="7">
        <v>0</v>
      </c>
    </row>
    <row r="17" spans="1:10" x14ac:dyDescent="0.2">
      <c r="A17" s="20">
        <v>20220131</v>
      </c>
      <c r="B17" s="20">
        <v>3</v>
      </c>
      <c r="C17" s="20" t="s">
        <v>34</v>
      </c>
      <c r="D17" s="20" t="s">
        <v>32</v>
      </c>
      <c r="E17" s="20">
        <v>20220131</v>
      </c>
      <c r="F17" s="20" t="s">
        <v>116</v>
      </c>
      <c r="G17" s="21">
        <v>-1357.143</v>
      </c>
      <c r="H17" s="20">
        <v>202201</v>
      </c>
      <c r="I17" s="20">
        <v>202201</v>
      </c>
      <c r="J17" s="20">
        <v>0</v>
      </c>
    </row>
    <row r="18" spans="1:10" x14ac:dyDescent="0.2">
      <c r="A18" s="7">
        <v>20220131</v>
      </c>
      <c r="B18" s="7">
        <v>4</v>
      </c>
      <c r="C18" s="7" t="s">
        <v>34</v>
      </c>
      <c r="D18" s="7" t="s">
        <v>32</v>
      </c>
      <c r="E18" s="7">
        <v>20220131</v>
      </c>
      <c r="F18" s="7" t="s">
        <v>33</v>
      </c>
      <c r="G18" s="8">
        <v>-23.796500000000002</v>
      </c>
      <c r="H18" s="7">
        <v>202201</v>
      </c>
      <c r="I18" s="7">
        <v>202201</v>
      </c>
      <c r="J18" s="7">
        <v>0</v>
      </c>
    </row>
    <row r="19" spans="1:10" ht="12.75" customHeight="1" x14ac:dyDescent="0.2">
      <c r="A19" s="7">
        <v>20220131</v>
      </c>
      <c r="B19" s="7">
        <v>4</v>
      </c>
      <c r="C19" s="7" t="s">
        <v>34</v>
      </c>
      <c r="D19" s="7" t="s">
        <v>32</v>
      </c>
      <c r="E19" s="7">
        <v>20220131</v>
      </c>
      <c r="F19" s="7" t="s">
        <v>113</v>
      </c>
      <c r="G19" s="8">
        <v>-47.593000000000004</v>
      </c>
      <c r="H19" s="7">
        <v>202201</v>
      </c>
      <c r="I19" s="7">
        <v>202201</v>
      </c>
      <c r="J19" s="7">
        <v>0</v>
      </c>
    </row>
    <row r="20" spans="1:10" ht="12.75" customHeight="1" x14ac:dyDescent="0.2">
      <c r="A20" s="20">
        <v>20220131</v>
      </c>
      <c r="B20" s="20">
        <v>4</v>
      </c>
      <c r="C20" s="20" t="s">
        <v>34</v>
      </c>
      <c r="D20" s="20" t="s">
        <v>32</v>
      </c>
      <c r="E20" s="20">
        <v>20220131</v>
      </c>
      <c r="F20" s="20" t="s">
        <v>114</v>
      </c>
      <c r="G20" s="21">
        <v>-71.389499999999998</v>
      </c>
      <c r="H20" s="20">
        <v>202201</v>
      </c>
      <c r="I20" s="20">
        <v>202201</v>
      </c>
      <c r="J20" s="20">
        <v>0</v>
      </c>
    </row>
    <row r="21" spans="1:10" ht="12.75" customHeight="1" x14ac:dyDescent="0.2">
      <c r="A21" s="7">
        <v>20220131</v>
      </c>
      <c r="B21" s="7">
        <v>4</v>
      </c>
      <c r="C21" s="7" t="s">
        <v>34</v>
      </c>
      <c r="D21" s="7" t="s">
        <v>32</v>
      </c>
      <c r="E21" s="7">
        <v>20220131</v>
      </c>
      <c r="F21" s="7" t="s">
        <v>115</v>
      </c>
      <c r="G21" s="8">
        <v>-95.186000000000007</v>
      </c>
      <c r="H21" s="7">
        <v>202201</v>
      </c>
      <c r="I21" s="7">
        <v>202201</v>
      </c>
      <c r="J21" s="7">
        <v>0</v>
      </c>
    </row>
    <row r="22" spans="1:10" ht="12.75" customHeight="1" x14ac:dyDescent="0.2">
      <c r="A22" s="20">
        <v>20220131</v>
      </c>
      <c r="B22" s="20">
        <v>4</v>
      </c>
      <c r="C22" s="20" t="s">
        <v>34</v>
      </c>
      <c r="D22" s="20" t="s">
        <v>32</v>
      </c>
      <c r="E22" s="20">
        <v>20220131</v>
      </c>
      <c r="F22" s="20" t="s">
        <v>116</v>
      </c>
      <c r="G22" s="21">
        <v>-118.98250000000002</v>
      </c>
      <c r="H22" s="20">
        <v>202201</v>
      </c>
      <c r="I22" s="20">
        <v>202201</v>
      </c>
      <c r="J22" s="20">
        <v>0</v>
      </c>
    </row>
    <row r="23" spans="1:10" ht="12.75" customHeight="1" x14ac:dyDescent="0.2">
      <c r="A23" s="7">
        <v>20220228</v>
      </c>
      <c r="B23" s="7">
        <v>0</v>
      </c>
      <c r="C23" s="7" t="s">
        <v>35</v>
      </c>
      <c r="D23" s="7" t="s">
        <v>36</v>
      </c>
      <c r="E23" s="7">
        <v>20220228</v>
      </c>
      <c r="F23" s="7" t="s">
        <v>33</v>
      </c>
      <c r="G23" s="8">
        <v>1900</v>
      </c>
      <c r="H23" s="7">
        <v>202202</v>
      </c>
      <c r="I23" s="7">
        <v>202202</v>
      </c>
      <c r="J23" s="7">
        <v>0</v>
      </c>
    </row>
    <row r="24" spans="1:10" ht="12.75" customHeight="1" x14ac:dyDescent="0.2">
      <c r="A24" s="7">
        <v>20220228</v>
      </c>
      <c r="B24" s="7">
        <v>0</v>
      </c>
      <c r="C24" s="7" t="s">
        <v>35</v>
      </c>
      <c r="D24" s="7" t="s">
        <v>36</v>
      </c>
      <c r="E24" s="7">
        <v>20220228</v>
      </c>
      <c r="F24" s="7" t="s">
        <v>113</v>
      </c>
      <c r="G24" s="8">
        <v>3800</v>
      </c>
      <c r="H24" s="7">
        <v>202202</v>
      </c>
      <c r="I24" s="7">
        <v>202202</v>
      </c>
      <c r="J24" s="7">
        <v>0</v>
      </c>
    </row>
    <row r="25" spans="1:10" ht="12.75" customHeight="1" x14ac:dyDescent="0.2">
      <c r="A25" s="20">
        <v>20220228</v>
      </c>
      <c r="B25" s="20">
        <v>0</v>
      </c>
      <c r="C25" s="20" t="s">
        <v>35</v>
      </c>
      <c r="D25" s="20" t="s">
        <v>36</v>
      </c>
      <c r="E25" s="20">
        <v>20220228</v>
      </c>
      <c r="F25" s="20" t="s">
        <v>114</v>
      </c>
      <c r="G25" s="21">
        <v>5700</v>
      </c>
      <c r="H25" s="20">
        <v>202202</v>
      </c>
      <c r="I25" s="20">
        <v>202202</v>
      </c>
      <c r="J25" s="20">
        <v>0</v>
      </c>
    </row>
    <row r="26" spans="1:10" ht="12.75" customHeight="1" x14ac:dyDescent="0.2">
      <c r="A26" s="7">
        <v>20220228</v>
      </c>
      <c r="B26" s="7">
        <v>0</v>
      </c>
      <c r="C26" s="7" t="s">
        <v>35</v>
      </c>
      <c r="D26" s="7" t="s">
        <v>36</v>
      </c>
      <c r="E26" s="7">
        <v>20220228</v>
      </c>
      <c r="F26" s="7" t="s">
        <v>115</v>
      </c>
      <c r="G26" s="8">
        <v>7600</v>
      </c>
      <c r="H26" s="7">
        <v>202202</v>
      </c>
      <c r="I26" s="7">
        <v>202202</v>
      </c>
      <c r="J26" s="7">
        <v>0</v>
      </c>
    </row>
    <row r="27" spans="1:10" ht="12.75" customHeight="1" x14ac:dyDescent="0.2">
      <c r="A27" s="20">
        <v>20220228</v>
      </c>
      <c r="B27" s="20">
        <v>0</v>
      </c>
      <c r="C27" s="20" t="s">
        <v>35</v>
      </c>
      <c r="D27" s="20" t="s">
        <v>36</v>
      </c>
      <c r="E27" s="20">
        <v>20220228</v>
      </c>
      <c r="F27" s="20" t="s">
        <v>116</v>
      </c>
      <c r="G27" s="21">
        <v>9500</v>
      </c>
      <c r="H27" s="20">
        <v>202202</v>
      </c>
      <c r="I27" s="20">
        <v>202202</v>
      </c>
      <c r="J27" s="20">
        <v>0</v>
      </c>
    </row>
    <row r="28" spans="1:10" ht="12.75" customHeight="1" x14ac:dyDescent="0.2">
      <c r="A28" s="7">
        <v>20220228</v>
      </c>
      <c r="B28" s="7">
        <v>0</v>
      </c>
      <c r="C28" s="7" t="s">
        <v>31</v>
      </c>
      <c r="D28" s="7" t="s">
        <v>32</v>
      </c>
      <c r="E28" s="7">
        <v>20220228</v>
      </c>
      <c r="F28" s="7" t="s">
        <v>33</v>
      </c>
      <c r="G28" s="8">
        <v>-342.81800000000004</v>
      </c>
      <c r="H28" s="7">
        <v>202202</v>
      </c>
      <c r="I28" s="7">
        <v>202202</v>
      </c>
      <c r="J28" s="7">
        <v>0</v>
      </c>
    </row>
    <row r="29" spans="1:10" ht="12.75" customHeight="1" x14ac:dyDescent="0.2">
      <c r="A29" s="7">
        <v>20220228</v>
      </c>
      <c r="B29" s="7">
        <v>0</v>
      </c>
      <c r="C29" s="7" t="s">
        <v>31</v>
      </c>
      <c r="D29" s="7" t="s">
        <v>32</v>
      </c>
      <c r="E29" s="7">
        <v>20220228</v>
      </c>
      <c r="F29" s="7" t="s">
        <v>113</v>
      </c>
      <c r="G29" s="8">
        <v>-685.63600000000008</v>
      </c>
      <c r="H29" s="7">
        <v>202202</v>
      </c>
      <c r="I29" s="7">
        <v>202202</v>
      </c>
      <c r="J29" s="7">
        <v>0</v>
      </c>
    </row>
    <row r="30" spans="1:10" ht="12.75" customHeight="1" x14ac:dyDescent="0.2">
      <c r="A30" s="20">
        <v>20220228</v>
      </c>
      <c r="B30" s="20">
        <v>0</v>
      </c>
      <c r="C30" s="20" t="s">
        <v>31</v>
      </c>
      <c r="D30" s="20" t="s">
        <v>32</v>
      </c>
      <c r="E30" s="20">
        <v>20220228</v>
      </c>
      <c r="F30" s="20" t="s">
        <v>114</v>
      </c>
      <c r="G30" s="21">
        <v>-1028.4540000000002</v>
      </c>
      <c r="H30" s="20">
        <v>202202</v>
      </c>
      <c r="I30" s="20">
        <v>202202</v>
      </c>
      <c r="J30" s="20">
        <v>0</v>
      </c>
    </row>
    <row r="31" spans="1:10" ht="12.75" customHeight="1" x14ac:dyDescent="0.2">
      <c r="A31" s="7">
        <v>20220228</v>
      </c>
      <c r="B31" s="7">
        <v>0</v>
      </c>
      <c r="C31" s="7" t="s">
        <v>31</v>
      </c>
      <c r="D31" s="7" t="s">
        <v>32</v>
      </c>
      <c r="E31" s="7">
        <v>20220228</v>
      </c>
      <c r="F31" s="7" t="s">
        <v>115</v>
      </c>
      <c r="G31" s="8">
        <v>-1371.2720000000002</v>
      </c>
      <c r="H31" s="7">
        <v>202202</v>
      </c>
      <c r="I31" s="7">
        <v>202202</v>
      </c>
      <c r="J31" s="7">
        <v>0</v>
      </c>
    </row>
    <row r="32" spans="1:10" ht="12.75" customHeight="1" x14ac:dyDescent="0.2">
      <c r="A32" s="20">
        <v>20220228</v>
      </c>
      <c r="B32" s="20">
        <v>0</v>
      </c>
      <c r="C32" s="20" t="s">
        <v>31</v>
      </c>
      <c r="D32" s="20" t="s">
        <v>32</v>
      </c>
      <c r="E32" s="20">
        <v>20220228</v>
      </c>
      <c r="F32" s="20" t="s">
        <v>116</v>
      </c>
      <c r="G32" s="21">
        <v>-1714.0900000000001</v>
      </c>
      <c r="H32" s="20">
        <v>202202</v>
      </c>
      <c r="I32" s="20">
        <v>202202</v>
      </c>
      <c r="J32" s="20">
        <v>0</v>
      </c>
    </row>
    <row r="33" spans="1:10" ht="12.75" customHeight="1" x14ac:dyDescent="0.2">
      <c r="A33" s="7">
        <v>20220228</v>
      </c>
      <c r="B33" s="7">
        <v>2</v>
      </c>
      <c r="C33" s="7" t="s">
        <v>34</v>
      </c>
      <c r="D33" s="7" t="s">
        <v>32</v>
      </c>
      <c r="E33" s="7">
        <v>20220228</v>
      </c>
      <c r="F33" s="7" t="s">
        <v>33</v>
      </c>
      <c r="G33" s="8">
        <v>-83.287599999999998</v>
      </c>
      <c r="H33" s="7">
        <v>202202</v>
      </c>
      <c r="I33" s="7">
        <v>202202</v>
      </c>
      <c r="J33" s="7">
        <v>0</v>
      </c>
    </row>
    <row r="34" spans="1:10" ht="12.75" customHeight="1" x14ac:dyDescent="0.2">
      <c r="A34" s="7">
        <v>20220228</v>
      </c>
      <c r="B34" s="7">
        <v>2</v>
      </c>
      <c r="C34" s="7" t="s">
        <v>34</v>
      </c>
      <c r="D34" s="7" t="s">
        <v>32</v>
      </c>
      <c r="E34" s="7">
        <v>20220228</v>
      </c>
      <c r="F34" s="7" t="s">
        <v>113</v>
      </c>
      <c r="G34" s="8">
        <v>-166.5752</v>
      </c>
      <c r="H34" s="7">
        <v>202202</v>
      </c>
      <c r="I34" s="7">
        <v>202202</v>
      </c>
      <c r="J34" s="7">
        <v>0</v>
      </c>
    </row>
    <row r="35" spans="1:10" ht="12.75" customHeight="1" x14ac:dyDescent="0.2">
      <c r="A35" s="20">
        <v>20220228</v>
      </c>
      <c r="B35" s="20">
        <v>2</v>
      </c>
      <c r="C35" s="20" t="s">
        <v>34</v>
      </c>
      <c r="D35" s="20" t="s">
        <v>32</v>
      </c>
      <c r="E35" s="20">
        <v>20220228</v>
      </c>
      <c r="F35" s="20" t="s">
        <v>114</v>
      </c>
      <c r="G35" s="21">
        <v>-249.86279999999999</v>
      </c>
      <c r="H35" s="20">
        <v>202202</v>
      </c>
      <c r="I35" s="20">
        <v>202202</v>
      </c>
      <c r="J35" s="20">
        <v>0</v>
      </c>
    </row>
    <row r="36" spans="1:10" ht="12.75" customHeight="1" x14ac:dyDescent="0.2">
      <c r="A36" s="7">
        <v>20220228</v>
      </c>
      <c r="B36" s="7">
        <v>2</v>
      </c>
      <c r="C36" s="7" t="s">
        <v>34</v>
      </c>
      <c r="D36" s="7" t="s">
        <v>32</v>
      </c>
      <c r="E36" s="7">
        <v>20220228</v>
      </c>
      <c r="F36" s="7" t="s">
        <v>115</v>
      </c>
      <c r="G36" s="8">
        <v>-333.15039999999999</v>
      </c>
      <c r="H36" s="7">
        <v>202202</v>
      </c>
      <c r="I36" s="7">
        <v>202202</v>
      </c>
      <c r="J36" s="7">
        <v>0</v>
      </c>
    </row>
    <row r="37" spans="1:10" ht="12.75" customHeight="1" x14ac:dyDescent="0.2">
      <c r="A37" s="20">
        <v>20220228</v>
      </c>
      <c r="B37" s="20">
        <v>2</v>
      </c>
      <c r="C37" s="20" t="s">
        <v>34</v>
      </c>
      <c r="D37" s="20" t="s">
        <v>32</v>
      </c>
      <c r="E37" s="20">
        <v>20220228</v>
      </c>
      <c r="F37" s="20" t="s">
        <v>116</v>
      </c>
      <c r="G37" s="21">
        <v>-416.43799999999999</v>
      </c>
      <c r="H37" s="20">
        <v>202202</v>
      </c>
      <c r="I37" s="20">
        <v>202202</v>
      </c>
      <c r="J37" s="20">
        <v>0</v>
      </c>
    </row>
    <row r="38" spans="1:10" ht="12.75" customHeight="1" x14ac:dyDescent="0.2">
      <c r="A38" s="7">
        <v>20220228</v>
      </c>
      <c r="B38" s="7">
        <v>4</v>
      </c>
      <c r="C38" s="7" t="s">
        <v>34</v>
      </c>
      <c r="D38" s="7" t="s">
        <v>32</v>
      </c>
      <c r="E38" s="7">
        <v>20220228</v>
      </c>
      <c r="F38" s="7" t="s">
        <v>33</v>
      </c>
      <c r="G38" s="8">
        <v>-41.643799999999999</v>
      </c>
      <c r="H38" s="7">
        <v>202202</v>
      </c>
      <c r="I38" s="7">
        <v>202202</v>
      </c>
      <c r="J38" s="7">
        <v>0</v>
      </c>
    </row>
    <row r="39" spans="1:10" ht="12.75" customHeight="1" x14ac:dyDescent="0.2">
      <c r="A39" s="7">
        <v>20220228</v>
      </c>
      <c r="B39" s="7">
        <v>4</v>
      </c>
      <c r="C39" s="7" t="s">
        <v>34</v>
      </c>
      <c r="D39" s="7" t="s">
        <v>32</v>
      </c>
      <c r="E39" s="7">
        <v>20220228</v>
      </c>
      <c r="F39" s="7" t="s">
        <v>113</v>
      </c>
      <c r="G39" s="8">
        <v>-83.287599999999998</v>
      </c>
      <c r="H39" s="7">
        <v>202202</v>
      </c>
      <c r="I39" s="7">
        <v>202202</v>
      </c>
      <c r="J39" s="7">
        <v>0</v>
      </c>
    </row>
    <row r="40" spans="1:10" ht="12.75" customHeight="1" x14ac:dyDescent="0.2">
      <c r="A40" s="20">
        <v>20220228</v>
      </c>
      <c r="B40" s="20">
        <v>4</v>
      </c>
      <c r="C40" s="20" t="s">
        <v>34</v>
      </c>
      <c r="D40" s="20" t="s">
        <v>32</v>
      </c>
      <c r="E40" s="20">
        <v>20220228</v>
      </c>
      <c r="F40" s="20" t="s">
        <v>114</v>
      </c>
      <c r="G40" s="21">
        <v>-124.9314</v>
      </c>
      <c r="H40" s="20">
        <v>202202</v>
      </c>
      <c r="I40" s="20">
        <v>202202</v>
      </c>
      <c r="J40" s="20">
        <v>0</v>
      </c>
    </row>
    <row r="41" spans="1:10" ht="12.75" customHeight="1" x14ac:dyDescent="0.2">
      <c r="A41" s="7">
        <v>20220228</v>
      </c>
      <c r="B41" s="7">
        <v>4</v>
      </c>
      <c r="C41" s="7" t="s">
        <v>34</v>
      </c>
      <c r="D41" s="7" t="s">
        <v>32</v>
      </c>
      <c r="E41" s="7">
        <v>20220228</v>
      </c>
      <c r="F41" s="7" t="s">
        <v>115</v>
      </c>
      <c r="G41" s="8">
        <v>-166.5752</v>
      </c>
      <c r="H41" s="7">
        <v>202202</v>
      </c>
      <c r="I41" s="7">
        <v>202202</v>
      </c>
      <c r="J41" s="7">
        <v>0</v>
      </c>
    </row>
    <row r="42" spans="1:10" ht="12.75" customHeight="1" x14ac:dyDescent="0.2">
      <c r="A42" s="20">
        <v>20220228</v>
      </c>
      <c r="B42" s="20">
        <v>4</v>
      </c>
      <c r="C42" s="20" t="s">
        <v>34</v>
      </c>
      <c r="D42" s="20" t="s">
        <v>32</v>
      </c>
      <c r="E42" s="20">
        <v>20220228</v>
      </c>
      <c r="F42" s="20" t="s">
        <v>116</v>
      </c>
      <c r="G42" s="21">
        <v>-208.21899999999999</v>
      </c>
      <c r="H42" s="20">
        <v>202202</v>
      </c>
      <c r="I42" s="20">
        <v>202202</v>
      </c>
      <c r="J42" s="20">
        <v>0</v>
      </c>
    </row>
    <row r="43" spans="1:10" ht="12.75" customHeight="1" x14ac:dyDescent="0.2">
      <c r="A43" s="7">
        <v>20220331</v>
      </c>
      <c r="B43" s="7">
        <v>2</v>
      </c>
      <c r="C43" s="7" t="s">
        <v>34</v>
      </c>
      <c r="D43" s="7" t="s">
        <v>32</v>
      </c>
      <c r="E43" s="7">
        <v>20220331</v>
      </c>
      <c r="F43" s="7" t="s">
        <v>33</v>
      </c>
      <c r="G43" s="8">
        <v>-92.211399999999998</v>
      </c>
      <c r="H43" s="7">
        <v>202203</v>
      </c>
      <c r="I43" s="7">
        <v>202203</v>
      </c>
      <c r="J43" s="7">
        <v>0</v>
      </c>
    </row>
    <row r="44" spans="1:10" ht="12.75" customHeight="1" x14ac:dyDescent="0.2">
      <c r="A44" s="7">
        <v>20220331</v>
      </c>
      <c r="B44" s="7">
        <v>2</v>
      </c>
      <c r="C44" s="7" t="s">
        <v>34</v>
      </c>
      <c r="D44" s="7" t="s">
        <v>32</v>
      </c>
      <c r="E44" s="7">
        <v>20220331</v>
      </c>
      <c r="F44" s="7" t="s">
        <v>113</v>
      </c>
      <c r="G44" s="8">
        <v>-184.4228</v>
      </c>
      <c r="H44" s="7">
        <v>202203</v>
      </c>
      <c r="I44" s="7">
        <v>202203</v>
      </c>
      <c r="J44" s="7">
        <v>0</v>
      </c>
    </row>
    <row r="45" spans="1:10" ht="12.75" customHeight="1" x14ac:dyDescent="0.2">
      <c r="A45" s="20">
        <v>20220331</v>
      </c>
      <c r="B45" s="20">
        <v>2</v>
      </c>
      <c r="C45" s="20" t="s">
        <v>34</v>
      </c>
      <c r="D45" s="20" t="s">
        <v>32</v>
      </c>
      <c r="E45" s="20">
        <v>20220331</v>
      </c>
      <c r="F45" s="20" t="s">
        <v>114</v>
      </c>
      <c r="G45" s="21">
        <v>-276.63419999999996</v>
      </c>
      <c r="H45" s="20">
        <v>202203</v>
      </c>
      <c r="I45" s="20">
        <v>202203</v>
      </c>
      <c r="J45" s="20">
        <v>0</v>
      </c>
    </row>
    <row r="46" spans="1:10" ht="12.75" customHeight="1" x14ac:dyDescent="0.2">
      <c r="A46" s="7">
        <v>20220331</v>
      </c>
      <c r="B46" s="7">
        <v>2</v>
      </c>
      <c r="C46" s="7" t="s">
        <v>34</v>
      </c>
      <c r="D46" s="7" t="s">
        <v>32</v>
      </c>
      <c r="E46" s="7">
        <v>20220331</v>
      </c>
      <c r="F46" s="7" t="s">
        <v>115</v>
      </c>
      <c r="G46" s="8">
        <v>-368.84559999999999</v>
      </c>
      <c r="H46" s="7">
        <v>202203</v>
      </c>
      <c r="I46" s="7">
        <v>202203</v>
      </c>
      <c r="J46" s="7">
        <v>0</v>
      </c>
    </row>
    <row r="47" spans="1:10" ht="12.75" customHeight="1" x14ac:dyDescent="0.2">
      <c r="A47" s="20">
        <v>20220331</v>
      </c>
      <c r="B47" s="20">
        <v>2</v>
      </c>
      <c r="C47" s="20" t="s">
        <v>34</v>
      </c>
      <c r="D47" s="20" t="s">
        <v>32</v>
      </c>
      <c r="E47" s="20">
        <v>20220331</v>
      </c>
      <c r="F47" s="20" t="s">
        <v>116</v>
      </c>
      <c r="G47" s="21">
        <v>-461.05700000000002</v>
      </c>
      <c r="H47" s="20">
        <v>202203</v>
      </c>
      <c r="I47" s="20">
        <v>202203</v>
      </c>
      <c r="J47" s="20">
        <v>0</v>
      </c>
    </row>
    <row r="48" spans="1:10" ht="12.75" customHeight="1" x14ac:dyDescent="0.2">
      <c r="A48" s="7">
        <v>20220331</v>
      </c>
      <c r="B48" s="7">
        <v>4</v>
      </c>
      <c r="C48" s="7" t="s">
        <v>34</v>
      </c>
      <c r="D48" s="7" t="s">
        <v>32</v>
      </c>
      <c r="E48" s="7">
        <v>20220331</v>
      </c>
      <c r="F48" s="7" t="s">
        <v>33</v>
      </c>
      <c r="G48" s="8">
        <v>-46.105699999999999</v>
      </c>
      <c r="H48" s="7">
        <v>202203</v>
      </c>
      <c r="I48" s="7">
        <v>202203</v>
      </c>
      <c r="J48" s="7">
        <v>0</v>
      </c>
    </row>
    <row r="49" spans="1:10" ht="12.75" customHeight="1" x14ac:dyDescent="0.2">
      <c r="A49" s="7">
        <v>20220331</v>
      </c>
      <c r="B49" s="7">
        <v>4</v>
      </c>
      <c r="C49" s="7" t="s">
        <v>34</v>
      </c>
      <c r="D49" s="7" t="s">
        <v>32</v>
      </c>
      <c r="E49" s="7">
        <v>20220331</v>
      </c>
      <c r="F49" s="7" t="s">
        <v>113</v>
      </c>
      <c r="G49" s="8">
        <v>-92.211399999999998</v>
      </c>
      <c r="H49" s="7">
        <v>202203</v>
      </c>
      <c r="I49" s="7">
        <v>202203</v>
      </c>
      <c r="J49" s="7">
        <v>0</v>
      </c>
    </row>
    <row r="50" spans="1:10" ht="12.75" customHeight="1" x14ac:dyDescent="0.2">
      <c r="A50" s="20">
        <v>20220331</v>
      </c>
      <c r="B50" s="20">
        <v>4</v>
      </c>
      <c r="C50" s="20" t="s">
        <v>34</v>
      </c>
      <c r="D50" s="20" t="s">
        <v>32</v>
      </c>
      <c r="E50" s="20">
        <v>20220331</v>
      </c>
      <c r="F50" s="20" t="s">
        <v>114</v>
      </c>
      <c r="G50" s="21">
        <v>-138.31709999999998</v>
      </c>
      <c r="H50" s="20">
        <v>202203</v>
      </c>
      <c r="I50" s="20">
        <v>202203</v>
      </c>
      <c r="J50" s="20">
        <v>0</v>
      </c>
    </row>
    <row r="51" spans="1:10" ht="12.75" customHeight="1" x14ac:dyDescent="0.2">
      <c r="A51" s="7">
        <v>20220331</v>
      </c>
      <c r="B51" s="7">
        <v>4</v>
      </c>
      <c r="C51" s="7" t="s">
        <v>34</v>
      </c>
      <c r="D51" s="7" t="s">
        <v>32</v>
      </c>
      <c r="E51" s="7">
        <v>20220331</v>
      </c>
      <c r="F51" s="7" t="s">
        <v>115</v>
      </c>
      <c r="G51" s="8">
        <v>-184.4228</v>
      </c>
      <c r="H51" s="7">
        <v>202203</v>
      </c>
      <c r="I51" s="7">
        <v>202203</v>
      </c>
      <c r="J51" s="7">
        <v>0</v>
      </c>
    </row>
    <row r="52" spans="1:10" ht="12.75" customHeight="1" x14ac:dyDescent="0.2">
      <c r="A52" s="20">
        <v>20220331</v>
      </c>
      <c r="B52" s="20">
        <v>4</v>
      </c>
      <c r="C52" s="20" t="s">
        <v>34</v>
      </c>
      <c r="D52" s="20" t="s">
        <v>32</v>
      </c>
      <c r="E52" s="20">
        <v>20220331</v>
      </c>
      <c r="F52" s="20" t="s">
        <v>116</v>
      </c>
      <c r="G52" s="21">
        <v>-230.52850000000001</v>
      </c>
      <c r="H52" s="20">
        <v>202203</v>
      </c>
      <c r="I52" s="20">
        <v>202203</v>
      </c>
      <c r="J52" s="20">
        <v>0</v>
      </c>
    </row>
    <row r="53" spans="1:10" ht="12.75" customHeight="1" x14ac:dyDescent="0.2">
      <c r="A53" s="7">
        <v>20220430</v>
      </c>
      <c r="B53" s="7">
        <v>2</v>
      </c>
      <c r="C53" s="7" t="s">
        <v>34</v>
      </c>
      <c r="D53" s="7" t="s">
        <v>32</v>
      </c>
      <c r="E53" s="7">
        <v>20220430</v>
      </c>
      <c r="F53" s="7" t="s">
        <v>33</v>
      </c>
      <c r="G53" s="8">
        <v>-96.542699999999996</v>
      </c>
      <c r="H53" s="7">
        <v>202204</v>
      </c>
      <c r="I53" s="7">
        <v>202204</v>
      </c>
      <c r="J53" s="7">
        <v>0</v>
      </c>
    </row>
    <row r="54" spans="1:10" ht="12.75" customHeight="1" x14ac:dyDescent="0.2">
      <c r="A54" s="7">
        <v>20220430</v>
      </c>
      <c r="B54" s="7">
        <v>2</v>
      </c>
      <c r="C54" s="7" t="s">
        <v>34</v>
      </c>
      <c r="D54" s="7" t="s">
        <v>32</v>
      </c>
      <c r="E54" s="7">
        <v>20220430</v>
      </c>
      <c r="F54" s="7" t="s">
        <v>113</v>
      </c>
      <c r="G54" s="8">
        <v>-193.08539999999999</v>
      </c>
      <c r="H54" s="7">
        <v>202204</v>
      </c>
      <c r="I54" s="7">
        <v>202204</v>
      </c>
      <c r="J54" s="7">
        <v>0</v>
      </c>
    </row>
    <row r="55" spans="1:10" ht="12.75" customHeight="1" x14ac:dyDescent="0.2">
      <c r="A55" s="20">
        <v>20220430</v>
      </c>
      <c r="B55" s="20">
        <v>2</v>
      </c>
      <c r="C55" s="20" t="s">
        <v>34</v>
      </c>
      <c r="D55" s="20" t="s">
        <v>32</v>
      </c>
      <c r="E55" s="20">
        <v>20220430</v>
      </c>
      <c r="F55" s="20" t="s">
        <v>114</v>
      </c>
      <c r="G55" s="21">
        <v>-289.62810000000002</v>
      </c>
      <c r="H55" s="20">
        <v>202204</v>
      </c>
      <c r="I55" s="20">
        <v>202204</v>
      </c>
      <c r="J55" s="20">
        <v>0</v>
      </c>
    </row>
    <row r="56" spans="1:10" ht="12.75" customHeight="1" x14ac:dyDescent="0.2">
      <c r="A56" s="7">
        <v>20220430</v>
      </c>
      <c r="B56" s="7">
        <v>2</v>
      </c>
      <c r="C56" s="7" t="s">
        <v>34</v>
      </c>
      <c r="D56" s="7" t="s">
        <v>32</v>
      </c>
      <c r="E56" s="7">
        <v>20220430</v>
      </c>
      <c r="F56" s="7" t="s">
        <v>115</v>
      </c>
      <c r="G56" s="8">
        <v>-386.17079999999999</v>
      </c>
      <c r="H56" s="7">
        <v>202204</v>
      </c>
      <c r="I56" s="7">
        <v>202204</v>
      </c>
      <c r="J56" s="7">
        <v>0</v>
      </c>
    </row>
    <row r="57" spans="1:10" ht="12.75" customHeight="1" x14ac:dyDescent="0.2">
      <c r="A57" s="20">
        <v>20220430</v>
      </c>
      <c r="B57" s="20">
        <v>2</v>
      </c>
      <c r="C57" s="20" t="s">
        <v>34</v>
      </c>
      <c r="D57" s="20" t="s">
        <v>32</v>
      </c>
      <c r="E57" s="20">
        <v>20220430</v>
      </c>
      <c r="F57" s="20" t="s">
        <v>116</v>
      </c>
      <c r="G57" s="21">
        <v>-482.71349999999995</v>
      </c>
      <c r="H57" s="20">
        <v>202204</v>
      </c>
      <c r="I57" s="20">
        <v>202204</v>
      </c>
      <c r="J57" s="20">
        <v>0</v>
      </c>
    </row>
    <row r="58" spans="1:10" ht="12.75" customHeight="1" x14ac:dyDescent="0.2">
      <c r="A58" s="7">
        <v>20220430</v>
      </c>
      <c r="B58" s="7">
        <v>3</v>
      </c>
      <c r="C58" s="7" t="s">
        <v>34</v>
      </c>
      <c r="D58" s="7" t="s">
        <v>32</v>
      </c>
      <c r="E58" s="7">
        <v>20220430</v>
      </c>
      <c r="F58" s="7" t="s">
        <v>33</v>
      </c>
      <c r="G58" s="8">
        <v>-6.3491999999999997</v>
      </c>
      <c r="H58" s="7">
        <v>202204</v>
      </c>
      <c r="I58" s="7">
        <v>202204</v>
      </c>
      <c r="J58" s="7">
        <v>0</v>
      </c>
    </row>
    <row r="59" spans="1:10" ht="12.75" customHeight="1" x14ac:dyDescent="0.2">
      <c r="A59" s="7">
        <v>20220430</v>
      </c>
      <c r="B59" s="7">
        <v>3</v>
      </c>
      <c r="C59" s="7" t="s">
        <v>34</v>
      </c>
      <c r="D59" s="7" t="s">
        <v>32</v>
      </c>
      <c r="E59" s="7">
        <v>20220430</v>
      </c>
      <c r="F59" s="7" t="s">
        <v>113</v>
      </c>
      <c r="G59" s="8">
        <v>-12.698399999999999</v>
      </c>
      <c r="H59" s="7">
        <v>202204</v>
      </c>
      <c r="I59" s="7">
        <v>202204</v>
      </c>
      <c r="J59" s="7">
        <v>0</v>
      </c>
    </row>
    <row r="60" spans="1:10" ht="12.75" customHeight="1" x14ac:dyDescent="0.2">
      <c r="A60" s="20">
        <v>20220430</v>
      </c>
      <c r="B60" s="20">
        <v>3</v>
      </c>
      <c r="C60" s="20" t="s">
        <v>34</v>
      </c>
      <c r="D60" s="20" t="s">
        <v>32</v>
      </c>
      <c r="E60" s="20">
        <v>20220430</v>
      </c>
      <c r="F60" s="20" t="s">
        <v>114</v>
      </c>
      <c r="G60" s="21">
        <v>-19.047599999999999</v>
      </c>
      <c r="H60" s="20">
        <v>202204</v>
      </c>
      <c r="I60" s="20">
        <v>202204</v>
      </c>
      <c r="J60" s="20">
        <v>0</v>
      </c>
    </row>
    <row r="61" spans="1:10" ht="12.75" customHeight="1" x14ac:dyDescent="0.2">
      <c r="A61" s="7">
        <v>20220430</v>
      </c>
      <c r="B61" s="7">
        <v>3</v>
      </c>
      <c r="C61" s="7" t="s">
        <v>34</v>
      </c>
      <c r="D61" s="7" t="s">
        <v>32</v>
      </c>
      <c r="E61" s="7">
        <v>20220430</v>
      </c>
      <c r="F61" s="7" t="s">
        <v>115</v>
      </c>
      <c r="G61" s="8">
        <v>-25.396799999999999</v>
      </c>
      <c r="H61" s="7">
        <v>202204</v>
      </c>
      <c r="I61" s="7">
        <v>202204</v>
      </c>
      <c r="J61" s="7">
        <v>0</v>
      </c>
    </row>
    <row r="62" spans="1:10" ht="12.75" customHeight="1" x14ac:dyDescent="0.2">
      <c r="A62" s="20">
        <v>20220430</v>
      </c>
      <c r="B62" s="20">
        <v>3</v>
      </c>
      <c r="C62" s="20" t="s">
        <v>34</v>
      </c>
      <c r="D62" s="20" t="s">
        <v>32</v>
      </c>
      <c r="E62" s="20">
        <v>20220430</v>
      </c>
      <c r="F62" s="20" t="s">
        <v>116</v>
      </c>
      <c r="G62" s="21">
        <v>-31.745999999999999</v>
      </c>
      <c r="H62" s="20">
        <v>202204</v>
      </c>
      <c r="I62" s="20">
        <v>202204</v>
      </c>
      <c r="J62" s="20">
        <v>0</v>
      </c>
    </row>
    <row r="63" spans="1:10" ht="12.75" customHeight="1" x14ac:dyDescent="0.2">
      <c r="A63" s="7">
        <v>20220430</v>
      </c>
      <c r="B63" s="7">
        <v>4</v>
      </c>
      <c r="C63" s="7" t="s">
        <v>34</v>
      </c>
      <c r="D63" s="7" t="s">
        <v>32</v>
      </c>
      <c r="E63" s="7">
        <v>20220430</v>
      </c>
      <c r="F63" s="7" t="s">
        <v>33</v>
      </c>
      <c r="G63" s="8">
        <v>-208.08869999999999</v>
      </c>
      <c r="H63" s="7">
        <v>202204</v>
      </c>
      <c r="I63" s="7">
        <v>202204</v>
      </c>
      <c r="J63" s="7">
        <v>0</v>
      </c>
    </row>
    <row r="64" spans="1:10" ht="12.75" customHeight="1" x14ac:dyDescent="0.2">
      <c r="A64" s="7">
        <v>20220430</v>
      </c>
      <c r="B64" s="7">
        <v>4</v>
      </c>
      <c r="C64" s="7" t="s">
        <v>34</v>
      </c>
      <c r="D64" s="7" t="s">
        <v>32</v>
      </c>
      <c r="E64" s="7">
        <v>20220430</v>
      </c>
      <c r="F64" s="7" t="s">
        <v>113</v>
      </c>
      <c r="G64" s="8">
        <v>-416.17739999999998</v>
      </c>
      <c r="H64" s="7">
        <v>202204</v>
      </c>
      <c r="I64" s="7">
        <v>202204</v>
      </c>
      <c r="J64" s="7">
        <v>0</v>
      </c>
    </row>
    <row r="65" spans="1:10" ht="12.75" customHeight="1" x14ac:dyDescent="0.2">
      <c r="A65" s="20">
        <v>20220430</v>
      </c>
      <c r="B65" s="20">
        <v>4</v>
      </c>
      <c r="C65" s="20" t="s">
        <v>34</v>
      </c>
      <c r="D65" s="20" t="s">
        <v>32</v>
      </c>
      <c r="E65" s="20">
        <v>20220430</v>
      </c>
      <c r="F65" s="20" t="s">
        <v>114</v>
      </c>
      <c r="G65" s="21">
        <v>-624.26609999999994</v>
      </c>
      <c r="H65" s="20">
        <v>202204</v>
      </c>
      <c r="I65" s="20">
        <v>202204</v>
      </c>
      <c r="J65" s="20">
        <v>0</v>
      </c>
    </row>
    <row r="66" spans="1:10" ht="12.75" customHeight="1" x14ac:dyDescent="0.2">
      <c r="A66" s="7">
        <v>20220430</v>
      </c>
      <c r="B66" s="7">
        <v>4</v>
      </c>
      <c r="C66" s="7" t="s">
        <v>34</v>
      </c>
      <c r="D66" s="7" t="s">
        <v>32</v>
      </c>
      <c r="E66" s="7">
        <v>20220430</v>
      </c>
      <c r="F66" s="7" t="s">
        <v>115</v>
      </c>
      <c r="G66" s="8">
        <v>-832.35479999999995</v>
      </c>
      <c r="H66" s="7">
        <v>202204</v>
      </c>
      <c r="I66" s="7">
        <v>202204</v>
      </c>
      <c r="J66" s="7">
        <v>0</v>
      </c>
    </row>
    <row r="67" spans="1:10" ht="12.75" customHeight="1" x14ac:dyDescent="0.2">
      <c r="A67" s="20">
        <v>20220430</v>
      </c>
      <c r="B67" s="20">
        <v>4</v>
      </c>
      <c r="C67" s="20" t="s">
        <v>34</v>
      </c>
      <c r="D67" s="20" t="s">
        <v>32</v>
      </c>
      <c r="E67" s="20">
        <v>20220430</v>
      </c>
      <c r="F67" s="20" t="s">
        <v>116</v>
      </c>
      <c r="G67" s="21">
        <v>-1040.4434999999999</v>
      </c>
      <c r="H67" s="20">
        <v>202204</v>
      </c>
      <c r="I67" s="20">
        <v>202204</v>
      </c>
      <c r="J67" s="20">
        <v>0</v>
      </c>
    </row>
    <row r="68" spans="1:10" ht="12.75" customHeight="1" x14ac:dyDescent="0.2">
      <c r="A68" s="7">
        <v>20220531</v>
      </c>
      <c r="B68" s="7">
        <v>0</v>
      </c>
      <c r="C68" s="7" t="s">
        <v>35</v>
      </c>
      <c r="D68" s="7" t="s">
        <v>36</v>
      </c>
      <c r="E68" s="7">
        <v>20220531</v>
      </c>
      <c r="F68" s="7" t="s">
        <v>33</v>
      </c>
      <c r="G68" s="9">
        <v>600</v>
      </c>
      <c r="H68" s="7">
        <v>202205</v>
      </c>
      <c r="I68" s="7">
        <v>202205</v>
      </c>
      <c r="J68" s="7">
        <v>0</v>
      </c>
    </row>
    <row r="69" spans="1:10" ht="12.75" customHeight="1" x14ac:dyDescent="0.2">
      <c r="A69" s="7">
        <v>20220531</v>
      </c>
      <c r="B69" s="7">
        <v>0</v>
      </c>
      <c r="C69" s="7" t="s">
        <v>35</v>
      </c>
      <c r="D69" s="7" t="s">
        <v>36</v>
      </c>
      <c r="E69" s="7">
        <v>20220531</v>
      </c>
      <c r="F69" s="7" t="s">
        <v>113</v>
      </c>
      <c r="G69" s="9">
        <v>1200</v>
      </c>
      <c r="H69" s="7">
        <v>202205</v>
      </c>
      <c r="I69" s="7">
        <v>202205</v>
      </c>
      <c r="J69" s="7">
        <v>0</v>
      </c>
    </row>
    <row r="70" spans="1:10" ht="12.75" customHeight="1" x14ac:dyDescent="0.2">
      <c r="A70" s="20">
        <v>20220531</v>
      </c>
      <c r="B70" s="20">
        <v>0</v>
      </c>
      <c r="C70" s="20" t="s">
        <v>35</v>
      </c>
      <c r="D70" s="20" t="s">
        <v>36</v>
      </c>
      <c r="E70" s="20">
        <v>20220531</v>
      </c>
      <c r="F70" s="20" t="s">
        <v>114</v>
      </c>
      <c r="G70" s="22">
        <v>1800</v>
      </c>
      <c r="H70" s="20">
        <v>202205</v>
      </c>
      <c r="I70" s="20">
        <v>202205</v>
      </c>
      <c r="J70" s="20">
        <v>0</v>
      </c>
    </row>
    <row r="71" spans="1:10" ht="12.75" customHeight="1" x14ac:dyDescent="0.2">
      <c r="A71" s="7">
        <v>20220531</v>
      </c>
      <c r="B71" s="7">
        <v>0</v>
      </c>
      <c r="C71" s="7" t="s">
        <v>35</v>
      </c>
      <c r="D71" s="7" t="s">
        <v>36</v>
      </c>
      <c r="E71" s="7">
        <v>20220531</v>
      </c>
      <c r="F71" s="7" t="s">
        <v>115</v>
      </c>
      <c r="G71" s="9">
        <v>2400</v>
      </c>
      <c r="H71" s="7">
        <v>202205</v>
      </c>
      <c r="I71" s="7">
        <v>202205</v>
      </c>
      <c r="J71" s="7">
        <v>0</v>
      </c>
    </row>
    <row r="72" spans="1:10" ht="12.75" customHeight="1" x14ac:dyDescent="0.2">
      <c r="A72" s="20">
        <v>20220531</v>
      </c>
      <c r="B72" s="20">
        <v>0</v>
      </c>
      <c r="C72" s="20" t="s">
        <v>35</v>
      </c>
      <c r="D72" s="20" t="s">
        <v>36</v>
      </c>
      <c r="E72" s="20">
        <v>20220531</v>
      </c>
      <c r="F72" s="20" t="s">
        <v>116</v>
      </c>
      <c r="G72" s="22">
        <v>3000</v>
      </c>
      <c r="H72" s="20">
        <v>202205</v>
      </c>
      <c r="I72" s="20">
        <v>202205</v>
      </c>
      <c r="J72" s="20">
        <v>0</v>
      </c>
    </row>
    <row r="73" spans="1:10" ht="12.75" customHeight="1" x14ac:dyDescent="0.2">
      <c r="A73" s="7">
        <v>20220531</v>
      </c>
      <c r="B73" s="7">
        <v>2</v>
      </c>
      <c r="C73" s="7" t="s">
        <v>34</v>
      </c>
      <c r="D73" s="7" t="s">
        <v>32</v>
      </c>
      <c r="E73" s="7">
        <v>20220531</v>
      </c>
      <c r="F73" s="7" t="s">
        <v>33</v>
      </c>
      <c r="G73" s="8">
        <v>-94.368300000000005</v>
      </c>
      <c r="H73" s="7">
        <v>202205</v>
      </c>
      <c r="I73" s="7">
        <v>202205</v>
      </c>
      <c r="J73" s="7">
        <v>0</v>
      </c>
    </row>
    <row r="74" spans="1:10" ht="12.75" customHeight="1" x14ac:dyDescent="0.2">
      <c r="A74" s="7">
        <v>20220531</v>
      </c>
      <c r="B74" s="7">
        <v>2</v>
      </c>
      <c r="C74" s="7" t="s">
        <v>34</v>
      </c>
      <c r="D74" s="7" t="s">
        <v>32</v>
      </c>
      <c r="E74" s="7">
        <v>20220531</v>
      </c>
      <c r="F74" s="7" t="s">
        <v>113</v>
      </c>
      <c r="G74" s="8">
        <v>-188.73660000000001</v>
      </c>
      <c r="H74" s="7">
        <v>202205</v>
      </c>
      <c r="I74" s="7">
        <v>202205</v>
      </c>
      <c r="J74" s="7">
        <v>0</v>
      </c>
    </row>
    <row r="75" spans="1:10" ht="12.75" customHeight="1" x14ac:dyDescent="0.2">
      <c r="A75" s="20">
        <v>20220531</v>
      </c>
      <c r="B75" s="20">
        <v>2</v>
      </c>
      <c r="C75" s="20" t="s">
        <v>34</v>
      </c>
      <c r="D75" s="20" t="s">
        <v>32</v>
      </c>
      <c r="E75" s="20">
        <v>20220531</v>
      </c>
      <c r="F75" s="20" t="s">
        <v>114</v>
      </c>
      <c r="G75" s="21">
        <v>-283.10490000000004</v>
      </c>
      <c r="H75" s="20">
        <v>202205</v>
      </c>
      <c r="I75" s="20">
        <v>202205</v>
      </c>
      <c r="J75" s="20">
        <v>0</v>
      </c>
    </row>
    <row r="76" spans="1:10" ht="12.75" customHeight="1" x14ac:dyDescent="0.2">
      <c r="A76" s="7">
        <v>20220531</v>
      </c>
      <c r="B76" s="7">
        <v>2</v>
      </c>
      <c r="C76" s="7" t="s">
        <v>34</v>
      </c>
      <c r="D76" s="7" t="s">
        <v>32</v>
      </c>
      <c r="E76" s="7">
        <v>20220531</v>
      </c>
      <c r="F76" s="7" t="s">
        <v>115</v>
      </c>
      <c r="G76" s="8">
        <v>-377.47320000000002</v>
      </c>
      <c r="H76" s="7">
        <v>202205</v>
      </c>
      <c r="I76" s="7">
        <v>202205</v>
      </c>
      <c r="J76" s="7">
        <v>0</v>
      </c>
    </row>
    <row r="77" spans="1:10" ht="12.75" customHeight="1" x14ac:dyDescent="0.2">
      <c r="A77" s="20">
        <v>20220531</v>
      </c>
      <c r="B77" s="20">
        <v>2</v>
      </c>
      <c r="C77" s="20" t="s">
        <v>34</v>
      </c>
      <c r="D77" s="20" t="s">
        <v>32</v>
      </c>
      <c r="E77" s="20">
        <v>20220531</v>
      </c>
      <c r="F77" s="20" t="s">
        <v>116</v>
      </c>
      <c r="G77" s="21">
        <v>-471.8415</v>
      </c>
      <c r="H77" s="20">
        <v>202205</v>
      </c>
      <c r="I77" s="20">
        <v>202205</v>
      </c>
      <c r="J77" s="20">
        <v>0</v>
      </c>
    </row>
    <row r="78" spans="1:10" ht="12.75" customHeight="1" x14ac:dyDescent="0.2">
      <c r="A78" s="7">
        <v>20220531</v>
      </c>
      <c r="B78" s="7">
        <v>4</v>
      </c>
      <c r="C78" s="7" t="s">
        <v>34</v>
      </c>
      <c r="D78" s="7" t="s">
        <v>32</v>
      </c>
      <c r="E78" s="7">
        <v>20220531</v>
      </c>
      <c r="F78" s="7" t="s">
        <v>33</v>
      </c>
      <c r="G78" s="8">
        <v>-94.368300000000005</v>
      </c>
      <c r="H78" s="7">
        <v>202205</v>
      </c>
      <c r="I78" s="7">
        <v>202205</v>
      </c>
      <c r="J78" s="7">
        <v>0</v>
      </c>
    </row>
    <row r="79" spans="1:10" ht="12.75" customHeight="1" x14ac:dyDescent="0.2">
      <c r="A79" s="7">
        <v>20220531</v>
      </c>
      <c r="B79" s="7">
        <v>4</v>
      </c>
      <c r="C79" s="7" t="s">
        <v>34</v>
      </c>
      <c r="D79" s="7" t="s">
        <v>32</v>
      </c>
      <c r="E79" s="7">
        <v>20220531</v>
      </c>
      <c r="F79" s="7" t="s">
        <v>113</v>
      </c>
      <c r="G79" s="8">
        <v>-188.73660000000001</v>
      </c>
      <c r="H79" s="7">
        <v>202205</v>
      </c>
      <c r="I79" s="7">
        <v>202205</v>
      </c>
      <c r="J79" s="7">
        <v>0</v>
      </c>
    </row>
    <row r="80" spans="1:10" ht="12.75" customHeight="1" x14ac:dyDescent="0.2">
      <c r="A80" s="20">
        <v>20220531</v>
      </c>
      <c r="B80" s="20">
        <v>4</v>
      </c>
      <c r="C80" s="20" t="s">
        <v>34</v>
      </c>
      <c r="D80" s="20" t="s">
        <v>32</v>
      </c>
      <c r="E80" s="20">
        <v>20220531</v>
      </c>
      <c r="F80" s="20" t="s">
        <v>114</v>
      </c>
      <c r="G80" s="21">
        <v>-283.10490000000004</v>
      </c>
      <c r="H80" s="20">
        <v>202205</v>
      </c>
      <c r="I80" s="20">
        <v>202205</v>
      </c>
      <c r="J80" s="20">
        <v>0</v>
      </c>
    </row>
    <row r="81" spans="1:10" ht="12.75" customHeight="1" x14ac:dyDescent="0.2">
      <c r="A81" s="7">
        <v>20220531</v>
      </c>
      <c r="B81" s="7">
        <v>4</v>
      </c>
      <c r="C81" s="7" t="s">
        <v>34</v>
      </c>
      <c r="D81" s="7" t="s">
        <v>32</v>
      </c>
      <c r="E81" s="7">
        <v>20220531</v>
      </c>
      <c r="F81" s="7" t="s">
        <v>115</v>
      </c>
      <c r="G81" s="8">
        <v>-377.47320000000002</v>
      </c>
      <c r="H81" s="7">
        <v>202205</v>
      </c>
      <c r="I81" s="7">
        <v>202205</v>
      </c>
      <c r="J81" s="7">
        <v>0</v>
      </c>
    </row>
    <row r="82" spans="1:10" ht="12.75" customHeight="1" x14ac:dyDescent="0.2">
      <c r="A82" s="20">
        <v>20220531</v>
      </c>
      <c r="B82" s="20">
        <v>4</v>
      </c>
      <c r="C82" s="20" t="s">
        <v>34</v>
      </c>
      <c r="D82" s="20" t="s">
        <v>32</v>
      </c>
      <c r="E82" s="20">
        <v>20220531</v>
      </c>
      <c r="F82" s="20" t="s">
        <v>116</v>
      </c>
      <c r="G82" s="21">
        <v>-471.8415</v>
      </c>
      <c r="H82" s="20">
        <v>202205</v>
      </c>
      <c r="I82" s="20">
        <v>202205</v>
      </c>
      <c r="J82" s="20">
        <v>0</v>
      </c>
    </row>
  </sheetData>
  <sortState xmlns:xlrd2="http://schemas.microsoft.com/office/spreadsheetml/2017/richdata2" ref="A3:J82">
    <sortCondition ref="A3:A82"/>
    <sortCondition ref="B3:B82"/>
    <sortCondition ref="C3:C82"/>
    <sortCondition ref="D3:D82"/>
    <sortCondition ref="E3:E82"/>
  </sortState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22"/>
  <sheetViews>
    <sheetView tabSelected="1" zoomScale="120" zoomScaleNormal="120" workbookViewId="0">
      <selection activeCell="G9" sqref="G9"/>
    </sheetView>
  </sheetViews>
  <sheetFormatPr defaultColWidth="11.5703125" defaultRowHeight="12.75" customHeight="1" x14ac:dyDescent="0.2"/>
  <cols>
    <col min="1" max="1" width="21.7109375" style="1" customWidth="1"/>
    <col min="2" max="2" width="26.140625" style="1" customWidth="1"/>
    <col min="3" max="3" width="21" style="1" customWidth="1"/>
    <col min="4" max="4" width="17.42578125" style="1" customWidth="1"/>
    <col min="5" max="5" width="21" style="1" customWidth="1"/>
    <col min="6" max="6" width="23.5703125" style="1" customWidth="1"/>
    <col min="7" max="7" width="21" style="1" customWidth="1"/>
  </cols>
  <sheetData>
    <row r="1" spans="1:7" ht="60" x14ac:dyDescent="0.25">
      <c r="A1" s="4" t="s">
        <v>37</v>
      </c>
      <c r="B1" s="29" t="s">
        <v>117</v>
      </c>
    </row>
    <row r="2" spans="1:7" ht="12.75" customHeight="1" x14ac:dyDescent="0.2">
      <c r="A2" s="1" t="s">
        <v>21</v>
      </c>
      <c r="B2" s="1" t="s">
        <v>22</v>
      </c>
      <c r="C2" s="1" t="s">
        <v>38</v>
      </c>
      <c r="D2" s="1" t="s">
        <v>118</v>
      </c>
      <c r="E2" s="1" t="s">
        <v>39</v>
      </c>
      <c r="F2" s="1" t="s">
        <v>40</v>
      </c>
      <c r="G2" s="1" t="s">
        <v>41</v>
      </c>
    </row>
    <row r="3" spans="1:7" ht="12.75" customHeight="1" x14ac:dyDescent="0.2">
      <c r="A3" s="1">
        <v>20220131</v>
      </c>
      <c r="B3" s="1">
        <v>0</v>
      </c>
      <c r="C3" s="1" t="s">
        <v>42</v>
      </c>
      <c r="D3" s="1" t="s">
        <v>33</v>
      </c>
      <c r="E3" s="1">
        <v>0</v>
      </c>
      <c r="F3" s="10">
        <v>342.81800000000004</v>
      </c>
      <c r="G3" s="1">
        <v>342.81800000000004</v>
      </c>
    </row>
    <row r="4" spans="1:7" ht="12.75" customHeight="1" x14ac:dyDescent="0.2">
      <c r="A4" s="1">
        <v>20220131</v>
      </c>
      <c r="B4" s="1">
        <v>0</v>
      </c>
      <c r="C4" s="1" t="s">
        <v>42</v>
      </c>
      <c r="D4" s="1" t="s">
        <v>113</v>
      </c>
      <c r="E4" s="1">
        <v>0</v>
      </c>
      <c r="F4" s="10">
        <v>685.63600000000008</v>
      </c>
      <c r="G4" s="1">
        <v>685.63600000000008</v>
      </c>
    </row>
    <row r="5" spans="1:7" ht="12.75" customHeight="1" x14ac:dyDescent="0.2">
      <c r="A5" s="1">
        <v>20220131</v>
      </c>
      <c r="B5" s="1">
        <v>0</v>
      </c>
      <c r="C5" s="1" t="s">
        <v>42</v>
      </c>
      <c r="D5" s="1" t="s">
        <v>114</v>
      </c>
      <c r="E5" s="1">
        <v>0</v>
      </c>
      <c r="F5" s="10">
        <v>1028.4540000000002</v>
      </c>
      <c r="G5" s="1">
        <v>1028.4540000000002</v>
      </c>
    </row>
    <row r="6" spans="1:7" ht="12.75" customHeight="1" x14ac:dyDescent="0.2">
      <c r="A6" s="1">
        <v>20220131</v>
      </c>
      <c r="B6" s="1">
        <v>0</v>
      </c>
      <c r="C6" s="1" t="s">
        <v>42</v>
      </c>
      <c r="D6" s="1" t="s">
        <v>115</v>
      </c>
      <c r="E6" s="1">
        <v>0</v>
      </c>
      <c r="F6" s="10">
        <v>1371.2720000000002</v>
      </c>
      <c r="G6" s="1">
        <v>1371.2720000000002</v>
      </c>
    </row>
    <row r="7" spans="1:7" ht="12.75" customHeight="1" x14ac:dyDescent="0.2">
      <c r="A7" s="1">
        <v>20220131</v>
      </c>
      <c r="B7" s="1">
        <v>0</v>
      </c>
      <c r="C7" s="1" t="s">
        <v>42</v>
      </c>
      <c r="D7" s="1" t="s">
        <v>116</v>
      </c>
      <c r="E7" s="1">
        <v>0</v>
      </c>
      <c r="F7" s="10">
        <v>1714.0900000000001</v>
      </c>
      <c r="G7" s="1">
        <v>1714.0900000000001</v>
      </c>
    </row>
    <row r="8" spans="1:7" ht="12.75" customHeight="1" x14ac:dyDescent="0.2">
      <c r="A8" s="1">
        <v>20220131</v>
      </c>
      <c r="B8" s="1">
        <v>0</v>
      </c>
      <c r="C8" s="1" t="s">
        <v>43</v>
      </c>
      <c r="D8" s="1" t="s">
        <v>33</v>
      </c>
      <c r="E8" s="1">
        <v>0</v>
      </c>
      <c r="F8" s="10">
        <v>342.81800000000004</v>
      </c>
      <c r="G8" s="1">
        <v>342.81800000000004</v>
      </c>
    </row>
    <row r="9" spans="1:7" ht="12.75" customHeight="1" x14ac:dyDescent="0.2">
      <c r="A9" s="1">
        <v>20220131</v>
      </c>
      <c r="B9" s="1">
        <v>0</v>
      </c>
      <c r="C9" s="1" t="s">
        <v>43</v>
      </c>
      <c r="D9" s="1" t="s">
        <v>113</v>
      </c>
      <c r="E9" s="1">
        <v>0</v>
      </c>
      <c r="F9" s="10">
        <v>685.63600000000008</v>
      </c>
      <c r="G9" s="1">
        <v>685.63600000000008</v>
      </c>
    </row>
    <row r="10" spans="1:7" ht="12.75" customHeight="1" x14ac:dyDescent="0.2">
      <c r="A10" s="1">
        <v>20220131</v>
      </c>
      <c r="B10" s="1">
        <v>0</v>
      </c>
      <c r="C10" s="1" t="s">
        <v>43</v>
      </c>
      <c r="D10" s="1" t="s">
        <v>114</v>
      </c>
      <c r="E10" s="1">
        <v>0</v>
      </c>
      <c r="F10" s="10">
        <v>1028.4540000000002</v>
      </c>
      <c r="G10" s="1">
        <v>1028.4540000000002</v>
      </c>
    </row>
    <row r="11" spans="1:7" ht="12.75" customHeight="1" x14ac:dyDescent="0.2">
      <c r="A11" s="1">
        <v>20220131</v>
      </c>
      <c r="B11" s="1">
        <v>0</v>
      </c>
      <c r="C11" s="1" t="s">
        <v>43</v>
      </c>
      <c r="D11" s="1" t="s">
        <v>115</v>
      </c>
      <c r="E11" s="1">
        <v>0</v>
      </c>
      <c r="F11" s="10">
        <v>1371.2720000000002</v>
      </c>
      <c r="G11" s="1">
        <v>1371.2720000000002</v>
      </c>
    </row>
    <row r="12" spans="1:7" ht="12.75" customHeight="1" x14ac:dyDescent="0.2">
      <c r="A12" s="1">
        <v>20220131</v>
      </c>
      <c r="B12" s="1">
        <v>0</v>
      </c>
      <c r="C12" s="1" t="s">
        <v>43</v>
      </c>
      <c r="D12" s="1" t="s">
        <v>116</v>
      </c>
      <c r="E12" s="1">
        <v>0</v>
      </c>
      <c r="F12" s="10">
        <v>1714.0900000000001</v>
      </c>
      <c r="G12" s="1">
        <v>1714.0900000000001</v>
      </c>
    </row>
    <row r="13" spans="1:7" ht="12.75" customHeight="1" x14ac:dyDescent="0.2">
      <c r="A13" s="1">
        <v>20220131</v>
      </c>
      <c r="B13" s="1">
        <v>2</v>
      </c>
      <c r="C13" s="1" t="s">
        <v>42</v>
      </c>
      <c r="D13" s="1" t="s">
        <v>33</v>
      </c>
      <c r="E13" s="1">
        <v>0</v>
      </c>
      <c r="F13" s="10">
        <v>-47.593000000000004</v>
      </c>
      <c r="G13" s="1">
        <v>-47.593000000000004</v>
      </c>
    </row>
    <row r="14" spans="1:7" ht="12.75" customHeight="1" x14ac:dyDescent="0.2">
      <c r="A14" s="1">
        <v>20220131</v>
      </c>
      <c r="B14" s="1">
        <v>2</v>
      </c>
      <c r="C14" s="1" t="s">
        <v>42</v>
      </c>
      <c r="D14" s="1" t="s">
        <v>113</v>
      </c>
      <c r="E14" s="1">
        <v>0</v>
      </c>
      <c r="F14" s="10">
        <v>-95.186000000000007</v>
      </c>
      <c r="G14" s="1">
        <v>-95.186000000000007</v>
      </c>
    </row>
    <row r="15" spans="1:7" ht="12.75" customHeight="1" x14ac:dyDescent="0.2">
      <c r="A15" s="1">
        <v>20220131</v>
      </c>
      <c r="B15" s="1">
        <v>2</v>
      </c>
      <c r="C15" s="1" t="s">
        <v>42</v>
      </c>
      <c r="D15" s="1" t="s">
        <v>114</v>
      </c>
      <c r="E15" s="1">
        <v>0</v>
      </c>
      <c r="F15" s="10">
        <v>-142.779</v>
      </c>
      <c r="G15" s="1">
        <v>-142.779</v>
      </c>
    </row>
    <row r="16" spans="1:7" ht="12.75" customHeight="1" x14ac:dyDescent="0.2">
      <c r="A16" s="1">
        <v>20220131</v>
      </c>
      <c r="B16" s="1">
        <v>2</v>
      </c>
      <c r="C16" s="1" t="s">
        <v>42</v>
      </c>
      <c r="D16" s="1" t="s">
        <v>115</v>
      </c>
      <c r="E16" s="1">
        <v>0</v>
      </c>
      <c r="F16" s="10">
        <v>-190.37200000000001</v>
      </c>
      <c r="G16" s="1">
        <v>-190.37200000000001</v>
      </c>
    </row>
    <row r="17" spans="1:7" ht="12.75" customHeight="1" x14ac:dyDescent="0.2">
      <c r="A17" s="1">
        <v>20220131</v>
      </c>
      <c r="B17" s="1">
        <v>2</v>
      </c>
      <c r="C17" s="1" t="s">
        <v>42</v>
      </c>
      <c r="D17" s="1" t="s">
        <v>116</v>
      </c>
      <c r="E17" s="1">
        <v>0</v>
      </c>
      <c r="F17" s="10">
        <v>-237.96500000000003</v>
      </c>
      <c r="G17" s="1">
        <v>-237.96500000000003</v>
      </c>
    </row>
    <row r="18" spans="1:7" ht="12.75" customHeight="1" x14ac:dyDescent="0.2">
      <c r="A18" s="1">
        <v>20220131</v>
      </c>
      <c r="B18" s="1">
        <v>2</v>
      </c>
      <c r="C18" s="1" t="s">
        <v>34</v>
      </c>
      <c r="D18" s="1" t="s">
        <v>33</v>
      </c>
      <c r="E18" s="1">
        <v>0</v>
      </c>
      <c r="F18" s="1">
        <v>-47.593000000000004</v>
      </c>
      <c r="G18" s="1">
        <v>-47.593000000000004</v>
      </c>
    </row>
    <row r="19" spans="1:7" ht="12.75" customHeight="1" x14ac:dyDescent="0.2">
      <c r="A19" s="1">
        <v>20220131</v>
      </c>
      <c r="B19" s="1">
        <v>2</v>
      </c>
      <c r="C19" s="1" t="s">
        <v>34</v>
      </c>
      <c r="D19" s="1" t="s">
        <v>113</v>
      </c>
      <c r="E19" s="1">
        <v>0</v>
      </c>
      <c r="F19" s="1">
        <v>-95.186000000000007</v>
      </c>
      <c r="G19" s="1">
        <v>-95.186000000000007</v>
      </c>
    </row>
    <row r="20" spans="1:7" ht="12.75" customHeight="1" x14ac:dyDescent="0.2">
      <c r="A20" s="1">
        <v>20220131</v>
      </c>
      <c r="B20" s="1">
        <v>2</v>
      </c>
      <c r="C20" s="1" t="s">
        <v>34</v>
      </c>
      <c r="D20" s="1" t="s">
        <v>114</v>
      </c>
      <c r="E20" s="1">
        <v>0</v>
      </c>
      <c r="F20" s="1">
        <v>-142.779</v>
      </c>
      <c r="G20" s="1">
        <v>-142.779</v>
      </c>
    </row>
    <row r="21" spans="1:7" ht="12.75" customHeight="1" x14ac:dyDescent="0.2">
      <c r="A21" s="1">
        <v>20220131</v>
      </c>
      <c r="B21" s="1">
        <v>2</v>
      </c>
      <c r="C21" s="1" t="s">
        <v>34</v>
      </c>
      <c r="D21" s="1" t="s">
        <v>115</v>
      </c>
      <c r="E21" s="1">
        <v>0</v>
      </c>
      <c r="F21" s="1">
        <v>-190.37200000000001</v>
      </c>
      <c r="G21" s="1">
        <v>-190.37200000000001</v>
      </c>
    </row>
    <row r="22" spans="1:7" ht="12.75" customHeight="1" x14ac:dyDescent="0.2">
      <c r="A22" s="1">
        <v>20220131</v>
      </c>
      <c r="B22" s="1">
        <v>2</v>
      </c>
      <c r="C22" s="1" t="s">
        <v>34</v>
      </c>
      <c r="D22" s="1" t="s">
        <v>116</v>
      </c>
      <c r="E22" s="1">
        <v>0</v>
      </c>
      <c r="F22" s="1">
        <v>-237.96500000000003</v>
      </c>
      <c r="G22" s="1">
        <v>-237.96500000000003</v>
      </c>
    </row>
    <row r="23" spans="1:7" ht="12.75" customHeight="1" x14ac:dyDescent="0.2">
      <c r="A23" s="1">
        <v>20220131</v>
      </c>
      <c r="B23" s="1">
        <v>3</v>
      </c>
      <c r="C23" s="1" t="s">
        <v>42</v>
      </c>
      <c r="D23" s="1" t="s">
        <v>33</v>
      </c>
      <c r="E23" s="1">
        <v>0</v>
      </c>
      <c r="F23" s="10">
        <v>-271.42860000000002</v>
      </c>
      <c r="G23" s="1">
        <v>-271.42860000000002</v>
      </c>
    </row>
    <row r="24" spans="1:7" ht="12.75" customHeight="1" x14ac:dyDescent="0.2">
      <c r="A24" s="1">
        <v>20220131</v>
      </c>
      <c r="B24" s="1">
        <v>3</v>
      </c>
      <c r="C24" s="1" t="s">
        <v>42</v>
      </c>
      <c r="D24" s="1" t="s">
        <v>113</v>
      </c>
      <c r="E24" s="1">
        <v>0</v>
      </c>
      <c r="F24" s="10">
        <v>-542.85720000000003</v>
      </c>
      <c r="G24" s="1">
        <v>-542.85720000000003</v>
      </c>
    </row>
    <row r="25" spans="1:7" ht="12.75" customHeight="1" x14ac:dyDescent="0.2">
      <c r="A25" s="1">
        <v>20220131</v>
      </c>
      <c r="B25" s="1">
        <v>3</v>
      </c>
      <c r="C25" s="1" t="s">
        <v>42</v>
      </c>
      <c r="D25" s="1" t="s">
        <v>114</v>
      </c>
      <c r="E25" s="1">
        <v>0</v>
      </c>
      <c r="F25" s="10">
        <v>-814.28580000000011</v>
      </c>
      <c r="G25" s="1">
        <v>-814.28580000000011</v>
      </c>
    </row>
    <row r="26" spans="1:7" ht="12.75" customHeight="1" x14ac:dyDescent="0.2">
      <c r="A26" s="1">
        <v>20220131</v>
      </c>
      <c r="B26" s="1">
        <v>3</v>
      </c>
      <c r="C26" s="1" t="s">
        <v>42</v>
      </c>
      <c r="D26" s="1" t="s">
        <v>115</v>
      </c>
      <c r="E26" s="1">
        <v>0</v>
      </c>
      <c r="F26" s="10">
        <v>-1085.7144000000001</v>
      </c>
      <c r="G26" s="1">
        <v>-1085.7144000000001</v>
      </c>
    </row>
    <row r="27" spans="1:7" ht="12.75" customHeight="1" x14ac:dyDescent="0.2">
      <c r="A27" s="1">
        <v>20220131</v>
      </c>
      <c r="B27" s="1">
        <v>3</v>
      </c>
      <c r="C27" s="1" t="s">
        <v>42</v>
      </c>
      <c r="D27" s="1" t="s">
        <v>116</v>
      </c>
      <c r="E27" s="1">
        <v>0</v>
      </c>
      <c r="F27" s="10">
        <v>-1357.143</v>
      </c>
      <c r="G27" s="1">
        <v>-1357.143</v>
      </c>
    </row>
    <row r="28" spans="1:7" ht="12.75" customHeight="1" x14ac:dyDescent="0.2">
      <c r="A28" s="1">
        <v>20220131</v>
      </c>
      <c r="B28" s="1">
        <v>3</v>
      </c>
      <c r="C28" s="1" t="s">
        <v>34</v>
      </c>
      <c r="D28" s="1" t="s">
        <v>33</v>
      </c>
      <c r="E28" s="1">
        <v>0</v>
      </c>
      <c r="F28" s="10">
        <v>-271.42860000000002</v>
      </c>
      <c r="G28" s="1">
        <v>-271.42860000000002</v>
      </c>
    </row>
    <row r="29" spans="1:7" ht="12.75" customHeight="1" x14ac:dyDescent="0.2">
      <c r="A29" s="1">
        <v>20220131</v>
      </c>
      <c r="B29" s="1">
        <v>3</v>
      </c>
      <c r="C29" s="1" t="s">
        <v>34</v>
      </c>
      <c r="D29" s="1" t="s">
        <v>113</v>
      </c>
      <c r="E29" s="1">
        <v>0</v>
      </c>
      <c r="F29" s="10">
        <v>-542.85720000000003</v>
      </c>
      <c r="G29" s="1">
        <v>-542.85720000000003</v>
      </c>
    </row>
    <row r="30" spans="1:7" ht="12.75" customHeight="1" x14ac:dyDescent="0.2">
      <c r="A30" s="1">
        <v>20220131</v>
      </c>
      <c r="B30" s="1">
        <v>3</v>
      </c>
      <c r="C30" s="1" t="s">
        <v>34</v>
      </c>
      <c r="D30" s="1" t="s">
        <v>114</v>
      </c>
      <c r="E30" s="1">
        <v>0</v>
      </c>
      <c r="F30" s="10">
        <v>-814.28580000000011</v>
      </c>
      <c r="G30" s="1">
        <v>-814.28580000000011</v>
      </c>
    </row>
    <row r="31" spans="1:7" ht="12.75" customHeight="1" x14ac:dyDescent="0.2">
      <c r="A31" s="1">
        <v>20220131</v>
      </c>
      <c r="B31" s="1">
        <v>3</v>
      </c>
      <c r="C31" s="1" t="s">
        <v>34</v>
      </c>
      <c r="D31" s="1" t="s">
        <v>115</v>
      </c>
      <c r="E31" s="1">
        <v>0</v>
      </c>
      <c r="F31" s="10">
        <v>-1085.7144000000001</v>
      </c>
      <c r="G31" s="1">
        <v>-1085.7144000000001</v>
      </c>
    </row>
    <row r="32" spans="1:7" ht="12.75" customHeight="1" x14ac:dyDescent="0.2">
      <c r="A32" s="1">
        <v>20220131</v>
      </c>
      <c r="B32" s="1">
        <v>3</v>
      </c>
      <c r="C32" s="1" t="s">
        <v>34</v>
      </c>
      <c r="D32" s="1" t="s">
        <v>116</v>
      </c>
      <c r="E32" s="1">
        <v>0</v>
      </c>
      <c r="F32" s="10">
        <v>-1357.143</v>
      </c>
      <c r="G32" s="1">
        <v>-1357.143</v>
      </c>
    </row>
    <row r="33" spans="1:7" ht="12.75" customHeight="1" x14ac:dyDescent="0.2">
      <c r="A33" s="1">
        <v>20220131</v>
      </c>
      <c r="B33" s="1">
        <v>4</v>
      </c>
      <c r="C33" s="1" t="s">
        <v>42</v>
      </c>
      <c r="D33" s="1" t="s">
        <v>33</v>
      </c>
      <c r="E33" s="1">
        <v>0</v>
      </c>
      <c r="F33" s="10">
        <v>-23.796500000000002</v>
      </c>
      <c r="G33" s="1">
        <v>-23.796500000000002</v>
      </c>
    </row>
    <row r="34" spans="1:7" ht="12.75" customHeight="1" x14ac:dyDescent="0.2">
      <c r="A34" s="1">
        <v>20220131</v>
      </c>
      <c r="B34" s="1">
        <v>4</v>
      </c>
      <c r="C34" s="1" t="s">
        <v>42</v>
      </c>
      <c r="D34" s="1" t="s">
        <v>113</v>
      </c>
      <c r="E34" s="1">
        <v>0</v>
      </c>
      <c r="F34" s="10">
        <v>-47.593000000000004</v>
      </c>
      <c r="G34" s="1">
        <v>-47.593000000000004</v>
      </c>
    </row>
    <row r="35" spans="1:7" ht="12.75" customHeight="1" x14ac:dyDescent="0.2">
      <c r="A35" s="1">
        <v>20220131</v>
      </c>
      <c r="B35" s="1">
        <v>4</v>
      </c>
      <c r="C35" s="1" t="s">
        <v>42</v>
      </c>
      <c r="D35" s="1" t="s">
        <v>114</v>
      </c>
      <c r="E35" s="1">
        <v>0</v>
      </c>
      <c r="F35" s="10">
        <v>-71.389499999999998</v>
      </c>
      <c r="G35" s="1">
        <v>-71.389499999999998</v>
      </c>
    </row>
    <row r="36" spans="1:7" ht="12.75" customHeight="1" x14ac:dyDescent="0.2">
      <c r="A36" s="1">
        <v>20220131</v>
      </c>
      <c r="B36" s="1">
        <v>4</v>
      </c>
      <c r="C36" s="1" t="s">
        <v>42</v>
      </c>
      <c r="D36" s="1" t="s">
        <v>115</v>
      </c>
      <c r="E36" s="1">
        <v>0</v>
      </c>
      <c r="F36" s="10">
        <v>-95.186000000000007</v>
      </c>
      <c r="G36" s="1">
        <v>-95.186000000000007</v>
      </c>
    </row>
    <row r="37" spans="1:7" ht="12.75" customHeight="1" x14ac:dyDescent="0.2">
      <c r="A37" s="1">
        <v>20220131</v>
      </c>
      <c r="B37" s="1">
        <v>4</v>
      </c>
      <c r="C37" s="1" t="s">
        <v>42</v>
      </c>
      <c r="D37" s="1" t="s">
        <v>116</v>
      </c>
      <c r="E37" s="1">
        <v>0</v>
      </c>
      <c r="F37" s="10">
        <v>-118.98250000000002</v>
      </c>
      <c r="G37" s="1">
        <v>-118.98250000000002</v>
      </c>
    </row>
    <row r="38" spans="1:7" ht="12.75" customHeight="1" x14ac:dyDescent="0.2">
      <c r="A38" s="1">
        <v>20220131</v>
      </c>
      <c r="B38" s="1">
        <v>4</v>
      </c>
      <c r="C38" s="1" t="s">
        <v>34</v>
      </c>
      <c r="D38" s="1" t="s">
        <v>33</v>
      </c>
      <c r="E38" s="1">
        <v>0</v>
      </c>
      <c r="F38" s="10">
        <v>-23.796500000000002</v>
      </c>
      <c r="G38" s="1">
        <v>-23.796500000000002</v>
      </c>
    </row>
    <row r="39" spans="1:7" ht="12.75" customHeight="1" x14ac:dyDescent="0.2">
      <c r="A39" s="1">
        <v>20220131</v>
      </c>
      <c r="B39" s="1">
        <v>4</v>
      </c>
      <c r="C39" s="1" t="s">
        <v>34</v>
      </c>
      <c r="D39" s="1" t="s">
        <v>113</v>
      </c>
      <c r="E39" s="1">
        <v>0</v>
      </c>
      <c r="F39" s="10">
        <v>-47.593000000000004</v>
      </c>
      <c r="G39" s="1">
        <v>-47.593000000000004</v>
      </c>
    </row>
    <row r="40" spans="1:7" ht="12.75" customHeight="1" x14ac:dyDescent="0.2">
      <c r="A40" s="1">
        <v>20220131</v>
      </c>
      <c r="B40" s="1">
        <v>4</v>
      </c>
      <c r="C40" s="1" t="s">
        <v>34</v>
      </c>
      <c r="D40" s="1" t="s">
        <v>114</v>
      </c>
      <c r="E40" s="1">
        <v>0</v>
      </c>
      <c r="F40" s="10">
        <v>-71.389499999999998</v>
      </c>
      <c r="G40" s="1">
        <v>-71.389499999999998</v>
      </c>
    </row>
    <row r="41" spans="1:7" ht="12.75" customHeight="1" x14ac:dyDescent="0.2">
      <c r="A41" s="1">
        <v>20220131</v>
      </c>
      <c r="B41" s="1">
        <v>4</v>
      </c>
      <c r="C41" s="1" t="s">
        <v>34</v>
      </c>
      <c r="D41" s="1" t="s">
        <v>115</v>
      </c>
      <c r="E41" s="1">
        <v>0</v>
      </c>
      <c r="F41" s="10">
        <v>-95.186000000000007</v>
      </c>
      <c r="G41" s="1">
        <v>-95.186000000000007</v>
      </c>
    </row>
    <row r="42" spans="1:7" ht="12.75" customHeight="1" x14ac:dyDescent="0.2">
      <c r="A42" s="1">
        <v>20220131</v>
      </c>
      <c r="B42" s="1">
        <v>4</v>
      </c>
      <c r="C42" s="1" t="s">
        <v>34</v>
      </c>
      <c r="D42" s="1" t="s">
        <v>116</v>
      </c>
      <c r="E42" s="1">
        <v>0</v>
      </c>
      <c r="F42" s="10">
        <v>-118.98250000000002</v>
      </c>
      <c r="G42" s="1">
        <v>-118.98250000000002</v>
      </c>
    </row>
    <row r="43" spans="1:7" ht="12.75" customHeight="1" x14ac:dyDescent="0.2">
      <c r="A43" s="1">
        <v>20220228</v>
      </c>
      <c r="B43" s="1">
        <v>0</v>
      </c>
      <c r="C43" s="1" t="s">
        <v>44</v>
      </c>
      <c r="D43" s="1" t="s">
        <v>33</v>
      </c>
      <c r="E43" s="1">
        <v>0</v>
      </c>
      <c r="F43" s="10">
        <v>1900</v>
      </c>
      <c r="G43" s="1">
        <v>1900</v>
      </c>
    </row>
    <row r="44" spans="1:7" ht="12.75" customHeight="1" x14ac:dyDescent="0.2">
      <c r="A44" s="1">
        <v>20220228</v>
      </c>
      <c r="B44" s="1">
        <v>0</v>
      </c>
      <c r="C44" s="1" t="s">
        <v>44</v>
      </c>
      <c r="D44" s="1" t="s">
        <v>113</v>
      </c>
      <c r="E44" s="1">
        <v>0</v>
      </c>
      <c r="F44" s="10">
        <v>3800</v>
      </c>
      <c r="G44" s="1">
        <v>3800</v>
      </c>
    </row>
    <row r="45" spans="1:7" ht="12.75" customHeight="1" x14ac:dyDescent="0.2">
      <c r="A45" s="1">
        <v>20220228</v>
      </c>
      <c r="B45" s="1">
        <v>0</v>
      </c>
      <c r="C45" s="1" t="s">
        <v>44</v>
      </c>
      <c r="D45" s="1" t="s">
        <v>114</v>
      </c>
      <c r="E45" s="1">
        <v>0</v>
      </c>
      <c r="F45" s="10">
        <v>5700</v>
      </c>
      <c r="G45" s="1">
        <v>5700</v>
      </c>
    </row>
    <row r="46" spans="1:7" ht="12.75" customHeight="1" x14ac:dyDescent="0.2">
      <c r="A46" s="1">
        <v>20220228</v>
      </c>
      <c r="B46" s="1">
        <v>0</v>
      </c>
      <c r="C46" s="1" t="s">
        <v>44</v>
      </c>
      <c r="D46" s="1" t="s">
        <v>115</v>
      </c>
      <c r="E46" s="1">
        <v>0</v>
      </c>
      <c r="F46" s="10">
        <v>7600</v>
      </c>
      <c r="G46" s="1">
        <v>7600</v>
      </c>
    </row>
    <row r="47" spans="1:7" ht="12.75" customHeight="1" x14ac:dyDescent="0.2">
      <c r="A47" s="1">
        <v>20220228</v>
      </c>
      <c r="B47" s="1">
        <v>0</v>
      </c>
      <c r="C47" s="1" t="s">
        <v>44</v>
      </c>
      <c r="D47" s="1" t="s">
        <v>116</v>
      </c>
      <c r="E47" s="1">
        <v>0</v>
      </c>
      <c r="F47" s="10">
        <v>9500</v>
      </c>
      <c r="G47" s="1">
        <v>9500</v>
      </c>
    </row>
    <row r="48" spans="1:7" ht="12.75" customHeight="1" x14ac:dyDescent="0.2">
      <c r="A48" s="1">
        <v>20220228</v>
      </c>
      <c r="B48" s="1">
        <v>0</v>
      </c>
      <c r="C48" s="1" t="s">
        <v>42</v>
      </c>
      <c r="D48" s="1" t="s">
        <v>33</v>
      </c>
      <c r="E48" s="1">
        <v>342.81799999999998</v>
      </c>
      <c r="F48" s="1">
        <v>1557.182</v>
      </c>
      <c r="G48" s="1">
        <v>1900</v>
      </c>
    </row>
    <row r="49" spans="1:7" ht="12.75" customHeight="1" x14ac:dyDescent="0.2">
      <c r="A49" s="1">
        <v>20220228</v>
      </c>
      <c r="B49" s="1">
        <v>0</v>
      </c>
      <c r="C49" s="1" t="s">
        <v>42</v>
      </c>
      <c r="D49" s="1" t="s">
        <v>113</v>
      </c>
      <c r="E49" s="1">
        <v>685.63599999999997</v>
      </c>
      <c r="F49" s="1">
        <v>3114.364</v>
      </c>
      <c r="G49" s="1">
        <v>3800</v>
      </c>
    </row>
    <row r="50" spans="1:7" ht="12.75" customHeight="1" x14ac:dyDescent="0.2">
      <c r="A50" s="1">
        <v>20220228</v>
      </c>
      <c r="B50" s="1">
        <v>0</v>
      </c>
      <c r="C50" s="1" t="s">
        <v>42</v>
      </c>
      <c r="D50" s="1" t="s">
        <v>114</v>
      </c>
      <c r="E50" s="1">
        <v>1028.454</v>
      </c>
      <c r="F50" s="1">
        <v>4671.5460000000003</v>
      </c>
      <c r="G50" s="1">
        <v>5700</v>
      </c>
    </row>
    <row r="51" spans="1:7" ht="12.75" customHeight="1" x14ac:dyDescent="0.2">
      <c r="A51" s="1">
        <v>20220228</v>
      </c>
      <c r="B51" s="1">
        <v>0</v>
      </c>
      <c r="C51" s="1" t="s">
        <v>42</v>
      </c>
      <c r="D51" s="1" t="s">
        <v>115</v>
      </c>
      <c r="E51" s="1">
        <v>1371.2719999999999</v>
      </c>
      <c r="F51" s="1">
        <v>6228.7280000000001</v>
      </c>
      <c r="G51" s="1">
        <v>7600</v>
      </c>
    </row>
    <row r="52" spans="1:7" ht="12.75" customHeight="1" x14ac:dyDescent="0.2">
      <c r="A52" s="1">
        <v>20220228</v>
      </c>
      <c r="B52" s="1">
        <v>0</v>
      </c>
      <c r="C52" s="1" t="s">
        <v>42</v>
      </c>
      <c r="D52" s="1" t="s">
        <v>116</v>
      </c>
      <c r="E52" s="1">
        <v>1714.09</v>
      </c>
      <c r="F52" s="1">
        <v>7785.91</v>
      </c>
      <c r="G52" s="1">
        <v>9500</v>
      </c>
    </row>
    <row r="53" spans="1:7" ht="12.75" customHeight="1" x14ac:dyDescent="0.2">
      <c r="A53" s="1">
        <v>20220228</v>
      </c>
      <c r="B53" s="1">
        <v>0</v>
      </c>
      <c r="C53" s="1" t="s">
        <v>43</v>
      </c>
      <c r="D53" s="1" t="s">
        <v>33</v>
      </c>
      <c r="E53" s="1">
        <v>342.81799999999998</v>
      </c>
      <c r="F53" s="1">
        <v>-342.81799999999998</v>
      </c>
      <c r="G53" s="1">
        <v>0</v>
      </c>
    </row>
    <row r="54" spans="1:7" ht="12.75" customHeight="1" x14ac:dyDescent="0.2">
      <c r="A54" s="1">
        <v>20220228</v>
      </c>
      <c r="B54" s="1">
        <v>0</v>
      </c>
      <c r="C54" s="1" t="s">
        <v>43</v>
      </c>
      <c r="D54" s="1" t="s">
        <v>113</v>
      </c>
      <c r="E54" s="1">
        <v>685.63599999999997</v>
      </c>
      <c r="F54" s="1">
        <v>-685.63599999999997</v>
      </c>
      <c r="G54" s="1">
        <v>0</v>
      </c>
    </row>
    <row r="55" spans="1:7" ht="12.75" customHeight="1" x14ac:dyDescent="0.2">
      <c r="A55" s="1">
        <v>20220228</v>
      </c>
      <c r="B55" s="1">
        <v>0</v>
      </c>
      <c r="C55" s="1" t="s">
        <v>43</v>
      </c>
      <c r="D55" s="1" t="s">
        <v>114</v>
      </c>
      <c r="E55" s="1">
        <v>1028.454</v>
      </c>
      <c r="F55" s="1">
        <v>-1028.454</v>
      </c>
      <c r="G55" s="1">
        <v>0</v>
      </c>
    </row>
    <row r="56" spans="1:7" ht="12.75" customHeight="1" x14ac:dyDescent="0.2">
      <c r="A56" s="1">
        <v>20220228</v>
      </c>
      <c r="B56" s="1">
        <v>0</v>
      </c>
      <c r="C56" s="1" t="s">
        <v>43</v>
      </c>
      <c r="D56" s="1" t="s">
        <v>115</v>
      </c>
      <c r="E56" s="1">
        <v>1371.2719999999999</v>
      </c>
      <c r="F56" s="1">
        <v>-1371.2719999999999</v>
      </c>
      <c r="G56" s="1">
        <v>0</v>
      </c>
    </row>
    <row r="57" spans="1:7" ht="12.75" customHeight="1" x14ac:dyDescent="0.2">
      <c r="A57" s="1">
        <v>20220228</v>
      </c>
      <c r="B57" s="1">
        <v>0</v>
      </c>
      <c r="C57" s="1" t="s">
        <v>43</v>
      </c>
      <c r="D57" s="1" t="s">
        <v>116</v>
      </c>
      <c r="E57" s="1">
        <v>1714.09</v>
      </c>
      <c r="F57" s="1">
        <v>-1714.09</v>
      </c>
      <c r="G57" s="1">
        <v>0</v>
      </c>
    </row>
    <row r="58" spans="1:7" ht="12.75" customHeight="1" x14ac:dyDescent="0.2">
      <c r="A58" s="1">
        <v>20220228</v>
      </c>
      <c r="B58" s="1">
        <v>2</v>
      </c>
      <c r="C58" s="1" t="s">
        <v>42</v>
      </c>
      <c r="D58" s="1" t="s">
        <v>33</v>
      </c>
      <c r="E58" s="1">
        <v>-47.593000000000004</v>
      </c>
      <c r="F58" s="1">
        <v>-83.287599999999998</v>
      </c>
      <c r="G58" s="1">
        <v>-130.88060000000002</v>
      </c>
    </row>
    <row r="59" spans="1:7" ht="12.75" customHeight="1" x14ac:dyDescent="0.2">
      <c r="A59" s="1">
        <v>20220228</v>
      </c>
      <c r="B59" s="1">
        <v>2</v>
      </c>
      <c r="C59" s="1" t="s">
        <v>42</v>
      </c>
      <c r="D59" s="1" t="s">
        <v>113</v>
      </c>
      <c r="E59" s="1">
        <v>-95.186000000000007</v>
      </c>
      <c r="F59" s="1">
        <v>-166.5752</v>
      </c>
      <c r="G59" s="1">
        <v>-261.76120000000003</v>
      </c>
    </row>
    <row r="60" spans="1:7" ht="12.75" customHeight="1" x14ac:dyDescent="0.2">
      <c r="A60" s="1">
        <v>20220228</v>
      </c>
      <c r="B60" s="1">
        <v>2</v>
      </c>
      <c r="C60" s="1" t="s">
        <v>42</v>
      </c>
      <c r="D60" s="1" t="s">
        <v>114</v>
      </c>
      <c r="E60" s="1">
        <v>-142.779</v>
      </c>
      <c r="F60" s="1">
        <v>-249.86279999999999</v>
      </c>
      <c r="G60" s="1">
        <v>-392.64180000000005</v>
      </c>
    </row>
    <row r="61" spans="1:7" ht="12.75" customHeight="1" x14ac:dyDescent="0.2">
      <c r="A61" s="1">
        <v>20220228</v>
      </c>
      <c r="B61" s="1">
        <v>2</v>
      </c>
      <c r="C61" s="1" t="s">
        <v>42</v>
      </c>
      <c r="D61" s="1" t="s">
        <v>115</v>
      </c>
      <c r="E61" s="1">
        <v>-190.37200000000001</v>
      </c>
      <c r="F61" s="1">
        <v>-333.15039999999999</v>
      </c>
      <c r="G61" s="1">
        <v>-523.52240000000006</v>
      </c>
    </row>
    <row r="62" spans="1:7" ht="12.75" customHeight="1" x14ac:dyDescent="0.2">
      <c r="A62" s="1">
        <v>20220228</v>
      </c>
      <c r="B62" s="1">
        <v>2</v>
      </c>
      <c r="C62" s="1" t="s">
        <v>42</v>
      </c>
      <c r="D62" s="1" t="s">
        <v>116</v>
      </c>
      <c r="E62" s="1">
        <v>-237.96500000000003</v>
      </c>
      <c r="F62" s="1">
        <v>-416.43799999999999</v>
      </c>
      <c r="G62" s="1">
        <v>-654.40300000000002</v>
      </c>
    </row>
    <row r="63" spans="1:7" ht="12.75" customHeight="1" x14ac:dyDescent="0.2">
      <c r="A63" s="1">
        <v>20220228</v>
      </c>
      <c r="B63" s="1">
        <v>2</v>
      </c>
      <c r="C63" s="1" t="s">
        <v>34</v>
      </c>
      <c r="D63" s="1" t="s">
        <v>33</v>
      </c>
      <c r="E63" s="1">
        <v>-47.593000000000004</v>
      </c>
      <c r="F63" s="1">
        <v>-83.287599999999998</v>
      </c>
      <c r="G63" s="1">
        <v>-130.88060000000002</v>
      </c>
    </row>
    <row r="64" spans="1:7" ht="12.75" customHeight="1" x14ac:dyDescent="0.2">
      <c r="A64" s="1">
        <v>20220228</v>
      </c>
      <c r="B64" s="1">
        <v>2</v>
      </c>
      <c r="C64" s="1" t="s">
        <v>34</v>
      </c>
      <c r="D64" s="1" t="s">
        <v>113</v>
      </c>
      <c r="E64" s="1">
        <v>-95.186000000000007</v>
      </c>
      <c r="F64" s="1">
        <v>-166.5752</v>
      </c>
      <c r="G64" s="1">
        <v>-261.76120000000003</v>
      </c>
    </row>
    <row r="65" spans="1:7" ht="12.75" customHeight="1" x14ac:dyDescent="0.2">
      <c r="A65" s="1">
        <v>20220228</v>
      </c>
      <c r="B65" s="1">
        <v>2</v>
      </c>
      <c r="C65" s="1" t="s">
        <v>34</v>
      </c>
      <c r="D65" s="1" t="s">
        <v>114</v>
      </c>
      <c r="E65" s="1">
        <v>-142.779</v>
      </c>
      <c r="F65" s="1">
        <v>-249.86279999999999</v>
      </c>
      <c r="G65" s="1">
        <v>-392.64180000000005</v>
      </c>
    </row>
    <row r="66" spans="1:7" ht="12.75" customHeight="1" x14ac:dyDescent="0.2">
      <c r="A66" s="1">
        <v>20220228</v>
      </c>
      <c r="B66" s="1">
        <v>2</v>
      </c>
      <c r="C66" s="1" t="s">
        <v>34</v>
      </c>
      <c r="D66" s="1" t="s">
        <v>115</v>
      </c>
      <c r="E66" s="1">
        <v>-190.37200000000001</v>
      </c>
      <c r="F66" s="1">
        <v>-333.15039999999999</v>
      </c>
      <c r="G66" s="1">
        <v>-523.52240000000006</v>
      </c>
    </row>
    <row r="67" spans="1:7" ht="12.75" customHeight="1" x14ac:dyDescent="0.2">
      <c r="A67" s="1">
        <v>20220228</v>
      </c>
      <c r="B67" s="1">
        <v>2</v>
      </c>
      <c r="C67" s="1" t="s">
        <v>34</v>
      </c>
      <c r="D67" s="1" t="s">
        <v>116</v>
      </c>
      <c r="E67" s="1">
        <v>-237.96500000000003</v>
      </c>
      <c r="F67" s="1">
        <v>-416.43799999999999</v>
      </c>
      <c r="G67" s="1">
        <v>-654.40300000000002</v>
      </c>
    </row>
    <row r="68" spans="1:7" ht="12.75" customHeight="1" x14ac:dyDescent="0.2">
      <c r="A68" s="1">
        <v>20220228</v>
      </c>
      <c r="B68" s="1">
        <v>3</v>
      </c>
      <c r="C68" s="1" t="s">
        <v>42</v>
      </c>
      <c r="D68" s="1" t="s">
        <v>33</v>
      </c>
      <c r="E68" s="1">
        <v>-271.42860000000002</v>
      </c>
      <c r="F68" s="1">
        <v>0</v>
      </c>
      <c r="G68" s="1">
        <v>-271.42860000000002</v>
      </c>
    </row>
    <row r="69" spans="1:7" ht="12.75" customHeight="1" x14ac:dyDescent="0.2">
      <c r="A69" s="1">
        <v>20220228</v>
      </c>
      <c r="B69" s="1">
        <v>3</v>
      </c>
      <c r="C69" s="1" t="s">
        <v>42</v>
      </c>
      <c r="D69" s="1" t="s">
        <v>113</v>
      </c>
      <c r="E69" s="1">
        <v>-542.85720000000003</v>
      </c>
      <c r="F69" s="1">
        <v>0</v>
      </c>
      <c r="G69" s="1">
        <v>-542.85720000000003</v>
      </c>
    </row>
    <row r="70" spans="1:7" ht="12.75" customHeight="1" x14ac:dyDescent="0.2">
      <c r="A70" s="1">
        <v>20220228</v>
      </c>
      <c r="B70" s="1">
        <v>3</v>
      </c>
      <c r="C70" s="1" t="s">
        <v>42</v>
      </c>
      <c r="D70" s="1" t="s">
        <v>114</v>
      </c>
      <c r="E70" s="1">
        <v>-814.28580000000011</v>
      </c>
      <c r="F70" s="1">
        <v>0</v>
      </c>
      <c r="G70" s="1">
        <v>-814.28580000000011</v>
      </c>
    </row>
    <row r="71" spans="1:7" ht="12.75" customHeight="1" x14ac:dyDescent="0.2">
      <c r="A71" s="1">
        <v>20220228</v>
      </c>
      <c r="B71" s="1">
        <v>3</v>
      </c>
      <c r="C71" s="1" t="s">
        <v>42</v>
      </c>
      <c r="D71" s="1" t="s">
        <v>115</v>
      </c>
      <c r="E71" s="1">
        <v>-1085.7144000000001</v>
      </c>
      <c r="F71" s="1">
        <v>0</v>
      </c>
      <c r="G71" s="1">
        <v>-1085.7144000000001</v>
      </c>
    </row>
    <row r="72" spans="1:7" ht="12.75" customHeight="1" x14ac:dyDescent="0.2">
      <c r="A72" s="1">
        <v>20220228</v>
      </c>
      <c r="B72" s="1">
        <v>3</v>
      </c>
      <c r="C72" s="1" t="s">
        <v>42</v>
      </c>
      <c r="D72" s="1" t="s">
        <v>116</v>
      </c>
      <c r="E72" s="1">
        <v>-1357.143</v>
      </c>
      <c r="F72" s="1">
        <v>0</v>
      </c>
      <c r="G72" s="1">
        <v>-1357.143</v>
      </c>
    </row>
    <row r="73" spans="1:7" ht="12.75" customHeight="1" x14ac:dyDescent="0.2">
      <c r="A73" s="1">
        <v>20220228</v>
      </c>
      <c r="B73" s="1">
        <v>3</v>
      </c>
      <c r="C73" s="1" t="s">
        <v>34</v>
      </c>
      <c r="D73" s="1" t="s">
        <v>33</v>
      </c>
      <c r="E73" s="1">
        <v>-271.42860000000002</v>
      </c>
      <c r="F73" s="1">
        <v>0</v>
      </c>
      <c r="G73" s="1">
        <v>-271.42860000000002</v>
      </c>
    </row>
    <row r="74" spans="1:7" ht="12.75" customHeight="1" x14ac:dyDescent="0.2">
      <c r="A74" s="1">
        <v>20220228</v>
      </c>
      <c r="B74" s="1">
        <v>3</v>
      </c>
      <c r="C74" s="1" t="s">
        <v>34</v>
      </c>
      <c r="D74" s="1" t="s">
        <v>113</v>
      </c>
      <c r="E74" s="1">
        <v>-542.85720000000003</v>
      </c>
      <c r="F74" s="1">
        <v>0</v>
      </c>
      <c r="G74" s="1">
        <v>-542.85720000000003</v>
      </c>
    </row>
    <row r="75" spans="1:7" ht="12.75" customHeight="1" x14ac:dyDescent="0.2">
      <c r="A75" s="1">
        <v>20220228</v>
      </c>
      <c r="B75" s="1">
        <v>3</v>
      </c>
      <c r="C75" s="1" t="s">
        <v>34</v>
      </c>
      <c r="D75" s="1" t="s">
        <v>114</v>
      </c>
      <c r="E75" s="1">
        <v>-814.28580000000011</v>
      </c>
      <c r="F75" s="1">
        <v>0</v>
      </c>
      <c r="G75" s="1">
        <v>-814.28580000000011</v>
      </c>
    </row>
    <row r="76" spans="1:7" ht="12.75" customHeight="1" x14ac:dyDescent="0.2">
      <c r="A76" s="1">
        <v>20220228</v>
      </c>
      <c r="B76" s="1">
        <v>3</v>
      </c>
      <c r="C76" s="1" t="s">
        <v>34</v>
      </c>
      <c r="D76" s="1" t="s">
        <v>115</v>
      </c>
      <c r="E76" s="1">
        <v>-1085.7144000000001</v>
      </c>
      <c r="F76" s="1">
        <v>0</v>
      </c>
      <c r="G76" s="1">
        <v>-1085.7144000000001</v>
      </c>
    </row>
    <row r="77" spans="1:7" ht="12.75" customHeight="1" x14ac:dyDescent="0.2">
      <c r="A77" s="1">
        <v>20220228</v>
      </c>
      <c r="B77" s="1">
        <v>3</v>
      </c>
      <c r="C77" s="1" t="s">
        <v>34</v>
      </c>
      <c r="D77" s="1" t="s">
        <v>116</v>
      </c>
      <c r="E77" s="1">
        <v>-1357.143</v>
      </c>
      <c r="F77" s="1">
        <v>0</v>
      </c>
      <c r="G77" s="1">
        <v>-1357.143</v>
      </c>
    </row>
    <row r="78" spans="1:7" ht="12.75" customHeight="1" x14ac:dyDescent="0.2">
      <c r="A78" s="1">
        <v>20220228</v>
      </c>
      <c r="B78" s="1">
        <v>4</v>
      </c>
      <c r="C78" s="1" t="s">
        <v>42</v>
      </c>
      <c r="D78" s="1" t="s">
        <v>33</v>
      </c>
      <c r="E78" s="1">
        <v>-23.796500000000002</v>
      </c>
      <c r="F78" s="1">
        <v>-41.643799999999999</v>
      </c>
      <c r="G78" s="1">
        <v>-65.440300000000008</v>
      </c>
    </row>
    <row r="79" spans="1:7" ht="12.75" customHeight="1" x14ac:dyDescent="0.2">
      <c r="A79" s="1">
        <v>20220228</v>
      </c>
      <c r="B79" s="1">
        <v>4</v>
      </c>
      <c r="C79" s="1" t="s">
        <v>42</v>
      </c>
      <c r="D79" s="1" t="s">
        <v>113</v>
      </c>
      <c r="E79" s="1">
        <v>-47.593000000000004</v>
      </c>
      <c r="F79" s="1">
        <v>-83.287599999999998</v>
      </c>
      <c r="G79" s="1">
        <v>-130.88060000000002</v>
      </c>
    </row>
    <row r="80" spans="1:7" ht="12.75" customHeight="1" x14ac:dyDescent="0.2">
      <c r="A80" s="1">
        <v>20220228</v>
      </c>
      <c r="B80" s="1">
        <v>4</v>
      </c>
      <c r="C80" s="1" t="s">
        <v>42</v>
      </c>
      <c r="D80" s="1" t="s">
        <v>114</v>
      </c>
      <c r="E80" s="1">
        <v>-71.389499999999998</v>
      </c>
      <c r="F80" s="1">
        <v>-124.9314</v>
      </c>
      <c r="G80" s="1">
        <v>-196.32090000000002</v>
      </c>
    </row>
    <row r="81" spans="1:7" ht="12.75" customHeight="1" x14ac:dyDescent="0.2">
      <c r="A81" s="1">
        <v>20220228</v>
      </c>
      <c r="B81" s="1">
        <v>4</v>
      </c>
      <c r="C81" s="1" t="s">
        <v>42</v>
      </c>
      <c r="D81" s="1" t="s">
        <v>115</v>
      </c>
      <c r="E81" s="1">
        <v>-95.186000000000007</v>
      </c>
      <c r="F81" s="1">
        <v>-166.5752</v>
      </c>
      <c r="G81" s="1">
        <v>-261.76120000000003</v>
      </c>
    </row>
    <row r="82" spans="1:7" ht="12.75" customHeight="1" x14ac:dyDescent="0.2">
      <c r="A82" s="1">
        <v>20220228</v>
      </c>
      <c r="B82" s="1">
        <v>4</v>
      </c>
      <c r="C82" s="1" t="s">
        <v>42</v>
      </c>
      <c r="D82" s="1" t="s">
        <v>116</v>
      </c>
      <c r="E82" s="1">
        <v>-118.98250000000002</v>
      </c>
      <c r="F82" s="1">
        <v>-208.21899999999999</v>
      </c>
      <c r="G82" s="1">
        <v>-327.20150000000001</v>
      </c>
    </row>
    <row r="83" spans="1:7" ht="12.75" customHeight="1" x14ac:dyDescent="0.2">
      <c r="A83" s="1">
        <v>20220228</v>
      </c>
      <c r="B83" s="1">
        <v>4</v>
      </c>
      <c r="C83" s="1" t="s">
        <v>34</v>
      </c>
      <c r="D83" s="1" t="s">
        <v>33</v>
      </c>
      <c r="E83" s="1">
        <v>-23.796500000000002</v>
      </c>
      <c r="F83" s="1">
        <v>-41.643799999999999</v>
      </c>
      <c r="G83" s="1">
        <v>-65.440300000000008</v>
      </c>
    </row>
    <row r="84" spans="1:7" ht="12.75" customHeight="1" x14ac:dyDescent="0.2">
      <c r="A84" s="1">
        <v>20220228</v>
      </c>
      <c r="B84" s="1">
        <v>4</v>
      </c>
      <c r="C84" s="1" t="s">
        <v>34</v>
      </c>
      <c r="D84" s="1" t="s">
        <v>113</v>
      </c>
      <c r="E84" s="1">
        <v>-47.593000000000004</v>
      </c>
      <c r="F84" s="1">
        <v>-83.287599999999998</v>
      </c>
      <c r="G84" s="1">
        <v>-130.88060000000002</v>
      </c>
    </row>
    <row r="85" spans="1:7" ht="12.75" customHeight="1" x14ac:dyDescent="0.2">
      <c r="A85" s="1">
        <v>20220228</v>
      </c>
      <c r="B85" s="1">
        <v>4</v>
      </c>
      <c r="C85" s="1" t="s">
        <v>34</v>
      </c>
      <c r="D85" s="1" t="s">
        <v>114</v>
      </c>
      <c r="E85" s="1">
        <v>-71.389499999999998</v>
      </c>
      <c r="F85" s="1">
        <v>-124.9314</v>
      </c>
      <c r="G85" s="1">
        <v>-196.32090000000002</v>
      </c>
    </row>
    <row r="86" spans="1:7" ht="12.75" customHeight="1" x14ac:dyDescent="0.2">
      <c r="A86" s="1">
        <v>20220228</v>
      </c>
      <c r="B86" s="1">
        <v>4</v>
      </c>
      <c r="C86" s="1" t="s">
        <v>34</v>
      </c>
      <c r="D86" s="1" t="s">
        <v>115</v>
      </c>
      <c r="E86" s="1">
        <v>-95.186000000000007</v>
      </c>
      <c r="F86" s="1">
        <v>-166.5752</v>
      </c>
      <c r="G86" s="1">
        <v>-261.76120000000003</v>
      </c>
    </row>
    <row r="87" spans="1:7" ht="12.75" customHeight="1" x14ac:dyDescent="0.2">
      <c r="A87" s="1">
        <v>20220228</v>
      </c>
      <c r="B87" s="1">
        <v>4</v>
      </c>
      <c r="C87" s="1" t="s">
        <v>34</v>
      </c>
      <c r="D87" s="1" t="s">
        <v>116</v>
      </c>
      <c r="E87" s="1">
        <v>-118.98250000000002</v>
      </c>
      <c r="F87" s="1">
        <v>-208.21899999999999</v>
      </c>
      <c r="G87" s="1">
        <v>-327.20150000000001</v>
      </c>
    </row>
    <row r="88" spans="1:7" ht="12.75" customHeight="1" x14ac:dyDescent="0.2">
      <c r="A88" s="1">
        <v>20220331</v>
      </c>
      <c r="B88" s="1">
        <v>0</v>
      </c>
      <c r="C88" s="1" t="s">
        <v>44</v>
      </c>
      <c r="D88" s="1" t="s">
        <v>33</v>
      </c>
      <c r="E88" s="1">
        <v>1900</v>
      </c>
      <c r="F88" s="1">
        <v>0</v>
      </c>
      <c r="G88" s="1">
        <v>1900</v>
      </c>
    </row>
    <row r="89" spans="1:7" ht="12.75" customHeight="1" x14ac:dyDescent="0.2">
      <c r="A89" s="1">
        <v>20220331</v>
      </c>
      <c r="B89" s="1">
        <v>0</v>
      </c>
      <c r="C89" s="1" t="s">
        <v>44</v>
      </c>
      <c r="D89" s="1" t="s">
        <v>113</v>
      </c>
      <c r="E89" s="1">
        <v>3800</v>
      </c>
      <c r="F89" s="1">
        <v>0</v>
      </c>
      <c r="G89" s="1">
        <v>3800</v>
      </c>
    </row>
    <row r="90" spans="1:7" ht="12.75" customHeight="1" x14ac:dyDescent="0.2">
      <c r="A90" s="1">
        <v>20220331</v>
      </c>
      <c r="B90" s="1">
        <v>0</v>
      </c>
      <c r="C90" s="1" t="s">
        <v>44</v>
      </c>
      <c r="D90" s="1" t="s">
        <v>114</v>
      </c>
      <c r="E90" s="1">
        <v>5700</v>
      </c>
      <c r="F90" s="1">
        <v>0</v>
      </c>
      <c r="G90" s="1">
        <v>5700</v>
      </c>
    </row>
    <row r="91" spans="1:7" ht="12.75" customHeight="1" x14ac:dyDescent="0.2">
      <c r="A91" s="1">
        <v>20220331</v>
      </c>
      <c r="B91" s="1">
        <v>0</v>
      </c>
      <c r="C91" s="1" t="s">
        <v>44</v>
      </c>
      <c r="D91" s="1" t="s">
        <v>115</v>
      </c>
      <c r="E91" s="1">
        <v>7600</v>
      </c>
      <c r="F91" s="1">
        <v>0</v>
      </c>
      <c r="G91" s="1">
        <v>7600</v>
      </c>
    </row>
    <row r="92" spans="1:7" ht="12.75" customHeight="1" x14ac:dyDescent="0.2">
      <c r="A92" s="1">
        <v>20220331</v>
      </c>
      <c r="B92" s="1">
        <v>0</v>
      </c>
      <c r="C92" s="1" t="s">
        <v>44</v>
      </c>
      <c r="D92" s="1" t="s">
        <v>116</v>
      </c>
      <c r="E92" s="1">
        <v>9500</v>
      </c>
      <c r="F92" s="1">
        <v>0</v>
      </c>
      <c r="G92" s="1">
        <v>9500</v>
      </c>
    </row>
    <row r="93" spans="1:7" ht="12.75" customHeight="1" x14ac:dyDescent="0.2">
      <c r="A93" s="1">
        <v>20220331</v>
      </c>
      <c r="B93" s="1">
        <v>0</v>
      </c>
      <c r="C93" s="1" t="s">
        <v>42</v>
      </c>
      <c r="D93" s="1" t="s">
        <v>33</v>
      </c>
      <c r="E93" s="1">
        <v>1900</v>
      </c>
      <c r="F93" s="1">
        <v>0</v>
      </c>
      <c r="G93" s="1">
        <v>1900</v>
      </c>
    </row>
    <row r="94" spans="1:7" ht="12.75" customHeight="1" x14ac:dyDescent="0.2">
      <c r="A94" s="1">
        <v>20220331</v>
      </c>
      <c r="B94" s="1">
        <v>0</v>
      </c>
      <c r="C94" s="1" t="s">
        <v>42</v>
      </c>
      <c r="D94" s="1" t="s">
        <v>113</v>
      </c>
      <c r="E94" s="1">
        <v>3800</v>
      </c>
      <c r="F94" s="1">
        <v>0</v>
      </c>
      <c r="G94" s="1">
        <v>3800</v>
      </c>
    </row>
    <row r="95" spans="1:7" ht="12.75" customHeight="1" x14ac:dyDescent="0.2">
      <c r="A95" s="1">
        <v>20220331</v>
      </c>
      <c r="B95" s="1">
        <v>0</v>
      </c>
      <c r="C95" s="1" t="s">
        <v>42</v>
      </c>
      <c r="D95" s="1" t="s">
        <v>114</v>
      </c>
      <c r="E95" s="1">
        <v>5700</v>
      </c>
      <c r="F95" s="1">
        <v>0</v>
      </c>
      <c r="G95" s="1">
        <v>5700</v>
      </c>
    </row>
    <row r="96" spans="1:7" ht="12.75" customHeight="1" x14ac:dyDescent="0.2">
      <c r="A96" s="1">
        <v>20220331</v>
      </c>
      <c r="B96" s="1">
        <v>0</v>
      </c>
      <c r="C96" s="1" t="s">
        <v>42</v>
      </c>
      <c r="D96" s="1" t="s">
        <v>115</v>
      </c>
      <c r="E96" s="1">
        <v>7600</v>
      </c>
      <c r="F96" s="1">
        <v>0</v>
      </c>
      <c r="G96" s="1">
        <v>7600</v>
      </c>
    </row>
    <row r="97" spans="1:7" ht="12.75" customHeight="1" x14ac:dyDescent="0.2">
      <c r="A97" s="1">
        <v>20220331</v>
      </c>
      <c r="B97" s="1">
        <v>0</v>
      </c>
      <c r="C97" s="1" t="s">
        <v>42</v>
      </c>
      <c r="D97" s="1" t="s">
        <v>116</v>
      </c>
      <c r="E97" s="1">
        <v>9500</v>
      </c>
      <c r="F97" s="1">
        <v>0</v>
      </c>
      <c r="G97" s="1">
        <v>9500</v>
      </c>
    </row>
    <row r="98" spans="1:7" ht="12.75" customHeight="1" x14ac:dyDescent="0.2">
      <c r="A98" s="1">
        <v>20220331</v>
      </c>
      <c r="B98" s="1">
        <v>0</v>
      </c>
      <c r="C98" s="1" t="s">
        <v>43</v>
      </c>
      <c r="D98" s="1" t="s">
        <v>33</v>
      </c>
      <c r="E98" s="1">
        <v>0</v>
      </c>
      <c r="F98" s="1">
        <v>0</v>
      </c>
      <c r="G98" s="1">
        <v>0</v>
      </c>
    </row>
    <row r="99" spans="1:7" ht="12.75" customHeight="1" x14ac:dyDescent="0.2">
      <c r="A99" s="1">
        <v>20220331</v>
      </c>
      <c r="B99" s="1">
        <v>0</v>
      </c>
      <c r="C99" s="1" t="s">
        <v>43</v>
      </c>
      <c r="D99" s="1" t="s">
        <v>113</v>
      </c>
      <c r="E99" s="1">
        <v>0</v>
      </c>
      <c r="F99" s="1">
        <v>0</v>
      </c>
      <c r="G99" s="1">
        <v>0</v>
      </c>
    </row>
    <row r="100" spans="1:7" ht="12.75" customHeight="1" x14ac:dyDescent="0.2">
      <c r="A100" s="1">
        <v>20220331</v>
      </c>
      <c r="B100" s="1">
        <v>0</v>
      </c>
      <c r="C100" s="1" t="s">
        <v>43</v>
      </c>
      <c r="D100" s="1" t="s">
        <v>114</v>
      </c>
      <c r="E100" s="1">
        <v>0</v>
      </c>
      <c r="F100" s="1">
        <v>0</v>
      </c>
      <c r="G100" s="1">
        <v>0</v>
      </c>
    </row>
    <row r="101" spans="1:7" ht="12.75" customHeight="1" x14ac:dyDescent="0.2">
      <c r="A101" s="1">
        <v>20220331</v>
      </c>
      <c r="B101" s="1">
        <v>0</v>
      </c>
      <c r="C101" s="1" t="s">
        <v>43</v>
      </c>
      <c r="D101" s="1" t="s">
        <v>115</v>
      </c>
      <c r="E101" s="1">
        <v>0</v>
      </c>
      <c r="F101" s="1">
        <v>0</v>
      </c>
      <c r="G101" s="1">
        <v>0</v>
      </c>
    </row>
    <row r="102" spans="1:7" ht="12.75" customHeight="1" x14ac:dyDescent="0.2">
      <c r="A102" s="1">
        <v>20220331</v>
      </c>
      <c r="B102" s="1">
        <v>0</v>
      </c>
      <c r="C102" s="1" t="s">
        <v>43</v>
      </c>
      <c r="D102" s="1" t="s">
        <v>116</v>
      </c>
      <c r="E102" s="1">
        <v>0</v>
      </c>
      <c r="F102" s="1">
        <v>0</v>
      </c>
      <c r="G102" s="1">
        <v>0</v>
      </c>
    </row>
    <row r="103" spans="1:7" ht="12.75" customHeight="1" x14ac:dyDescent="0.2">
      <c r="A103" s="1">
        <v>20220331</v>
      </c>
      <c r="B103" s="1">
        <v>2</v>
      </c>
      <c r="C103" s="1" t="s">
        <v>42</v>
      </c>
      <c r="D103" s="1" t="s">
        <v>33</v>
      </c>
      <c r="E103" s="1">
        <v>-130.88059999999999</v>
      </c>
      <c r="F103" s="1">
        <v>-92.211399999999998</v>
      </c>
      <c r="G103" s="1">
        <v>-223.09199999999998</v>
      </c>
    </row>
    <row r="104" spans="1:7" ht="12.75" customHeight="1" x14ac:dyDescent="0.2">
      <c r="A104" s="1">
        <v>20220331</v>
      </c>
      <c r="B104" s="1">
        <v>2</v>
      </c>
      <c r="C104" s="1" t="s">
        <v>42</v>
      </c>
      <c r="D104" s="1" t="s">
        <v>113</v>
      </c>
      <c r="E104" s="1">
        <v>-261.76119999999997</v>
      </c>
      <c r="F104" s="1">
        <v>-184.4228</v>
      </c>
      <c r="G104" s="1">
        <v>-446.18399999999997</v>
      </c>
    </row>
    <row r="105" spans="1:7" ht="12.75" customHeight="1" x14ac:dyDescent="0.2">
      <c r="A105" s="1">
        <v>20220331</v>
      </c>
      <c r="B105" s="1">
        <v>2</v>
      </c>
      <c r="C105" s="1" t="s">
        <v>42</v>
      </c>
      <c r="D105" s="1" t="s">
        <v>114</v>
      </c>
      <c r="E105" s="1">
        <v>-392.64179999999999</v>
      </c>
      <c r="F105" s="1">
        <v>-276.63419999999996</v>
      </c>
      <c r="G105" s="1">
        <v>-669.27599999999995</v>
      </c>
    </row>
    <row r="106" spans="1:7" ht="12.75" customHeight="1" x14ac:dyDescent="0.2">
      <c r="A106" s="1">
        <v>20220331</v>
      </c>
      <c r="B106" s="1">
        <v>2</v>
      </c>
      <c r="C106" s="1" t="s">
        <v>42</v>
      </c>
      <c r="D106" s="1" t="s">
        <v>115</v>
      </c>
      <c r="E106" s="1">
        <v>-523.52239999999995</v>
      </c>
      <c r="F106" s="1">
        <v>-368.84559999999999</v>
      </c>
      <c r="G106" s="1">
        <v>-892.36799999999994</v>
      </c>
    </row>
    <row r="107" spans="1:7" ht="12.75" customHeight="1" x14ac:dyDescent="0.2">
      <c r="A107" s="1">
        <v>20220331</v>
      </c>
      <c r="B107" s="1">
        <v>2</v>
      </c>
      <c r="C107" s="1" t="s">
        <v>42</v>
      </c>
      <c r="D107" s="1" t="s">
        <v>116</v>
      </c>
      <c r="E107" s="1">
        <v>-654.40299999999991</v>
      </c>
      <c r="F107" s="1">
        <v>-461.05700000000002</v>
      </c>
      <c r="G107" s="1">
        <v>-1115.46</v>
      </c>
    </row>
    <row r="108" spans="1:7" ht="12.75" customHeight="1" x14ac:dyDescent="0.2">
      <c r="A108" s="1">
        <v>20220331</v>
      </c>
      <c r="B108" s="1">
        <v>2</v>
      </c>
      <c r="C108" s="1" t="s">
        <v>34</v>
      </c>
      <c r="D108" s="1" t="s">
        <v>33</v>
      </c>
      <c r="E108" s="1">
        <v>-130.88059999999999</v>
      </c>
      <c r="F108" s="1">
        <v>-92.211399999999998</v>
      </c>
      <c r="G108" s="1">
        <v>-223.09199999999998</v>
      </c>
    </row>
    <row r="109" spans="1:7" ht="12.75" customHeight="1" x14ac:dyDescent="0.2">
      <c r="A109" s="1">
        <v>20220331</v>
      </c>
      <c r="B109" s="1">
        <v>2</v>
      </c>
      <c r="C109" s="1" t="s">
        <v>34</v>
      </c>
      <c r="D109" s="1" t="s">
        <v>113</v>
      </c>
      <c r="E109" s="1">
        <v>-261.76119999999997</v>
      </c>
      <c r="F109" s="1">
        <v>-184.4228</v>
      </c>
      <c r="G109" s="1">
        <v>-446.18399999999997</v>
      </c>
    </row>
    <row r="110" spans="1:7" ht="12.75" customHeight="1" x14ac:dyDescent="0.2">
      <c r="A110" s="1">
        <v>20220331</v>
      </c>
      <c r="B110" s="1">
        <v>2</v>
      </c>
      <c r="C110" s="1" t="s">
        <v>34</v>
      </c>
      <c r="D110" s="1" t="s">
        <v>114</v>
      </c>
      <c r="E110" s="1">
        <v>-392.64179999999999</v>
      </c>
      <c r="F110" s="1">
        <v>-276.63419999999996</v>
      </c>
      <c r="G110" s="1">
        <v>-669.27599999999995</v>
      </c>
    </row>
    <row r="111" spans="1:7" ht="12.75" customHeight="1" x14ac:dyDescent="0.2">
      <c r="A111" s="1">
        <v>20220331</v>
      </c>
      <c r="B111" s="1">
        <v>2</v>
      </c>
      <c r="C111" s="1" t="s">
        <v>34</v>
      </c>
      <c r="D111" s="1" t="s">
        <v>115</v>
      </c>
      <c r="E111" s="1">
        <v>-523.52239999999995</v>
      </c>
      <c r="F111" s="1">
        <v>-368.84559999999999</v>
      </c>
      <c r="G111" s="1">
        <v>-892.36799999999994</v>
      </c>
    </row>
    <row r="112" spans="1:7" ht="12.75" customHeight="1" x14ac:dyDescent="0.2">
      <c r="A112" s="1">
        <v>20220331</v>
      </c>
      <c r="B112" s="1">
        <v>2</v>
      </c>
      <c r="C112" s="1" t="s">
        <v>34</v>
      </c>
      <c r="D112" s="1" t="s">
        <v>116</v>
      </c>
      <c r="E112" s="1">
        <v>-654.40299999999991</v>
      </c>
      <c r="F112" s="1">
        <v>-461.05700000000002</v>
      </c>
      <c r="G112" s="1">
        <v>-1115.46</v>
      </c>
    </row>
    <row r="113" spans="1:7" ht="12.75" customHeight="1" x14ac:dyDescent="0.2">
      <c r="A113" s="1">
        <v>20220331</v>
      </c>
      <c r="B113" s="1">
        <v>3</v>
      </c>
      <c r="C113" s="1" t="s">
        <v>42</v>
      </c>
      <c r="D113" s="1" t="s">
        <v>33</v>
      </c>
      <c r="E113" s="1">
        <v>-271.42860000000002</v>
      </c>
      <c r="F113" s="1">
        <v>0</v>
      </c>
      <c r="G113" s="1">
        <v>-271.42860000000002</v>
      </c>
    </row>
    <row r="114" spans="1:7" ht="12.75" customHeight="1" x14ac:dyDescent="0.2">
      <c r="A114" s="1">
        <v>20220331</v>
      </c>
      <c r="B114" s="1">
        <v>3</v>
      </c>
      <c r="C114" s="1" t="s">
        <v>42</v>
      </c>
      <c r="D114" s="1" t="s">
        <v>113</v>
      </c>
      <c r="E114" s="1">
        <v>-542.85720000000003</v>
      </c>
      <c r="F114" s="1">
        <v>0</v>
      </c>
      <c r="G114" s="1">
        <v>-542.85720000000003</v>
      </c>
    </row>
    <row r="115" spans="1:7" ht="12.75" customHeight="1" x14ac:dyDescent="0.2">
      <c r="A115" s="1">
        <v>20220331</v>
      </c>
      <c r="B115" s="1">
        <v>3</v>
      </c>
      <c r="C115" s="1" t="s">
        <v>42</v>
      </c>
      <c r="D115" s="1" t="s">
        <v>114</v>
      </c>
      <c r="E115" s="1">
        <v>-814.28580000000011</v>
      </c>
      <c r="F115" s="1">
        <v>0</v>
      </c>
      <c r="G115" s="1">
        <v>-814.28580000000011</v>
      </c>
    </row>
    <row r="116" spans="1:7" ht="12.75" customHeight="1" x14ac:dyDescent="0.2">
      <c r="A116" s="1">
        <v>20220331</v>
      </c>
      <c r="B116" s="1">
        <v>3</v>
      </c>
      <c r="C116" s="1" t="s">
        <v>42</v>
      </c>
      <c r="D116" s="1" t="s">
        <v>115</v>
      </c>
      <c r="E116" s="1">
        <v>-1085.7144000000001</v>
      </c>
      <c r="F116" s="1">
        <v>0</v>
      </c>
      <c r="G116" s="1">
        <v>-1085.7144000000001</v>
      </c>
    </row>
    <row r="117" spans="1:7" ht="12.75" customHeight="1" x14ac:dyDescent="0.2">
      <c r="A117" s="1">
        <v>20220331</v>
      </c>
      <c r="B117" s="1">
        <v>3</v>
      </c>
      <c r="C117" s="1" t="s">
        <v>42</v>
      </c>
      <c r="D117" s="1" t="s">
        <v>116</v>
      </c>
      <c r="E117" s="1">
        <v>-1357.143</v>
      </c>
      <c r="F117" s="1">
        <v>0</v>
      </c>
      <c r="G117" s="1">
        <v>-1357.143</v>
      </c>
    </row>
    <row r="118" spans="1:7" ht="12.75" customHeight="1" x14ac:dyDescent="0.2">
      <c r="A118" s="1">
        <v>20220331</v>
      </c>
      <c r="B118" s="1">
        <v>3</v>
      </c>
      <c r="C118" s="1" t="s">
        <v>34</v>
      </c>
      <c r="D118" s="1" t="s">
        <v>33</v>
      </c>
      <c r="E118" s="1">
        <v>-271.42860000000002</v>
      </c>
      <c r="F118" s="1">
        <v>0</v>
      </c>
      <c r="G118" s="1">
        <v>-271.42860000000002</v>
      </c>
    </row>
    <row r="119" spans="1:7" ht="12.75" customHeight="1" x14ac:dyDescent="0.2">
      <c r="A119" s="1">
        <v>20220331</v>
      </c>
      <c r="B119" s="1">
        <v>3</v>
      </c>
      <c r="C119" s="1" t="s">
        <v>34</v>
      </c>
      <c r="D119" s="1" t="s">
        <v>113</v>
      </c>
      <c r="E119" s="1">
        <v>-542.85720000000003</v>
      </c>
      <c r="F119" s="1">
        <v>0</v>
      </c>
      <c r="G119" s="1">
        <v>-542.85720000000003</v>
      </c>
    </row>
    <row r="120" spans="1:7" ht="12.75" customHeight="1" x14ac:dyDescent="0.2">
      <c r="A120" s="1">
        <v>20220331</v>
      </c>
      <c r="B120" s="1">
        <v>3</v>
      </c>
      <c r="C120" s="1" t="s">
        <v>34</v>
      </c>
      <c r="D120" s="1" t="s">
        <v>114</v>
      </c>
      <c r="E120" s="1">
        <v>-814.28580000000011</v>
      </c>
      <c r="F120" s="1">
        <v>0</v>
      </c>
      <c r="G120" s="1">
        <v>-814.28580000000011</v>
      </c>
    </row>
    <row r="121" spans="1:7" ht="12.75" customHeight="1" x14ac:dyDescent="0.2">
      <c r="A121" s="1">
        <v>20220331</v>
      </c>
      <c r="B121" s="1">
        <v>3</v>
      </c>
      <c r="C121" s="1" t="s">
        <v>34</v>
      </c>
      <c r="D121" s="1" t="s">
        <v>115</v>
      </c>
      <c r="E121" s="1">
        <v>-1085.7144000000001</v>
      </c>
      <c r="F121" s="1">
        <v>0</v>
      </c>
      <c r="G121" s="1">
        <v>-1085.7144000000001</v>
      </c>
    </row>
    <row r="122" spans="1:7" ht="12.75" customHeight="1" x14ac:dyDescent="0.2">
      <c r="A122" s="1">
        <v>20220331</v>
      </c>
      <c r="B122" s="1">
        <v>3</v>
      </c>
      <c r="C122" s="1" t="s">
        <v>34</v>
      </c>
      <c r="D122" s="1" t="s">
        <v>116</v>
      </c>
      <c r="E122" s="1">
        <v>-1357.143</v>
      </c>
      <c r="F122" s="1">
        <v>0</v>
      </c>
      <c r="G122" s="1">
        <v>-1357.143</v>
      </c>
    </row>
    <row r="123" spans="1:7" ht="12.75" customHeight="1" x14ac:dyDescent="0.2">
      <c r="A123" s="1">
        <v>20220331</v>
      </c>
      <c r="B123" s="1">
        <v>4</v>
      </c>
      <c r="C123" s="1" t="s">
        <v>42</v>
      </c>
      <c r="D123" s="1" t="s">
        <v>33</v>
      </c>
      <c r="E123" s="1">
        <v>-65.440299999999993</v>
      </c>
      <c r="F123" s="1">
        <v>-46.105699999999999</v>
      </c>
      <c r="G123" s="1">
        <v>-111.54599999999999</v>
      </c>
    </row>
    <row r="124" spans="1:7" ht="12.75" customHeight="1" x14ac:dyDescent="0.2">
      <c r="A124" s="1">
        <v>20220331</v>
      </c>
      <c r="B124" s="1">
        <v>4</v>
      </c>
      <c r="C124" s="1" t="s">
        <v>42</v>
      </c>
      <c r="D124" s="1" t="s">
        <v>113</v>
      </c>
      <c r="E124" s="1">
        <v>-130.88059999999999</v>
      </c>
      <c r="F124" s="1">
        <v>-92.211399999999998</v>
      </c>
      <c r="G124" s="1">
        <v>-223.09199999999998</v>
      </c>
    </row>
    <row r="125" spans="1:7" ht="12.75" customHeight="1" x14ac:dyDescent="0.2">
      <c r="A125" s="1">
        <v>20220331</v>
      </c>
      <c r="B125" s="1">
        <v>4</v>
      </c>
      <c r="C125" s="1" t="s">
        <v>42</v>
      </c>
      <c r="D125" s="1" t="s">
        <v>114</v>
      </c>
      <c r="E125" s="1">
        <v>-196.32089999999999</v>
      </c>
      <c r="F125" s="1">
        <v>-138.31709999999998</v>
      </c>
      <c r="G125" s="1">
        <v>-334.63799999999998</v>
      </c>
    </row>
    <row r="126" spans="1:7" ht="12.75" customHeight="1" x14ac:dyDescent="0.2">
      <c r="A126" s="1">
        <v>20220331</v>
      </c>
      <c r="B126" s="1">
        <v>4</v>
      </c>
      <c r="C126" s="1" t="s">
        <v>42</v>
      </c>
      <c r="D126" s="1" t="s">
        <v>115</v>
      </c>
      <c r="E126" s="1">
        <v>-261.76119999999997</v>
      </c>
      <c r="F126" s="1">
        <v>-184.4228</v>
      </c>
      <c r="G126" s="1">
        <v>-446.18399999999997</v>
      </c>
    </row>
    <row r="127" spans="1:7" ht="12.75" customHeight="1" x14ac:dyDescent="0.2">
      <c r="A127" s="1">
        <v>20220331</v>
      </c>
      <c r="B127" s="1">
        <v>4</v>
      </c>
      <c r="C127" s="1" t="s">
        <v>42</v>
      </c>
      <c r="D127" s="1" t="s">
        <v>116</v>
      </c>
      <c r="E127" s="1">
        <v>-327.20149999999995</v>
      </c>
      <c r="F127" s="1">
        <v>-230.52850000000001</v>
      </c>
      <c r="G127" s="1">
        <v>-557.73</v>
      </c>
    </row>
    <row r="128" spans="1:7" ht="12.75" customHeight="1" x14ac:dyDescent="0.2">
      <c r="A128" s="1">
        <v>20220331</v>
      </c>
      <c r="B128" s="1">
        <v>4</v>
      </c>
      <c r="C128" s="1" t="s">
        <v>34</v>
      </c>
      <c r="D128" s="1" t="s">
        <v>33</v>
      </c>
      <c r="E128" s="1">
        <v>-65.440299999999993</v>
      </c>
      <c r="F128" s="1">
        <v>-46.105699999999999</v>
      </c>
      <c r="G128" s="1">
        <v>-111.54599999999999</v>
      </c>
    </row>
    <row r="129" spans="1:7" ht="12.75" customHeight="1" x14ac:dyDescent="0.2">
      <c r="A129" s="1">
        <v>20220331</v>
      </c>
      <c r="B129" s="1">
        <v>4</v>
      </c>
      <c r="C129" s="1" t="s">
        <v>34</v>
      </c>
      <c r="D129" s="1" t="s">
        <v>113</v>
      </c>
      <c r="E129" s="1">
        <v>-130.88059999999999</v>
      </c>
      <c r="F129" s="1">
        <v>-92.211399999999998</v>
      </c>
      <c r="G129" s="1">
        <v>-223.09199999999998</v>
      </c>
    </row>
    <row r="130" spans="1:7" ht="12.75" customHeight="1" x14ac:dyDescent="0.2">
      <c r="A130" s="1">
        <v>20220331</v>
      </c>
      <c r="B130" s="1">
        <v>4</v>
      </c>
      <c r="C130" s="1" t="s">
        <v>34</v>
      </c>
      <c r="D130" s="1" t="s">
        <v>114</v>
      </c>
      <c r="E130" s="1">
        <v>-196.32089999999999</v>
      </c>
      <c r="F130" s="1">
        <v>-138.31709999999998</v>
      </c>
      <c r="G130" s="1">
        <v>-334.63799999999998</v>
      </c>
    </row>
    <row r="131" spans="1:7" ht="12.75" customHeight="1" x14ac:dyDescent="0.2">
      <c r="A131" s="1">
        <v>20220331</v>
      </c>
      <c r="B131" s="1">
        <v>4</v>
      </c>
      <c r="C131" s="1" t="s">
        <v>34</v>
      </c>
      <c r="D131" s="1" t="s">
        <v>115</v>
      </c>
      <c r="E131" s="1">
        <v>-261.76119999999997</v>
      </c>
      <c r="F131" s="1">
        <v>-184.4228</v>
      </c>
      <c r="G131" s="1">
        <v>-446.18399999999997</v>
      </c>
    </row>
    <row r="132" spans="1:7" ht="12.75" customHeight="1" x14ac:dyDescent="0.2">
      <c r="A132" s="1">
        <v>20220331</v>
      </c>
      <c r="B132" s="1">
        <v>4</v>
      </c>
      <c r="C132" s="1" t="s">
        <v>34</v>
      </c>
      <c r="D132" s="1" t="s">
        <v>116</v>
      </c>
      <c r="E132" s="1">
        <v>-327.20149999999995</v>
      </c>
      <c r="F132" s="1">
        <v>-230.52850000000001</v>
      </c>
      <c r="G132" s="1">
        <v>-557.73</v>
      </c>
    </row>
    <row r="133" spans="1:7" ht="12.75" customHeight="1" x14ac:dyDescent="0.2">
      <c r="A133" s="1">
        <v>20220430</v>
      </c>
      <c r="B133" s="1">
        <v>0</v>
      </c>
      <c r="C133" s="1" t="s">
        <v>44</v>
      </c>
      <c r="D133" s="1" t="s">
        <v>33</v>
      </c>
      <c r="E133" s="1">
        <v>1900</v>
      </c>
      <c r="F133" s="1">
        <v>0</v>
      </c>
      <c r="G133" s="1">
        <v>1900</v>
      </c>
    </row>
    <row r="134" spans="1:7" ht="12.75" customHeight="1" x14ac:dyDescent="0.2">
      <c r="A134" s="1">
        <v>20220430</v>
      </c>
      <c r="B134" s="1">
        <v>0</v>
      </c>
      <c r="C134" s="1" t="s">
        <v>44</v>
      </c>
      <c r="D134" s="1" t="s">
        <v>113</v>
      </c>
      <c r="E134" s="1">
        <v>3800</v>
      </c>
      <c r="F134" s="1">
        <v>0</v>
      </c>
      <c r="G134" s="1">
        <v>3800</v>
      </c>
    </row>
    <row r="135" spans="1:7" ht="12.75" customHeight="1" x14ac:dyDescent="0.2">
      <c r="A135" s="1">
        <v>20220430</v>
      </c>
      <c r="B135" s="1">
        <v>0</v>
      </c>
      <c r="C135" s="1" t="s">
        <v>44</v>
      </c>
      <c r="D135" s="1" t="s">
        <v>114</v>
      </c>
      <c r="E135" s="1">
        <v>5700</v>
      </c>
      <c r="F135" s="1">
        <v>0</v>
      </c>
      <c r="G135" s="1">
        <v>5700</v>
      </c>
    </row>
    <row r="136" spans="1:7" ht="12.75" customHeight="1" x14ac:dyDescent="0.2">
      <c r="A136" s="1">
        <v>20220430</v>
      </c>
      <c r="B136" s="1">
        <v>0</v>
      </c>
      <c r="C136" s="1" t="s">
        <v>44</v>
      </c>
      <c r="D136" s="1" t="s">
        <v>115</v>
      </c>
      <c r="E136" s="1">
        <v>7600</v>
      </c>
      <c r="F136" s="1">
        <v>0</v>
      </c>
      <c r="G136" s="1">
        <v>7600</v>
      </c>
    </row>
    <row r="137" spans="1:7" ht="12.75" customHeight="1" x14ac:dyDescent="0.2">
      <c r="A137" s="1">
        <v>20220430</v>
      </c>
      <c r="B137" s="1">
        <v>0</v>
      </c>
      <c r="C137" s="1" t="s">
        <v>44</v>
      </c>
      <c r="D137" s="1" t="s">
        <v>116</v>
      </c>
      <c r="E137" s="1">
        <v>9500</v>
      </c>
      <c r="F137" s="1">
        <v>0</v>
      </c>
      <c r="G137" s="1">
        <v>9500</v>
      </c>
    </row>
    <row r="138" spans="1:7" ht="12.75" customHeight="1" x14ac:dyDescent="0.2">
      <c r="A138" s="1">
        <v>20220430</v>
      </c>
      <c r="B138" s="1">
        <v>0</v>
      </c>
      <c r="C138" s="1" t="s">
        <v>42</v>
      </c>
      <c r="D138" s="1" t="s">
        <v>33</v>
      </c>
      <c r="E138" s="1">
        <v>1900</v>
      </c>
      <c r="F138" s="1">
        <v>0</v>
      </c>
      <c r="G138" s="1">
        <v>1900</v>
      </c>
    </row>
    <row r="139" spans="1:7" ht="12.75" customHeight="1" x14ac:dyDescent="0.2">
      <c r="A139" s="1">
        <v>20220430</v>
      </c>
      <c r="B139" s="1">
        <v>0</v>
      </c>
      <c r="C139" s="1" t="s">
        <v>42</v>
      </c>
      <c r="D139" s="1" t="s">
        <v>113</v>
      </c>
      <c r="E139" s="1">
        <v>3800</v>
      </c>
      <c r="F139" s="1">
        <v>0</v>
      </c>
      <c r="G139" s="1">
        <v>3800</v>
      </c>
    </row>
    <row r="140" spans="1:7" ht="12.75" customHeight="1" x14ac:dyDescent="0.2">
      <c r="A140" s="1">
        <v>20220430</v>
      </c>
      <c r="B140" s="1">
        <v>0</v>
      </c>
      <c r="C140" s="1" t="s">
        <v>42</v>
      </c>
      <c r="D140" s="1" t="s">
        <v>114</v>
      </c>
      <c r="E140" s="1">
        <v>5700</v>
      </c>
      <c r="F140" s="1">
        <v>0</v>
      </c>
      <c r="G140" s="1">
        <v>5700</v>
      </c>
    </row>
    <row r="141" spans="1:7" ht="12.75" customHeight="1" x14ac:dyDescent="0.2">
      <c r="A141" s="1">
        <v>20220430</v>
      </c>
      <c r="B141" s="1">
        <v>0</v>
      </c>
      <c r="C141" s="1" t="s">
        <v>42</v>
      </c>
      <c r="D141" s="1" t="s">
        <v>115</v>
      </c>
      <c r="E141" s="1">
        <v>7600</v>
      </c>
      <c r="F141" s="1">
        <v>0</v>
      </c>
      <c r="G141" s="1">
        <v>7600</v>
      </c>
    </row>
    <row r="142" spans="1:7" ht="12.75" customHeight="1" x14ac:dyDescent="0.2">
      <c r="A142" s="1">
        <v>20220430</v>
      </c>
      <c r="B142" s="1">
        <v>0</v>
      </c>
      <c r="C142" s="1" t="s">
        <v>42</v>
      </c>
      <c r="D142" s="1" t="s">
        <v>116</v>
      </c>
      <c r="E142" s="1">
        <v>9500</v>
      </c>
      <c r="F142" s="1">
        <v>0</v>
      </c>
      <c r="G142" s="1">
        <v>9500</v>
      </c>
    </row>
    <row r="143" spans="1:7" ht="12.75" customHeight="1" x14ac:dyDescent="0.2">
      <c r="A143" s="1">
        <v>20220430</v>
      </c>
      <c r="B143" s="1">
        <v>0</v>
      </c>
      <c r="C143" s="1" t="s">
        <v>43</v>
      </c>
      <c r="D143" s="1" t="s">
        <v>33</v>
      </c>
      <c r="E143" s="1">
        <v>0</v>
      </c>
      <c r="F143" s="1">
        <v>0</v>
      </c>
      <c r="G143" s="1">
        <v>0</v>
      </c>
    </row>
    <row r="144" spans="1:7" ht="12.75" customHeight="1" x14ac:dyDescent="0.2">
      <c r="A144" s="1">
        <v>20220430</v>
      </c>
      <c r="B144" s="1">
        <v>0</v>
      </c>
      <c r="C144" s="1" t="s">
        <v>43</v>
      </c>
      <c r="D144" s="1" t="s">
        <v>113</v>
      </c>
      <c r="E144" s="1">
        <v>0</v>
      </c>
      <c r="F144" s="1">
        <v>0</v>
      </c>
      <c r="G144" s="1">
        <v>0</v>
      </c>
    </row>
    <row r="145" spans="1:7" ht="12.75" customHeight="1" x14ac:dyDescent="0.2">
      <c r="A145" s="1">
        <v>20220430</v>
      </c>
      <c r="B145" s="1">
        <v>0</v>
      </c>
      <c r="C145" s="1" t="s">
        <v>43</v>
      </c>
      <c r="D145" s="1" t="s">
        <v>114</v>
      </c>
      <c r="E145" s="1">
        <v>0</v>
      </c>
      <c r="F145" s="1">
        <v>0</v>
      </c>
      <c r="G145" s="1">
        <v>0</v>
      </c>
    </row>
    <row r="146" spans="1:7" ht="12.75" customHeight="1" x14ac:dyDescent="0.2">
      <c r="A146" s="1">
        <v>20220430</v>
      </c>
      <c r="B146" s="1">
        <v>0</v>
      </c>
      <c r="C146" s="1" t="s">
        <v>43</v>
      </c>
      <c r="D146" s="1" t="s">
        <v>115</v>
      </c>
      <c r="E146" s="1">
        <v>0</v>
      </c>
      <c r="F146" s="1">
        <v>0</v>
      </c>
      <c r="G146" s="1">
        <v>0</v>
      </c>
    </row>
    <row r="147" spans="1:7" ht="12.75" customHeight="1" x14ac:dyDescent="0.2">
      <c r="A147" s="1">
        <v>20220430</v>
      </c>
      <c r="B147" s="1">
        <v>0</v>
      </c>
      <c r="C147" s="1" t="s">
        <v>43</v>
      </c>
      <c r="D147" s="1" t="s">
        <v>116</v>
      </c>
      <c r="E147" s="1">
        <v>0</v>
      </c>
      <c r="F147" s="1">
        <v>0</v>
      </c>
      <c r="G147" s="1">
        <v>0</v>
      </c>
    </row>
    <row r="148" spans="1:7" ht="12.75" customHeight="1" x14ac:dyDescent="0.2">
      <c r="A148" s="1">
        <v>20220430</v>
      </c>
      <c r="B148" s="1">
        <v>2</v>
      </c>
      <c r="C148" s="1" t="s">
        <v>42</v>
      </c>
      <c r="D148" s="1" t="s">
        <v>33</v>
      </c>
      <c r="E148" s="1">
        <v>-223.09200000000001</v>
      </c>
      <c r="F148" s="1">
        <v>-96.542699999999996</v>
      </c>
      <c r="G148" s="1">
        <v>-319.63470000000001</v>
      </c>
    </row>
    <row r="149" spans="1:7" ht="12.75" customHeight="1" x14ac:dyDescent="0.2">
      <c r="A149" s="1">
        <v>20220430</v>
      </c>
      <c r="B149" s="1">
        <v>2</v>
      </c>
      <c r="C149" s="1" t="s">
        <v>42</v>
      </c>
      <c r="D149" s="1" t="s">
        <v>113</v>
      </c>
      <c r="E149" s="1">
        <v>-446.18400000000003</v>
      </c>
      <c r="F149" s="1">
        <v>-193.08539999999999</v>
      </c>
      <c r="G149" s="1">
        <v>-639.26940000000002</v>
      </c>
    </row>
    <row r="150" spans="1:7" ht="12.75" customHeight="1" x14ac:dyDescent="0.2">
      <c r="A150" s="1">
        <v>20220430</v>
      </c>
      <c r="B150" s="1">
        <v>2</v>
      </c>
      <c r="C150" s="1" t="s">
        <v>42</v>
      </c>
      <c r="D150" s="1" t="s">
        <v>114</v>
      </c>
      <c r="E150" s="1">
        <v>-669.27600000000007</v>
      </c>
      <c r="F150" s="1">
        <v>-289.62810000000002</v>
      </c>
      <c r="G150" s="1">
        <v>-958.90409999999997</v>
      </c>
    </row>
    <row r="151" spans="1:7" ht="12.75" customHeight="1" x14ac:dyDescent="0.2">
      <c r="A151" s="1">
        <v>20220430</v>
      </c>
      <c r="B151" s="1">
        <v>2</v>
      </c>
      <c r="C151" s="1" t="s">
        <v>42</v>
      </c>
      <c r="D151" s="1" t="s">
        <v>115</v>
      </c>
      <c r="E151" s="1">
        <v>-892.36800000000005</v>
      </c>
      <c r="F151" s="1">
        <v>-386.17079999999999</v>
      </c>
      <c r="G151" s="1">
        <v>-1278.5388</v>
      </c>
    </row>
    <row r="152" spans="1:7" ht="12.75" customHeight="1" x14ac:dyDescent="0.2">
      <c r="A152" s="1">
        <v>20220430</v>
      </c>
      <c r="B152" s="1">
        <v>2</v>
      </c>
      <c r="C152" s="1" t="s">
        <v>42</v>
      </c>
      <c r="D152" s="1" t="s">
        <v>116</v>
      </c>
      <c r="E152" s="1">
        <v>-1115.46</v>
      </c>
      <c r="F152" s="1">
        <v>-482.71349999999995</v>
      </c>
      <c r="G152" s="1">
        <v>-1598.1735000000001</v>
      </c>
    </row>
    <row r="153" spans="1:7" ht="12.75" customHeight="1" x14ac:dyDescent="0.2">
      <c r="A153" s="1">
        <v>20220430</v>
      </c>
      <c r="B153" s="1">
        <v>2</v>
      </c>
      <c r="C153" s="1" t="s">
        <v>34</v>
      </c>
      <c r="D153" s="1" t="s">
        <v>33</v>
      </c>
      <c r="E153" s="1">
        <v>-223.09200000000001</v>
      </c>
      <c r="F153" s="1">
        <v>-96.542699999999996</v>
      </c>
      <c r="G153" s="1">
        <v>-319.63470000000001</v>
      </c>
    </row>
    <row r="154" spans="1:7" ht="12.75" customHeight="1" x14ac:dyDescent="0.2">
      <c r="A154" s="1">
        <v>20220430</v>
      </c>
      <c r="B154" s="1">
        <v>2</v>
      </c>
      <c r="C154" s="1" t="s">
        <v>34</v>
      </c>
      <c r="D154" s="1" t="s">
        <v>113</v>
      </c>
      <c r="E154" s="1">
        <v>-446.18400000000003</v>
      </c>
      <c r="F154" s="1">
        <v>-193.08539999999999</v>
      </c>
      <c r="G154" s="1">
        <v>-639.26940000000002</v>
      </c>
    </row>
    <row r="155" spans="1:7" ht="12.75" customHeight="1" x14ac:dyDescent="0.2">
      <c r="A155" s="1">
        <v>20220430</v>
      </c>
      <c r="B155" s="1">
        <v>2</v>
      </c>
      <c r="C155" s="1" t="s">
        <v>34</v>
      </c>
      <c r="D155" s="1" t="s">
        <v>114</v>
      </c>
      <c r="E155" s="1">
        <v>-669.27600000000007</v>
      </c>
      <c r="F155" s="1">
        <v>-289.62810000000002</v>
      </c>
      <c r="G155" s="1">
        <v>-958.90409999999997</v>
      </c>
    </row>
    <row r="156" spans="1:7" ht="12.75" customHeight="1" x14ac:dyDescent="0.2">
      <c r="A156" s="1">
        <v>20220430</v>
      </c>
      <c r="B156" s="1">
        <v>2</v>
      </c>
      <c r="C156" s="1" t="s">
        <v>34</v>
      </c>
      <c r="D156" s="1" t="s">
        <v>115</v>
      </c>
      <c r="E156" s="1">
        <v>-892.36800000000005</v>
      </c>
      <c r="F156" s="1">
        <v>-386.17079999999999</v>
      </c>
      <c r="G156" s="1">
        <v>-1278.5388</v>
      </c>
    </row>
    <row r="157" spans="1:7" ht="12.75" customHeight="1" x14ac:dyDescent="0.2">
      <c r="A157" s="1">
        <v>20220430</v>
      </c>
      <c r="B157" s="1">
        <v>2</v>
      </c>
      <c r="C157" s="1" t="s">
        <v>34</v>
      </c>
      <c r="D157" s="1" t="s">
        <v>116</v>
      </c>
      <c r="E157" s="1">
        <v>-1115.46</v>
      </c>
      <c r="F157" s="1">
        <v>-482.71349999999995</v>
      </c>
      <c r="G157" s="1">
        <v>-1598.1735000000001</v>
      </c>
    </row>
    <row r="158" spans="1:7" ht="12.75" customHeight="1" x14ac:dyDescent="0.2">
      <c r="A158" s="1">
        <v>20220430</v>
      </c>
      <c r="B158" s="1">
        <v>3</v>
      </c>
      <c r="C158" s="1" t="s">
        <v>42</v>
      </c>
      <c r="D158" s="1" t="s">
        <v>33</v>
      </c>
      <c r="E158" s="1">
        <v>-271.42860000000002</v>
      </c>
      <c r="F158" s="1">
        <v>-6.3491999999999997</v>
      </c>
      <c r="G158" s="1">
        <v>-277.77780000000001</v>
      </c>
    </row>
    <row r="159" spans="1:7" ht="12.75" customHeight="1" x14ac:dyDescent="0.2">
      <c r="A159" s="1">
        <v>20220430</v>
      </c>
      <c r="B159" s="1">
        <v>3</v>
      </c>
      <c r="C159" s="1" t="s">
        <v>42</v>
      </c>
      <c r="D159" s="1" t="s">
        <v>113</v>
      </c>
      <c r="E159" s="1">
        <v>-542.85720000000003</v>
      </c>
      <c r="F159" s="1">
        <v>-12.698399999999999</v>
      </c>
      <c r="G159" s="1">
        <v>-555.55560000000003</v>
      </c>
    </row>
    <row r="160" spans="1:7" ht="12.75" customHeight="1" x14ac:dyDescent="0.2">
      <c r="A160" s="1">
        <v>20220430</v>
      </c>
      <c r="B160" s="1">
        <v>3</v>
      </c>
      <c r="C160" s="1" t="s">
        <v>42</v>
      </c>
      <c r="D160" s="1" t="s">
        <v>114</v>
      </c>
      <c r="E160" s="1">
        <v>-814.28580000000011</v>
      </c>
      <c r="F160" s="1">
        <v>-19.047599999999999</v>
      </c>
      <c r="G160" s="1">
        <v>-833.33339999999998</v>
      </c>
    </row>
    <row r="161" spans="1:7" ht="12.75" customHeight="1" x14ac:dyDescent="0.2">
      <c r="A161" s="1">
        <v>20220430</v>
      </c>
      <c r="B161" s="1">
        <v>3</v>
      </c>
      <c r="C161" s="1" t="s">
        <v>42</v>
      </c>
      <c r="D161" s="1" t="s">
        <v>115</v>
      </c>
      <c r="E161" s="1">
        <v>-1085.7144000000001</v>
      </c>
      <c r="F161" s="1">
        <v>-25.396799999999999</v>
      </c>
      <c r="G161" s="1">
        <v>-1111.1112000000001</v>
      </c>
    </row>
    <row r="162" spans="1:7" ht="12.75" customHeight="1" x14ac:dyDescent="0.2">
      <c r="A162" s="1">
        <v>20220430</v>
      </c>
      <c r="B162" s="1">
        <v>3</v>
      </c>
      <c r="C162" s="1" t="s">
        <v>42</v>
      </c>
      <c r="D162" s="1" t="s">
        <v>116</v>
      </c>
      <c r="E162" s="1">
        <v>-1357.143</v>
      </c>
      <c r="F162" s="1">
        <v>-31.745999999999999</v>
      </c>
      <c r="G162" s="1">
        <v>-1388.8890000000001</v>
      </c>
    </row>
    <row r="163" spans="1:7" ht="12.75" customHeight="1" x14ac:dyDescent="0.2">
      <c r="A163" s="1">
        <v>20220430</v>
      </c>
      <c r="B163" s="1">
        <v>3</v>
      </c>
      <c r="C163" s="1" t="s">
        <v>34</v>
      </c>
      <c r="D163" s="1" t="s">
        <v>33</v>
      </c>
      <c r="E163" s="1">
        <v>-271.42860000000002</v>
      </c>
      <c r="F163" s="1">
        <v>-6.3491999999999997</v>
      </c>
      <c r="G163" s="1">
        <v>-277.77780000000001</v>
      </c>
    </row>
    <row r="164" spans="1:7" ht="12.75" customHeight="1" x14ac:dyDescent="0.2">
      <c r="A164" s="1">
        <v>20220430</v>
      </c>
      <c r="B164" s="1">
        <v>3</v>
      </c>
      <c r="C164" s="1" t="s">
        <v>34</v>
      </c>
      <c r="D164" s="1" t="s">
        <v>113</v>
      </c>
      <c r="E164" s="1">
        <v>-542.85720000000003</v>
      </c>
      <c r="F164" s="1">
        <v>-12.698399999999999</v>
      </c>
      <c r="G164" s="1">
        <v>-555.55560000000003</v>
      </c>
    </row>
    <row r="165" spans="1:7" ht="12.75" customHeight="1" x14ac:dyDescent="0.2">
      <c r="A165" s="1">
        <v>20220430</v>
      </c>
      <c r="B165" s="1">
        <v>3</v>
      </c>
      <c r="C165" s="1" t="s">
        <v>34</v>
      </c>
      <c r="D165" s="1" t="s">
        <v>114</v>
      </c>
      <c r="E165" s="1">
        <v>-814.28580000000011</v>
      </c>
      <c r="F165" s="1">
        <v>-19.047599999999999</v>
      </c>
      <c r="G165" s="1">
        <v>-833.33339999999998</v>
      </c>
    </row>
    <row r="166" spans="1:7" ht="12.75" customHeight="1" x14ac:dyDescent="0.2">
      <c r="A166" s="1">
        <v>20220430</v>
      </c>
      <c r="B166" s="1">
        <v>3</v>
      </c>
      <c r="C166" s="1" t="s">
        <v>34</v>
      </c>
      <c r="D166" s="1" t="s">
        <v>115</v>
      </c>
      <c r="E166" s="1">
        <v>-1085.7144000000001</v>
      </c>
      <c r="F166" s="1">
        <v>-25.396799999999999</v>
      </c>
      <c r="G166" s="1">
        <v>-1111.1112000000001</v>
      </c>
    </row>
    <row r="167" spans="1:7" ht="12.75" customHeight="1" x14ac:dyDescent="0.2">
      <c r="A167" s="1">
        <v>20220430</v>
      </c>
      <c r="B167" s="1">
        <v>3</v>
      </c>
      <c r="C167" s="1" t="s">
        <v>34</v>
      </c>
      <c r="D167" s="1" t="s">
        <v>116</v>
      </c>
      <c r="E167" s="1">
        <v>-1357.143</v>
      </c>
      <c r="F167" s="1">
        <v>-31.745999999999999</v>
      </c>
      <c r="G167" s="1">
        <v>-1388.8890000000001</v>
      </c>
    </row>
    <row r="168" spans="1:7" ht="12.75" customHeight="1" x14ac:dyDescent="0.2">
      <c r="A168" s="1">
        <v>20220430</v>
      </c>
      <c r="B168" s="1">
        <v>4</v>
      </c>
      <c r="C168" s="1" t="s">
        <v>42</v>
      </c>
      <c r="D168" s="1" t="s">
        <v>33</v>
      </c>
      <c r="E168" s="1">
        <v>-111.54600000000001</v>
      </c>
      <c r="F168" s="1">
        <v>-208.08869999999999</v>
      </c>
      <c r="G168" s="1">
        <v>-319.63470000000001</v>
      </c>
    </row>
    <row r="169" spans="1:7" ht="12.75" customHeight="1" x14ac:dyDescent="0.2">
      <c r="A169" s="1">
        <v>20220430</v>
      </c>
      <c r="B169" s="1">
        <v>4</v>
      </c>
      <c r="C169" s="1" t="s">
        <v>42</v>
      </c>
      <c r="D169" s="1" t="s">
        <v>113</v>
      </c>
      <c r="E169" s="1">
        <v>-223.09200000000001</v>
      </c>
      <c r="F169" s="1">
        <v>-416.17739999999998</v>
      </c>
      <c r="G169" s="1">
        <v>-639.26940000000002</v>
      </c>
    </row>
    <row r="170" spans="1:7" ht="12.75" customHeight="1" x14ac:dyDescent="0.2">
      <c r="A170" s="1">
        <v>20220430</v>
      </c>
      <c r="B170" s="1">
        <v>4</v>
      </c>
      <c r="C170" s="1" t="s">
        <v>42</v>
      </c>
      <c r="D170" s="1" t="s">
        <v>114</v>
      </c>
      <c r="E170" s="1">
        <v>-334.63800000000003</v>
      </c>
      <c r="F170" s="1">
        <v>-624.26609999999994</v>
      </c>
      <c r="G170" s="1">
        <v>-958.90409999999997</v>
      </c>
    </row>
    <row r="171" spans="1:7" ht="12.75" customHeight="1" x14ac:dyDescent="0.2">
      <c r="A171" s="1">
        <v>20220430</v>
      </c>
      <c r="B171" s="1">
        <v>4</v>
      </c>
      <c r="C171" s="1" t="s">
        <v>42</v>
      </c>
      <c r="D171" s="1" t="s">
        <v>115</v>
      </c>
      <c r="E171" s="1">
        <v>-446.18400000000003</v>
      </c>
      <c r="F171" s="1">
        <v>-832.35479999999995</v>
      </c>
      <c r="G171" s="1">
        <v>-1278.5388</v>
      </c>
    </row>
    <row r="172" spans="1:7" ht="12.75" customHeight="1" x14ac:dyDescent="0.2">
      <c r="A172" s="1">
        <v>20220430</v>
      </c>
      <c r="B172" s="1">
        <v>4</v>
      </c>
      <c r="C172" s="1" t="s">
        <v>42</v>
      </c>
      <c r="D172" s="1" t="s">
        <v>116</v>
      </c>
      <c r="E172" s="1">
        <v>-557.73</v>
      </c>
      <c r="F172" s="1">
        <v>-1040.4434999999999</v>
      </c>
      <c r="G172" s="1">
        <v>-1598.1735000000001</v>
      </c>
    </row>
    <row r="173" spans="1:7" ht="12.75" customHeight="1" x14ac:dyDescent="0.2">
      <c r="A173" s="1">
        <v>20220430</v>
      </c>
      <c r="B173" s="1">
        <v>4</v>
      </c>
      <c r="C173" s="1" t="s">
        <v>34</v>
      </c>
      <c r="D173" s="1" t="s">
        <v>33</v>
      </c>
      <c r="E173" s="1">
        <v>-111.54600000000001</v>
      </c>
      <c r="F173" s="1">
        <v>-208.08869999999999</v>
      </c>
      <c r="G173" s="1">
        <v>-319.63470000000001</v>
      </c>
    </row>
    <row r="174" spans="1:7" ht="12.75" customHeight="1" x14ac:dyDescent="0.2">
      <c r="A174" s="1">
        <v>20220430</v>
      </c>
      <c r="B174" s="1">
        <v>4</v>
      </c>
      <c r="C174" s="1" t="s">
        <v>34</v>
      </c>
      <c r="D174" s="1" t="s">
        <v>113</v>
      </c>
      <c r="E174" s="1">
        <v>-223.09200000000001</v>
      </c>
      <c r="F174" s="1">
        <v>-416.17739999999998</v>
      </c>
      <c r="G174" s="1">
        <v>-639.26940000000002</v>
      </c>
    </row>
    <row r="175" spans="1:7" ht="12.75" customHeight="1" x14ac:dyDescent="0.2">
      <c r="A175" s="1">
        <v>20220430</v>
      </c>
      <c r="B175" s="1">
        <v>4</v>
      </c>
      <c r="C175" s="1" t="s">
        <v>34</v>
      </c>
      <c r="D175" s="1" t="s">
        <v>114</v>
      </c>
      <c r="E175" s="1">
        <v>-334.63800000000003</v>
      </c>
      <c r="F175" s="1">
        <v>-624.26609999999994</v>
      </c>
      <c r="G175" s="1">
        <v>-958.90409999999997</v>
      </c>
    </row>
    <row r="176" spans="1:7" ht="12.75" customHeight="1" x14ac:dyDescent="0.2">
      <c r="A176" s="1">
        <v>20220430</v>
      </c>
      <c r="B176" s="1">
        <v>4</v>
      </c>
      <c r="C176" s="1" t="s">
        <v>34</v>
      </c>
      <c r="D176" s="1" t="s">
        <v>115</v>
      </c>
      <c r="E176" s="1">
        <v>-446.18400000000003</v>
      </c>
      <c r="F176" s="1">
        <v>-832.35479999999995</v>
      </c>
      <c r="G176" s="1">
        <v>-1278.5388</v>
      </c>
    </row>
    <row r="177" spans="1:7" ht="12.75" customHeight="1" x14ac:dyDescent="0.2">
      <c r="A177" s="1">
        <v>20220430</v>
      </c>
      <c r="B177" s="1">
        <v>4</v>
      </c>
      <c r="C177" s="1" t="s">
        <v>34</v>
      </c>
      <c r="D177" s="1" t="s">
        <v>116</v>
      </c>
      <c r="E177" s="1">
        <v>-557.73</v>
      </c>
      <c r="F177" s="1">
        <v>-1040.4434999999999</v>
      </c>
      <c r="G177" s="1">
        <v>-1598.1735000000001</v>
      </c>
    </row>
    <row r="178" spans="1:7" ht="12.75" customHeight="1" x14ac:dyDescent="0.2">
      <c r="A178" s="1">
        <v>20220531</v>
      </c>
      <c r="B178" s="1">
        <v>0</v>
      </c>
      <c r="C178" s="1" t="s">
        <v>44</v>
      </c>
      <c r="D178" s="1" t="s">
        <v>33</v>
      </c>
      <c r="E178" s="1">
        <v>1900</v>
      </c>
      <c r="F178" s="1">
        <v>600</v>
      </c>
      <c r="G178" s="1">
        <v>2500</v>
      </c>
    </row>
    <row r="179" spans="1:7" ht="12.75" customHeight="1" x14ac:dyDescent="0.2">
      <c r="A179" s="1">
        <v>20220531</v>
      </c>
      <c r="B179" s="1">
        <v>0</v>
      </c>
      <c r="C179" s="1" t="s">
        <v>44</v>
      </c>
      <c r="D179" s="1" t="s">
        <v>113</v>
      </c>
      <c r="E179" s="1">
        <v>3800</v>
      </c>
      <c r="F179" s="1">
        <v>1200</v>
      </c>
      <c r="G179" s="1">
        <v>5000</v>
      </c>
    </row>
    <row r="180" spans="1:7" ht="12.75" customHeight="1" x14ac:dyDescent="0.2">
      <c r="A180" s="1">
        <v>20220531</v>
      </c>
      <c r="B180" s="1">
        <v>0</v>
      </c>
      <c r="C180" s="1" t="s">
        <v>44</v>
      </c>
      <c r="D180" s="1" t="s">
        <v>114</v>
      </c>
      <c r="E180" s="1">
        <v>5700</v>
      </c>
      <c r="F180" s="1">
        <v>1800</v>
      </c>
      <c r="G180" s="1">
        <v>7500</v>
      </c>
    </row>
    <row r="181" spans="1:7" ht="12.75" customHeight="1" x14ac:dyDescent="0.2">
      <c r="A181" s="1">
        <v>20220531</v>
      </c>
      <c r="B181" s="1">
        <v>0</v>
      </c>
      <c r="C181" s="1" t="s">
        <v>44</v>
      </c>
      <c r="D181" s="1" t="s">
        <v>115</v>
      </c>
      <c r="E181" s="1">
        <v>7600</v>
      </c>
      <c r="F181" s="1">
        <v>2400</v>
      </c>
      <c r="G181" s="1">
        <v>10000</v>
      </c>
    </row>
    <row r="182" spans="1:7" ht="12.75" customHeight="1" x14ac:dyDescent="0.2">
      <c r="A182" s="1">
        <v>20220531</v>
      </c>
      <c r="B182" s="1">
        <v>0</v>
      </c>
      <c r="C182" s="1" t="s">
        <v>44</v>
      </c>
      <c r="D182" s="1" t="s">
        <v>116</v>
      </c>
      <c r="E182" s="1">
        <v>9500</v>
      </c>
      <c r="F182" s="1">
        <v>3000</v>
      </c>
      <c r="G182" s="1">
        <v>12500</v>
      </c>
    </row>
    <row r="183" spans="1:7" ht="12.75" customHeight="1" x14ac:dyDescent="0.2">
      <c r="A183" s="1">
        <v>20220531</v>
      </c>
      <c r="B183" s="1">
        <v>0</v>
      </c>
      <c r="C183" s="1" t="s">
        <v>42</v>
      </c>
      <c r="D183" s="1" t="s">
        <v>33</v>
      </c>
      <c r="E183" s="1">
        <v>1900</v>
      </c>
      <c r="F183" s="1">
        <v>600</v>
      </c>
      <c r="G183" s="1">
        <v>2500</v>
      </c>
    </row>
    <row r="184" spans="1:7" ht="12.75" customHeight="1" x14ac:dyDescent="0.2">
      <c r="A184" s="1">
        <v>20220531</v>
      </c>
      <c r="B184" s="1">
        <v>0</v>
      </c>
      <c r="C184" s="1" t="s">
        <v>42</v>
      </c>
      <c r="D184" s="1" t="s">
        <v>113</v>
      </c>
      <c r="E184" s="1">
        <v>3800</v>
      </c>
      <c r="F184" s="1">
        <v>1200</v>
      </c>
      <c r="G184" s="1">
        <v>5000</v>
      </c>
    </row>
    <row r="185" spans="1:7" ht="12.75" customHeight="1" x14ac:dyDescent="0.2">
      <c r="A185" s="1">
        <v>20220531</v>
      </c>
      <c r="B185" s="1">
        <v>0</v>
      </c>
      <c r="C185" s="1" t="s">
        <v>42</v>
      </c>
      <c r="D185" s="1" t="s">
        <v>114</v>
      </c>
      <c r="E185" s="1">
        <v>5700</v>
      </c>
      <c r="F185" s="1">
        <v>1800</v>
      </c>
      <c r="G185" s="1">
        <v>7500</v>
      </c>
    </row>
    <row r="186" spans="1:7" ht="12.75" customHeight="1" x14ac:dyDescent="0.2">
      <c r="A186" s="1">
        <v>20220531</v>
      </c>
      <c r="B186" s="1">
        <v>0</v>
      </c>
      <c r="C186" s="1" t="s">
        <v>42</v>
      </c>
      <c r="D186" s="1" t="s">
        <v>115</v>
      </c>
      <c r="E186" s="1">
        <v>7600</v>
      </c>
      <c r="F186" s="1">
        <v>2400</v>
      </c>
      <c r="G186" s="1">
        <v>10000</v>
      </c>
    </row>
    <row r="187" spans="1:7" ht="12.75" customHeight="1" x14ac:dyDescent="0.2">
      <c r="A187" s="1">
        <v>20220531</v>
      </c>
      <c r="B187" s="1">
        <v>0</v>
      </c>
      <c r="C187" s="1" t="s">
        <v>42</v>
      </c>
      <c r="D187" s="1" t="s">
        <v>116</v>
      </c>
      <c r="E187" s="1">
        <v>9500</v>
      </c>
      <c r="F187" s="1">
        <v>3000</v>
      </c>
      <c r="G187" s="1">
        <v>12500</v>
      </c>
    </row>
    <row r="188" spans="1:7" ht="12.75" customHeight="1" x14ac:dyDescent="0.2">
      <c r="A188" s="1">
        <v>20220531</v>
      </c>
      <c r="B188" s="1">
        <v>0</v>
      </c>
      <c r="C188" s="1" t="s">
        <v>43</v>
      </c>
      <c r="D188" s="1" t="s">
        <v>33</v>
      </c>
      <c r="E188" s="1">
        <v>0</v>
      </c>
      <c r="F188" s="1">
        <v>0</v>
      </c>
      <c r="G188" s="1">
        <v>0</v>
      </c>
    </row>
    <row r="189" spans="1:7" ht="12.75" customHeight="1" x14ac:dyDescent="0.2">
      <c r="A189" s="1">
        <v>20220531</v>
      </c>
      <c r="B189" s="1">
        <v>0</v>
      </c>
      <c r="C189" s="1" t="s">
        <v>43</v>
      </c>
      <c r="D189" s="1" t="s">
        <v>113</v>
      </c>
      <c r="E189" s="1">
        <v>0</v>
      </c>
      <c r="F189" s="1">
        <v>0</v>
      </c>
      <c r="G189" s="1">
        <v>0</v>
      </c>
    </row>
    <row r="190" spans="1:7" ht="12.75" customHeight="1" x14ac:dyDescent="0.2">
      <c r="A190" s="1">
        <v>20220531</v>
      </c>
      <c r="B190" s="1">
        <v>0</v>
      </c>
      <c r="C190" s="1" t="s">
        <v>43</v>
      </c>
      <c r="D190" s="1" t="s">
        <v>114</v>
      </c>
      <c r="E190" s="1">
        <v>0</v>
      </c>
      <c r="F190" s="1">
        <v>0</v>
      </c>
      <c r="G190" s="1">
        <v>0</v>
      </c>
    </row>
    <row r="191" spans="1:7" ht="12.75" customHeight="1" x14ac:dyDescent="0.2">
      <c r="A191" s="1">
        <v>20220531</v>
      </c>
      <c r="B191" s="1">
        <v>0</v>
      </c>
      <c r="C191" s="1" t="s">
        <v>43</v>
      </c>
      <c r="D191" s="1" t="s">
        <v>115</v>
      </c>
      <c r="E191" s="1">
        <v>0</v>
      </c>
      <c r="F191" s="1">
        <v>0</v>
      </c>
      <c r="G191" s="1">
        <v>0</v>
      </c>
    </row>
    <row r="192" spans="1:7" ht="12.75" customHeight="1" x14ac:dyDescent="0.2">
      <c r="A192" s="1">
        <v>20220531</v>
      </c>
      <c r="B192" s="1">
        <v>0</v>
      </c>
      <c r="C192" s="1" t="s">
        <v>43</v>
      </c>
      <c r="D192" s="1" t="s">
        <v>116</v>
      </c>
      <c r="E192" s="1">
        <v>0</v>
      </c>
      <c r="F192" s="1">
        <v>0</v>
      </c>
      <c r="G192" s="1">
        <v>0</v>
      </c>
    </row>
    <row r="193" spans="1:7" ht="12.75" customHeight="1" x14ac:dyDescent="0.2">
      <c r="A193" s="1">
        <v>20220531</v>
      </c>
      <c r="B193" s="1">
        <v>2</v>
      </c>
      <c r="C193" s="1" t="s">
        <v>42</v>
      </c>
      <c r="D193" s="1" t="s">
        <v>33</v>
      </c>
      <c r="E193" s="1">
        <v>-319.63470000000001</v>
      </c>
      <c r="F193" s="1">
        <v>-94.368300000000005</v>
      </c>
      <c r="G193" s="1">
        <v>-414.00300000000004</v>
      </c>
    </row>
    <row r="194" spans="1:7" ht="12.75" customHeight="1" x14ac:dyDescent="0.2">
      <c r="A194" s="1">
        <v>20220531</v>
      </c>
      <c r="B194" s="1">
        <v>2</v>
      </c>
      <c r="C194" s="1" t="s">
        <v>42</v>
      </c>
      <c r="D194" s="1" t="s">
        <v>113</v>
      </c>
      <c r="E194" s="1">
        <v>-639.26940000000002</v>
      </c>
      <c r="F194" s="1">
        <v>-188.73660000000001</v>
      </c>
      <c r="G194" s="1">
        <v>-828.00600000000009</v>
      </c>
    </row>
    <row r="195" spans="1:7" ht="12.75" customHeight="1" x14ac:dyDescent="0.2">
      <c r="A195" s="1">
        <v>20220531</v>
      </c>
      <c r="B195" s="1">
        <v>2</v>
      </c>
      <c r="C195" s="1" t="s">
        <v>42</v>
      </c>
      <c r="D195" s="1" t="s">
        <v>114</v>
      </c>
      <c r="E195" s="1">
        <v>-958.90409999999997</v>
      </c>
      <c r="F195" s="1">
        <v>-283.10490000000004</v>
      </c>
      <c r="G195" s="1">
        <v>-1242.009</v>
      </c>
    </row>
    <row r="196" spans="1:7" ht="12.75" customHeight="1" x14ac:dyDescent="0.2">
      <c r="A196" s="1">
        <v>20220531</v>
      </c>
      <c r="B196" s="1">
        <v>2</v>
      </c>
      <c r="C196" s="1" t="s">
        <v>42</v>
      </c>
      <c r="D196" s="1" t="s">
        <v>115</v>
      </c>
      <c r="E196" s="1">
        <v>-1278.5388</v>
      </c>
      <c r="F196" s="1">
        <v>-377.47320000000002</v>
      </c>
      <c r="G196" s="1">
        <v>-1656.0120000000002</v>
      </c>
    </row>
    <row r="197" spans="1:7" ht="12.75" customHeight="1" x14ac:dyDescent="0.2">
      <c r="A197" s="1">
        <v>20220531</v>
      </c>
      <c r="B197" s="1">
        <v>2</v>
      </c>
      <c r="C197" s="1" t="s">
        <v>42</v>
      </c>
      <c r="D197" s="1" t="s">
        <v>116</v>
      </c>
      <c r="E197" s="1">
        <v>-1598.1735000000001</v>
      </c>
      <c r="F197" s="1">
        <v>-471.8415</v>
      </c>
      <c r="G197" s="1">
        <v>-2070.0150000000003</v>
      </c>
    </row>
    <row r="198" spans="1:7" ht="12.75" customHeight="1" x14ac:dyDescent="0.2">
      <c r="A198" s="1">
        <v>20220531</v>
      </c>
      <c r="B198" s="1">
        <v>2</v>
      </c>
      <c r="C198" s="1" t="s">
        <v>34</v>
      </c>
      <c r="D198" s="1" t="s">
        <v>33</v>
      </c>
      <c r="E198" s="1">
        <v>-319.63470000000001</v>
      </c>
      <c r="F198" s="1">
        <v>-94.368300000000005</v>
      </c>
      <c r="G198" s="1">
        <v>-414.00300000000004</v>
      </c>
    </row>
    <row r="199" spans="1:7" ht="12.75" customHeight="1" x14ac:dyDescent="0.2">
      <c r="A199" s="1">
        <v>20220531</v>
      </c>
      <c r="B199" s="1">
        <v>2</v>
      </c>
      <c r="C199" s="1" t="s">
        <v>34</v>
      </c>
      <c r="D199" s="1" t="s">
        <v>113</v>
      </c>
      <c r="E199" s="1">
        <v>-639.26940000000002</v>
      </c>
      <c r="F199" s="1">
        <v>-188.73660000000001</v>
      </c>
      <c r="G199" s="1">
        <v>-828.00600000000009</v>
      </c>
    </row>
    <row r="200" spans="1:7" ht="12.75" customHeight="1" x14ac:dyDescent="0.2">
      <c r="A200" s="1">
        <v>20220531</v>
      </c>
      <c r="B200" s="1">
        <v>2</v>
      </c>
      <c r="C200" s="1" t="s">
        <v>34</v>
      </c>
      <c r="D200" s="1" t="s">
        <v>114</v>
      </c>
      <c r="E200" s="1">
        <v>-958.90409999999997</v>
      </c>
      <c r="F200" s="1">
        <v>-283.10490000000004</v>
      </c>
      <c r="G200" s="1">
        <v>-1242.009</v>
      </c>
    </row>
    <row r="201" spans="1:7" ht="12.75" customHeight="1" x14ac:dyDescent="0.2">
      <c r="A201" s="1">
        <v>20220531</v>
      </c>
      <c r="B201" s="1">
        <v>2</v>
      </c>
      <c r="C201" s="1" t="s">
        <v>34</v>
      </c>
      <c r="D201" s="1" t="s">
        <v>115</v>
      </c>
      <c r="E201" s="1">
        <v>-1278.5388</v>
      </c>
      <c r="F201" s="1">
        <v>-377.47320000000002</v>
      </c>
      <c r="G201" s="1">
        <v>-1656.0120000000002</v>
      </c>
    </row>
    <row r="202" spans="1:7" ht="12.75" customHeight="1" x14ac:dyDescent="0.2">
      <c r="A202" s="1">
        <v>20220531</v>
      </c>
      <c r="B202" s="1">
        <v>2</v>
      </c>
      <c r="C202" s="1" t="s">
        <v>34</v>
      </c>
      <c r="D202" s="1" t="s">
        <v>116</v>
      </c>
      <c r="E202" s="1">
        <v>-1598.1735000000001</v>
      </c>
      <c r="F202" s="1">
        <v>-471.8415</v>
      </c>
      <c r="G202" s="1">
        <v>-2070.0150000000003</v>
      </c>
    </row>
    <row r="203" spans="1:7" ht="12.75" customHeight="1" x14ac:dyDescent="0.2">
      <c r="A203" s="1">
        <v>20220531</v>
      </c>
      <c r="B203" s="1">
        <v>3</v>
      </c>
      <c r="C203" s="1" t="s">
        <v>42</v>
      </c>
      <c r="D203" s="1" t="s">
        <v>33</v>
      </c>
      <c r="E203" s="1">
        <v>-277.77780000000001</v>
      </c>
      <c r="F203" s="1">
        <v>0</v>
      </c>
      <c r="G203" s="1">
        <v>-277.77780000000001</v>
      </c>
    </row>
    <row r="204" spans="1:7" ht="12.75" customHeight="1" x14ac:dyDescent="0.2">
      <c r="A204" s="1">
        <v>20220531</v>
      </c>
      <c r="B204" s="1">
        <v>3</v>
      </c>
      <c r="C204" s="1" t="s">
        <v>42</v>
      </c>
      <c r="D204" s="1" t="s">
        <v>113</v>
      </c>
      <c r="E204" s="1">
        <v>-555.55560000000003</v>
      </c>
      <c r="F204" s="1">
        <v>0</v>
      </c>
      <c r="G204" s="1">
        <v>-555.55560000000003</v>
      </c>
    </row>
    <row r="205" spans="1:7" ht="12.75" customHeight="1" x14ac:dyDescent="0.2">
      <c r="A205" s="1">
        <v>20220531</v>
      </c>
      <c r="B205" s="1">
        <v>3</v>
      </c>
      <c r="C205" s="1" t="s">
        <v>42</v>
      </c>
      <c r="D205" s="1" t="s">
        <v>114</v>
      </c>
      <c r="E205" s="1">
        <v>-833.33339999999998</v>
      </c>
      <c r="F205" s="1">
        <v>0</v>
      </c>
      <c r="G205" s="1">
        <v>-833.33339999999998</v>
      </c>
    </row>
    <row r="206" spans="1:7" ht="12.75" customHeight="1" x14ac:dyDescent="0.2">
      <c r="A206" s="1">
        <v>20220531</v>
      </c>
      <c r="B206" s="1">
        <v>3</v>
      </c>
      <c r="C206" s="1" t="s">
        <v>42</v>
      </c>
      <c r="D206" s="1" t="s">
        <v>115</v>
      </c>
      <c r="E206" s="1">
        <v>-1111.1112000000001</v>
      </c>
      <c r="F206" s="1">
        <v>0</v>
      </c>
      <c r="G206" s="1">
        <v>-1111.1112000000001</v>
      </c>
    </row>
    <row r="207" spans="1:7" ht="12.75" customHeight="1" x14ac:dyDescent="0.2">
      <c r="A207" s="1">
        <v>20220531</v>
      </c>
      <c r="B207" s="1">
        <v>3</v>
      </c>
      <c r="C207" s="1" t="s">
        <v>42</v>
      </c>
      <c r="D207" s="1" t="s">
        <v>116</v>
      </c>
      <c r="E207" s="1">
        <v>-1388.8890000000001</v>
      </c>
      <c r="F207" s="1">
        <v>0</v>
      </c>
      <c r="G207" s="1">
        <v>-1388.8890000000001</v>
      </c>
    </row>
    <row r="208" spans="1:7" ht="12.75" customHeight="1" x14ac:dyDescent="0.2">
      <c r="A208" s="1">
        <v>20220531</v>
      </c>
      <c r="B208" s="1">
        <v>3</v>
      </c>
      <c r="C208" s="1" t="s">
        <v>34</v>
      </c>
      <c r="D208" s="1" t="s">
        <v>33</v>
      </c>
      <c r="E208" s="1">
        <v>-277.77780000000001</v>
      </c>
      <c r="F208" s="1">
        <v>0</v>
      </c>
      <c r="G208" s="1">
        <v>-277.77780000000001</v>
      </c>
    </row>
    <row r="209" spans="1:7" ht="12.75" customHeight="1" x14ac:dyDescent="0.2">
      <c r="A209" s="1">
        <v>20220531</v>
      </c>
      <c r="B209" s="1">
        <v>3</v>
      </c>
      <c r="C209" s="1" t="s">
        <v>34</v>
      </c>
      <c r="D209" s="1" t="s">
        <v>113</v>
      </c>
      <c r="E209" s="1">
        <v>-555.55560000000003</v>
      </c>
      <c r="F209" s="1">
        <v>0</v>
      </c>
      <c r="G209" s="1">
        <v>-555.55560000000003</v>
      </c>
    </row>
    <row r="210" spans="1:7" ht="12.75" customHeight="1" x14ac:dyDescent="0.2">
      <c r="A210" s="1">
        <v>20220531</v>
      </c>
      <c r="B210" s="1">
        <v>3</v>
      </c>
      <c r="C210" s="1" t="s">
        <v>34</v>
      </c>
      <c r="D210" s="1" t="s">
        <v>114</v>
      </c>
      <c r="E210" s="1">
        <v>-833.33339999999998</v>
      </c>
      <c r="F210" s="1">
        <v>0</v>
      </c>
      <c r="G210" s="1">
        <v>-833.33339999999998</v>
      </c>
    </row>
    <row r="211" spans="1:7" ht="12.75" customHeight="1" x14ac:dyDescent="0.2">
      <c r="A211" s="1">
        <v>20220531</v>
      </c>
      <c r="B211" s="1">
        <v>3</v>
      </c>
      <c r="C211" s="1" t="s">
        <v>34</v>
      </c>
      <c r="D211" s="1" t="s">
        <v>115</v>
      </c>
      <c r="E211" s="1">
        <v>-1111.1112000000001</v>
      </c>
      <c r="F211" s="1">
        <v>0</v>
      </c>
      <c r="G211" s="1">
        <v>-1111.1112000000001</v>
      </c>
    </row>
    <row r="212" spans="1:7" ht="12.75" customHeight="1" x14ac:dyDescent="0.2">
      <c r="A212" s="1">
        <v>20220531</v>
      </c>
      <c r="B212" s="1">
        <v>3</v>
      </c>
      <c r="C212" s="1" t="s">
        <v>34</v>
      </c>
      <c r="D212" s="1" t="s">
        <v>116</v>
      </c>
      <c r="E212" s="1">
        <v>-1388.8890000000001</v>
      </c>
      <c r="F212" s="1">
        <v>0</v>
      </c>
      <c r="G212" s="1">
        <v>-1388.8890000000001</v>
      </c>
    </row>
    <row r="213" spans="1:7" ht="12.75" customHeight="1" x14ac:dyDescent="0.2">
      <c r="A213" s="1">
        <v>20220531</v>
      </c>
      <c r="B213" s="1">
        <v>4</v>
      </c>
      <c r="C213" s="1" t="s">
        <v>42</v>
      </c>
      <c r="D213" s="1" t="s">
        <v>33</v>
      </c>
      <c r="E213" s="1">
        <v>-319.63470000000001</v>
      </c>
      <c r="F213" s="1">
        <v>-94.368300000000005</v>
      </c>
      <c r="G213" s="1">
        <v>-414.00300000000004</v>
      </c>
    </row>
    <row r="214" spans="1:7" ht="12.75" customHeight="1" x14ac:dyDescent="0.2">
      <c r="A214" s="1">
        <v>20220531</v>
      </c>
      <c r="B214" s="1">
        <v>4</v>
      </c>
      <c r="C214" s="1" t="s">
        <v>42</v>
      </c>
      <c r="D214" s="1" t="s">
        <v>113</v>
      </c>
      <c r="E214" s="1">
        <v>-639.26940000000002</v>
      </c>
      <c r="F214" s="1">
        <v>-188.73660000000001</v>
      </c>
      <c r="G214" s="1">
        <v>-828.00600000000009</v>
      </c>
    </row>
    <row r="215" spans="1:7" ht="12.75" customHeight="1" x14ac:dyDescent="0.2">
      <c r="A215" s="1">
        <v>20220531</v>
      </c>
      <c r="B215" s="1">
        <v>4</v>
      </c>
      <c r="C215" s="1" t="s">
        <v>42</v>
      </c>
      <c r="D215" s="1" t="s">
        <v>114</v>
      </c>
      <c r="E215" s="1">
        <v>-958.90409999999997</v>
      </c>
      <c r="F215" s="1">
        <v>-283.10490000000004</v>
      </c>
      <c r="G215" s="1">
        <v>-1242.009</v>
      </c>
    </row>
    <row r="216" spans="1:7" ht="12.75" customHeight="1" x14ac:dyDescent="0.2">
      <c r="A216" s="1">
        <v>20220531</v>
      </c>
      <c r="B216" s="1">
        <v>4</v>
      </c>
      <c r="C216" s="1" t="s">
        <v>42</v>
      </c>
      <c r="D216" s="1" t="s">
        <v>115</v>
      </c>
      <c r="E216" s="1">
        <v>-1278.5388</v>
      </c>
      <c r="F216" s="1">
        <v>-377.47320000000002</v>
      </c>
      <c r="G216" s="1">
        <v>-1656.0120000000002</v>
      </c>
    </row>
    <row r="217" spans="1:7" ht="12.75" customHeight="1" x14ac:dyDescent="0.2">
      <c r="A217" s="1">
        <v>20220531</v>
      </c>
      <c r="B217" s="1">
        <v>4</v>
      </c>
      <c r="C217" s="1" t="s">
        <v>42</v>
      </c>
      <c r="D217" s="1" t="s">
        <v>116</v>
      </c>
      <c r="E217" s="1">
        <v>-1598.1735000000001</v>
      </c>
      <c r="F217" s="1">
        <v>-471.8415</v>
      </c>
      <c r="G217" s="1">
        <v>-2070.0150000000003</v>
      </c>
    </row>
    <row r="218" spans="1:7" ht="12.75" customHeight="1" x14ac:dyDescent="0.2">
      <c r="A218" s="1">
        <v>20220531</v>
      </c>
      <c r="B218" s="1">
        <v>4</v>
      </c>
      <c r="C218" s="1" t="s">
        <v>34</v>
      </c>
      <c r="D218" s="1" t="s">
        <v>33</v>
      </c>
      <c r="E218" s="1">
        <v>-319.63470000000001</v>
      </c>
      <c r="F218" s="1">
        <v>-94.368300000000005</v>
      </c>
      <c r="G218" s="1">
        <v>-414.00300000000004</v>
      </c>
    </row>
    <row r="219" spans="1:7" ht="12.75" customHeight="1" x14ac:dyDescent="0.2">
      <c r="A219" s="1">
        <v>20220531</v>
      </c>
      <c r="B219" s="1">
        <v>4</v>
      </c>
      <c r="C219" s="1" t="s">
        <v>34</v>
      </c>
      <c r="D219" s="1" t="s">
        <v>113</v>
      </c>
      <c r="E219" s="1">
        <v>-639.26940000000002</v>
      </c>
      <c r="F219" s="1">
        <v>-188.73660000000001</v>
      </c>
      <c r="G219" s="1">
        <v>-828.00600000000009</v>
      </c>
    </row>
    <row r="220" spans="1:7" ht="12.75" customHeight="1" x14ac:dyDescent="0.2">
      <c r="A220" s="1">
        <v>20220531</v>
      </c>
      <c r="B220" s="1">
        <v>4</v>
      </c>
      <c r="C220" s="1" t="s">
        <v>34</v>
      </c>
      <c r="D220" s="1" t="s">
        <v>114</v>
      </c>
      <c r="E220" s="1">
        <v>-958.90409999999997</v>
      </c>
      <c r="F220" s="1">
        <v>-283.10490000000004</v>
      </c>
      <c r="G220" s="1">
        <v>-1242.009</v>
      </c>
    </row>
    <row r="221" spans="1:7" ht="12.75" customHeight="1" x14ac:dyDescent="0.2">
      <c r="A221" s="1">
        <v>20220531</v>
      </c>
      <c r="B221" s="1">
        <v>4</v>
      </c>
      <c r="C221" s="1" t="s">
        <v>34</v>
      </c>
      <c r="D221" s="1" t="s">
        <v>115</v>
      </c>
      <c r="E221" s="1">
        <v>-1278.5388</v>
      </c>
      <c r="F221" s="1">
        <v>-377.47320000000002</v>
      </c>
      <c r="G221" s="1">
        <v>-1656.0120000000002</v>
      </c>
    </row>
    <row r="222" spans="1:7" ht="12.75" customHeight="1" x14ac:dyDescent="0.2">
      <c r="A222" s="1">
        <v>20220531</v>
      </c>
      <c r="B222" s="1">
        <v>4</v>
      </c>
      <c r="C222" s="1" t="s">
        <v>34</v>
      </c>
      <c r="D222" s="1" t="s">
        <v>116</v>
      </c>
      <c r="E222" s="1">
        <v>-1598.1735000000001</v>
      </c>
      <c r="F222" s="1">
        <v>-471.8415</v>
      </c>
      <c r="G222" s="1">
        <v>-2070.0150000000003</v>
      </c>
    </row>
  </sheetData>
  <sortState xmlns:xlrd2="http://schemas.microsoft.com/office/spreadsheetml/2017/richdata2" ref="A4:G222">
    <sortCondition ref="A3:A222"/>
    <sortCondition ref="B3:B222"/>
    <sortCondition ref="C3:C222"/>
    <sortCondition ref="D3:D222"/>
  </sortState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97"/>
  <sheetViews>
    <sheetView zoomScale="120" zoomScaleNormal="120" workbookViewId="0">
      <selection activeCell="F17" sqref="F17"/>
    </sheetView>
  </sheetViews>
  <sheetFormatPr defaultColWidth="11.5703125" defaultRowHeight="12.75" customHeight="1" x14ac:dyDescent="0.2"/>
  <cols>
    <col min="1" max="1" width="21.7109375" style="1" customWidth="1"/>
    <col min="2" max="2" width="46.5703125" style="1" customWidth="1"/>
    <col min="3" max="3" width="21.7109375" style="1" customWidth="1"/>
    <col min="4" max="4" width="11.42578125" style="1" customWidth="1"/>
    <col min="5" max="6" width="23.5703125" style="1" customWidth="1"/>
  </cols>
  <sheetData>
    <row r="1" spans="1:6" ht="60" x14ac:dyDescent="0.25">
      <c r="A1" s="4" t="s">
        <v>45</v>
      </c>
      <c r="B1" s="29" t="s">
        <v>117</v>
      </c>
    </row>
    <row r="2" spans="1:6" x14ac:dyDescent="0.2">
      <c r="A2" s="1" t="s">
        <v>21</v>
      </c>
      <c r="B2" s="1" t="s">
        <v>38</v>
      </c>
      <c r="C2" s="1" t="s">
        <v>118</v>
      </c>
      <c r="D2" s="1" t="s">
        <v>40</v>
      </c>
      <c r="E2" s="1" t="s">
        <v>39</v>
      </c>
      <c r="F2" s="1" t="s">
        <v>41</v>
      </c>
    </row>
    <row r="3" spans="1:6" x14ac:dyDescent="0.2">
      <c r="A3" s="1">
        <v>20220131</v>
      </c>
      <c r="B3" s="1" t="s">
        <v>42</v>
      </c>
      <c r="C3" s="1" t="s">
        <v>33</v>
      </c>
      <c r="D3" s="30">
        <v>-9.9999999996214228E-5</v>
      </c>
      <c r="E3" s="30">
        <v>0</v>
      </c>
      <c r="F3" s="30">
        <v>-9.9999999996214228E-5</v>
      </c>
    </row>
    <row r="4" spans="1:6" x14ac:dyDescent="0.2">
      <c r="A4" s="1">
        <v>20220131</v>
      </c>
      <c r="B4" s="1" t="s">
        <v>42</v>
      </c>
      <c r="C4" s="1" t="s">
        <v>113</v>
      </c>
      <c r="D4" s="30">
        <v>-1.9999999999242846E-4</v>
      </c>
      <c r="E4" s="30">
        <v>0</v>
      </c>
      <c r="F4" s="30">
        <v>-1.9999999999242846E-4</v>
      </c>
    </row>
    <row r="5" spans="1:6" x14ac:dyDescent="0.2">
      <c r="A5" s="1">
        <v>20220131</v>
      </c>
      <c r="B5" s="1" t="s">
        <v>42</v>
      </c>
      <c r="C5" s="1" t="s">
        <v>114</v>
      </c>
      <c r="D5" s="30">
        <v>-2.9999999992469384E-4</v>
      </c>
      <c r="E5" s="30">
        <v>0</v>
      </c>
      <c r="F5" s="30">
        <v>-2.9999999992469384E-4</v>
      </c>
    </row>
    <row r="6" spans="1:6" x14ac:dyDescent="0.2">
      <c r="A6" s="1">
        <v>20220131</v>
      </c>
      <c r="B6" s="1" t="s">
        <v>42</v>
      </c>
      <c r="C6" s="1" t="s">
        <v>115</v>
      </c>
      <c r="D6" s="30">
        <v>-3.9999999998485691E-4</v>
      </c>
      <c r="E6" s="30">
        <v>0</v>
      </c>
      <c r="F6" s="30">
        <v>-3.9999999998485691E-4</v>
      </c>
    </row>
    <row r="7" spans="1:6" ht="12.75" customHeight="1" x14ac:dyDescent="0.2">
      <c r="A7" s="1">
        <v>20220131</v>
      </c>
      <c r="B7" s="1" t="s">
        <v>42</v>
      </c>
      <c r="C7" s="1" t="s">
        <v>116</v>
      </c>
      <c r="D7" s="30">
        <v>-5.0000000004501999E-4</v>
      </c>
      <c r="E7" s="30">
        <v>0</v>
      </c>
      <c r="F7" s="30">
        <v>-5.0000000004501999E-4</v>
      </c>
    </row>
    <row r="8" spans="1:6" ht="12.75" customHeight="1" x14ac:dyDescent="0.2">
      <c r="A8" s="1">
        <v>20220131</v>
      </c>
      <c r="B8" s="1" t="s">
        <v>34</v>
      </c>
      <c r="C8" s="1" t="s">
        <v>33</v>
      </c>
      <c r="D8" s="30">
        <v>-342.81810000000002</v>
      </c>
      <c r="E8" s="30">
        <v>0</v>
      </c>
      <c r="F8" s="30">
        <v>-342.81810000000002</v>
      </c>
    </row>
    <row r="9" spans="1:6" ht="12.75" customHeight="1" x14ac:dyDescent="0.2">
      <c r="A9" s="1">
        <v>20220131</v>
      </c>
      <c r="B9" s="1" t="s">
        <v>34</v>
      </c>
      <c r="C9" s="1" t="s">
        <v>113</v>
      </c>
      <c r="D9" s="30">
        <v>-685.63620000000003</v>
      </c>
      <c r="E9" s="30">
        <v>0</v>
      </c>
      <c r="F9" s="30">
        <v>-685.63620000000003</v>
      </c>
    </row>
    <row r="10" spans="1:6" ht="12.75" customHeight="1" x14ac:dyDescent="0.2">
      <c r="A10" s="1">
        <v>20220131</v>
      </c>
      <c r="B10" s="1" t="s">
        <v>34</v>
      </c>
      <c r="C10" s="1" t="s">
        <v>114</v>
      </c>
      <c r="D10" s="30">
        <v>-1028.4543000000001</v>
      </c>
      <c r="E10" s="30">
        <v>0</v>
      </c>
      <c r="F10" s="30">
        <v>-1028.4543000000001</v>
      </c>
    </row>
    <row r="11" spans="1:6" ht="12.75" customHeight="1" x14ac:dyDescent="0.2">
      <c r="A11" s="1">
        <v>20220131</v>
      </c>
      <c r="B11" s="1" t="s">
        <v>34</v>
      </c>
      <c r="C11" s="1" t="s">
        <v>115</v>
      </c>
      <c r="D11" s="30">
        <v>-1371.2724000000001</v>
      </c>
      <c r="E11" s="30">
        <v>0</v>
      </c>
      <c r="F11" s="30">
        <v>-1371.2724000000001</v>
      </c>
    </row>
    <row r="12" spans="1:6" ht="12.75" customHeight="1" x14ac:dyDescent="0.2">
      <c r="A12" s="1">
        <v>20220131</v>
      </c>
      <c r="B12" s="1" t="s">
        <v>34</v>
      </c>
      <c r="C12" s="1" t="s">
        <v>116</v>
      </c>
      <c r="D12" s="30">
        <v>-1714.0905000000002</v>
      </c>
      <c r="E12" s="30">
        <v>0</v>
      </c>
      <c r="F12" s="30">
        <v>-1714.0905000000002</v>
      </c>
    </row>
    <row r="13" spans="1:6" ht="12.75" customHeight="1" x14ac:dyDescent="0.2">
      <c r="A13" s="1">
        <v>20220131</v>
      </c>
      <c r="B13" s="1" t="s">
        <v>43</v>
      </c>
      <c r="C13" s="1" t="s">
        <v>33</v>
      </c>
      <c r="D13" s="30">
        <v>342.81800000000004</v>
      </c>
      <c r="E13" s="30">
        <v>0</v>
      </c>
      <c r="F13" s="30">
        <v>342.81800000000004</v>
      </c>
    </row>
    <row r="14" spans="1:6" ht="12.75" customHeight="1" x14ac:dyDescent="0.2">
      <c r="A14" s="1">
        <v>20220131</v>
      </c>
      <c r="B14" s="1" t="s">
        <v>43</v>
      </c>
      <c r="C14" s="1" t="s">
        <v>113</v>
      </c>
      <c r="D14" s="30">
        <v>685.63600000000008</v>
      </c>
      <c r="E14" s="30">
        <v>0</v>
      </c>
      <c r="F14" s="30">
        <v>685.63600000000008</v>
      </c>
    </row>
    <row r="15" spans="1:6" ht="12.75" customHeight="1" x14ac:dyDescent="0.2">
      <c r="A15" s="1">
        <v>20220131</v>
      </c>
      <c r="B15" s="1" t="s">
        <v>43</v>
      </c>
      <c r="C15" s="1" t="s">
        <v>114</v>
      </c>
      <c r="D15" s="30">
        <v>1028.4540000000002</v>
      </c>
      <c r="E15" s="30">
        <v>0</v>
      </c>
      <c r="F15" s="30">
        <v>1028.4540000000002</v>
      </c>
    </row>
    <row r="16" spans="1:6" ht="12.75" customHeight="1" x14ac:dyDescent="0.2">
      <c r="A16" s="1">
        <v>20220131</v>
      </c>
      <c r="B16" s="1" t="s">
        <v>43</v>
      </c>
      <c r="C16" s="1" t="s">
        <v>115</v>
      </c>
      <c r="D16" s="30">
        <v>1371.2720000000002</v>
      </c>
      <c r="E16" s="30">
        <v>0</v>
      </c>
      <c r="F16" s="30">
        <v>1371.2720000000002</v>
      </c>
    </row>
    <row r="17" spans="1:6" ht="12.75" customHeight="1" x14ac:dyDescent="0.2">
      <c r="A17" s="1">
        <v>20220131</v>
      </c>
      <c r="B17" s="1" t="s">
        <v>43</v>
      </c>
      <c r="C17" s="1" t="s">
        <v>116</v>
      </c>
      <c r="D17" s="30">
        <v>1714.0900000000001</v>
      </c>
      <c r="E17" s="30">
        <v>0</v>
      </c>
      <c r="F17" s="30">
        <v>1714.0900000000001</v>
      </c>
    </row>
    <row r="18" spans="1:6" ht="12.75" customHeight="1" x14ac:dyDescent="0.2">
      <c r="A18" s="1">
        <v>20220228</v>
      </c>
      <c r="B18" s="1" t="s">
        <v>44</v>
      </c>
      <c r="C18" s="1" t="s">
        <v>33</v>
      </c>
      <c r="D18" s="30">
        <v>1900</v>
      </c>
      <c r="E18" s="30">
        <v>0</v>
      </c>
      <c r="F18" s="30">
        <v>1900</v>
      </c>
    </row>
    <row r="19" spans="1:6" ht="12.75" customHeight="1" x14ac:dyDescent="0.2">
      <c r="A19" s="1">
        <v>20220228</v>
      </c>
      <c r="B19" s="1" t="s">
        <v>44</v>
      </c>
      <c r="C19" s="1" t="s">
        <v>113</v>
      </c>
      <c r="D19" s="30">
        <v>3800</v>
      </c>
      <c r="E19" s="30">
        <v>0</v>
      </c>
      <c r="F19" s="30">
        <v>3800</v>
      </c>
    </row>
    <row r="20" spans="1:6" ht="12.75" customHeight="1" x14ac:dyDescent="0.2">
      <c r="A20" s="1">
        <v>20220228</v>
      </c>
      <c r="B20" s="1" t="s">
        <v>44</v>
      </c>
      <c r="C20" s="1" t="s">
        <v>114</v>
      </c>
      <c r="D20" s="30">
        <v>5700</v>
      </c>
      <c r="E20" s="30">
        <v>0</v>
      </c>
      <c r="F20" s="30">
        <v>5700</v>
      </c>
    </row>
    <row r="21" spans="1:6" ht="12.75" customHeight="1" x14ac:dyDescent="0.2">
      <c r="A21" s="1">
        <v>20220228</v>
      </c>
      <c r="B21" s="1" t="s">
        <v>44</v>
      </c>
      <c r="C21" s="1" t="s">
        <v>115</v>
      </c>
      <c r="D21" s="30">
        <v>7600</v>
      </c>
      <c r="E21" s="30">
        <v>0</v>
      </c>
      <c r="F21" s="30">
        <v>7600</v>
      </c>
    </row>
    <row r="22" spans="1:6" ht="12.75" customHeight="1" x14ac:dyDescent="0.2">
      <c r="A22" s="1">
        <v>20220228</v>
      </c>
      <c r="B22" s="1" t="s">
        <v>44</v>
      </c>
      <c r="C22" s="1" t="s">
        <v>116</v>
      </c>
      <c r="D22" s="30">
        <v>9500</v>
      </c>
      <c r="E22" s="30">
        <v>0</v>
      </c>
      <c r="F22" s="30">
        <v>9500</v>
      </c>
    </row>
    <row r="23" spans="1:6" ht="12.75" customHeight="1" x14ac:dyDescent="0.2">
      <c r="A23" s="1">
        <v>20220228</v>
      </c>
      <c r="B23" s="1" t="s">
        <v>42</v>
      </c>
      <c r="C23" s="1" t="s">
        <v>33</v>
      </c>
      <c r="D23" s="30">
        <v>1432.2506000000001</v>
      </c>
      <c r="E23" s="30">
        <v>-1.0000000005305765E-4</v>
      </c>
      <c r="F23" s="30">
        <v>1432.2505000000001</v>
      </c>
    </row>
    <row r="24" spans="1:6" ht="12.75" customHeight="1" x14ac:dyDescent="0.2">
      <c r="A24" s="1">
        <v>20220228</v>
      </c>
      <c r="B24" s="1" t="s">
        <v>42</v>
      </c>
      <c r="C24" s="1" t="s">
        <v>113</v>
      </c>
      <c r="D24" s="30">
        <v>2864.5012000000002</v>
      </c>
      <c r="E24" s="30">
        <v>-2.0000000010611529E-4</v>
      </c>
      <c r="F24" s="30">
        <v>2864.5010000000002</v>
      </c>
    </row>
    <row r="25" spans="1:6" ht="12.75" customHeight="1" x14ac:dyDescent="0.2">
      <c r="A25" s="1">
        <v>20220228</v>
      </c>
      <c r="B25" s="1" t="s">
        <v>42</v>
      </c>
      <c r="C25" s="1" t="s">
        <v>114</v>
      </c>
      <c r="D25" s="30">
        <v>4296.7518</v>
      </c>
      <c r="E25" s="30">
        <v>-3.0000000015206751E-4</v>
      </c>
      <c r="F25" s="30">
        <v>4296.7514999999994</v>
      </c>
    </row>
    <row r="26" spans="1:6" ht="12.75" customHeight="1" x14ac:dyDescent="0.2">
      <c r="A26" s="1">
        <v>20220228</v>
      </c>
      <c r="B26" s="1" t="s">
        <v>42</v>
      </c>
      <c r="C26" s="1" t="s">
        <v>115</v>
      </c>
      <c r="D26" s="30">
        <v>5729.0024000000003</v>
      </c>
      <c r="E26" s="30">
        <v>-4.0000000021223059E-4</v>
      </c>
      <c r="F26" s="30">
        <v>5729.0020000000004</v>
      </c>
    </row>
    <row r="27" spans="1:6" ht="12.75" customHeight="1" x14ac:dyDescent="0.2">
      <c r="A27" s="1">
        <v>20220228</v>
      </c>
      <c r="B27" s="1" t="s">
        <v>42</v>
      </c>
      <c r="C27" s="1" t="s">
        <v>116</v>
      </c>
      <c r="D27" s="30">
        <v>7161.2529999999997</v>
      </c>
      <c r="E27" s="30">
        <v>-5.0000000004501999E-4</v>
      </c>
      <c r="F27" s="30">
        <v>7161.2524999999996</v>
      </c>
    </row>
    <row r="28" spans="1:6" ht="12.75" customHeight="1" x14ac:dyDescent="0.2">
      <c r="A28" s="1">
        <v>20220228</v>
      </c>
      <c r="B28" s="1" t="s">
        <v>34</v>
      </c>
      <c r="C28" s="1" t="s">
        <v>33</v>
      </c>
      <c r="D28" s="30">
        <v>-124.9314</v>
      </c>
      <c r="E28" s="30">
        <v>-342.81810000000002</v>
      </c>
      <c r="F28" s="30">
        <v>-467.74950000000001</v>
      </c>
    </row>
    <row r="29" spans="1:6" ht="12.75" customHeight="1" x14ac:dyDescent="0.2">
      <c r="A29" s="1">
        <v>20220228</v>
      </c>
      <c r="B29" s="1" t="s">
        <v>34</v>
      </c>
      <c r="C29" s="1" t="s">
        <v>113</v>
      </c>
      <c r="D29" s="30">
        <v>-249.86279999999999</v>
      </c>
      <c r="E29" s="30">
        <v>-685.63620000000003</v>
      </c>
      <c r="F29" s="30">
        <v>-935.49900000000002</v>
      </c>
    </row>
    <row r="30" spans="1:6" ht="12.75" customHeight="1" x14ac:dyDescent="0.2">
      <c r="A30" s="1">
        <v>20220228</v>
      </c>
      <c r="B30" s="1" t="s">
        <v>34</v>
      </c>
      <c r="C30" s="1" t="s">
        <v>114</v>
      </c>
      <c r="D30" s="30">
        <v>-374.79419999999999</v>
      </c>
      <c r="E30" s="30">
        <v>-1028.4543000000001</v>
      </c>
      <c r="F30" s="30">
        <v>-1403.2485000000001</v>
      </c>
    </row>
    <row r="31" spans="1:6" ht="12.75" customHeight="1" x14ac:dyDescent="0.2">
      <c r="A31" s="1">
        <v>20220228</v>
      </c>
      <c r="B31" s="1" t="s">
        <v>34</v>
      </c>
      <c r="C31" s="1" t="s">
        <v>115</v>
      </c>
      <c r="D31" s="30">
        <v>-499.72559999999999</v>
      </c>
      <c r="E31" s="30">
        <v>-1371.2724000000001</v>
      </c>
      <c r="F31" s="30">
        <v>-1870.998</v>
      </c>
    </row>
    <row r="32" spans="1:6" ht="12.75" customHeight="1" x14ac:dyDescent="0.2">
      <c r="A32" s="1">
        <v>20220228</v>
      </c>
      <c r="B32" s="1" t="s">
        <v>34</v>
      </c>
      <c r="C32" s="1" t="s">
        <v>116</v>
      </c>
      <c r="D32" s="30">
        <v>-624.65699999999993</v>
      </c>
      <c r="E32" s="30">
        <v>-1714.0905000000002</v>
      </c>
      <c r="F32" s="30">
        <v>-2338.7474999999999</v>
      </c>
    </row>
    <row r="33" spans="1:6" ht="12.75" customHeight="1" x14ac:dyDescent="0.2">
      <c r="A33" s="1">
        <v>20220228</v>
      </c>
      <c r="B33" s="1" t="s">
        <v>43</v>
      </c>
      <c r="C33" s="1" t="s">
        <v>33</v>
      </c>
      <c r="D33" s="30">
        <v>-342.81799999999998</v>
      </c>
      <c r="E33" s="30">
        <v>342.81799999999998</v>
      </c>
      <c r="F33" s="30">
        <v>0</v>
      </c>
    </row>
    <row r="34" spans="1:6" ht="12.75" customHeight="1" x14ac:dyDescent="0.2">
      <c r="A34" s="1">
        <v>20220228</v>
      </c>
      <c r="B34" s="1" t="s">
        <v>43</v>
      </c>
      <c r="C34" s="1" t="s">
        <v>113</v>
      </c>
      <c r="D34" s="30">
        <v>-685.63599999999997</v>
      </c>
      <c r="E34" s="30">
        <v>685.63599999999997</v>
      </c>
      <c r="F34" s="30">
        <v>0</v>
      </c>
    </row>
    <row r="35" spans="1:6" ht="12.75" customHeight="1" x14ac:dyDescent="0.2">
      <c r="A35" s="1">
        <v>20220228</v>
      </c>
      <c r="B35" s="1" t="s">
        <v>43</v>
      </c>
      <c r="C35" s="1" t="s">
        <v>114</v>
      </c>
      <c r="D35" s="30">
        <v>-1028.454</v>
      </c>
      <c r="E35" s="30">
        <v>1028.454</v>
      </c>
      <c r="F35" s="30">
        <v>0</v>
      </c>
    </row>
    <row r="36" spans="1:6" ht="12.75" customHeight="1" x14ac:dyDescent="0.2">
      <c r="A36" s="1">
        <v>20220228</v>
      </c>
      <c r="B36" s="1" t="s">
        <v>43</v>
      </c>
      <c r="C36" s="1" t="s">
        <v>115</v>
      </c>
      <c r="D36" s="30">
        <v>-1371.2719999999999</v>
      </c>
      <c r="E36" s="30">
        <v>1371.2719999999999</v>
      </c>
      <c r="F36" s="30">
        <v>0</v>
      </c>
    </row>
    <row r="37" spans="1:6" ht="12.75" customHeight="1" x14ac:dyDescent="0.2">
      <c r="A37" s="1">
        <v>20220228</v>
      </c>
      <c r="B37" s="1" t="s">
        <v>43</v>
      </c>
      <c r="C37" s="1" t="s">
        <v>116</v>
      </c>
      <c r="D37" s="30">
        <v>-1714.09</v>
      </c>
      <c r="E37" s="30">
        <v>1714.09</v>
      </c>
      <c r="F37" s="30">
        <v>0</v>
      </c>
    </row>
    <row r="38" spans="1:6" ht="12.75" customHeight="1" x14ac:dyDescent="0.2">
      <c r="A38" s="1">
        <v>20220331</v>
      </c>
      <c r="B38" s="1" t="s">
        <v>44</v>
      </c>
      <c r="C38" s="1" t="s">
        <v>33</v>
      </c>
      <c r="D38" s="30">
        <v>0</v>
      </c>
      <c r="E38" s="30">
        <v>1900</v>
      </c>
      <c r="F38" s="30">
        <v>1900</v>
      </c>
    </row>
    <row r="39" spans="1:6" ht="12.75" customHeight="1" x14ac:dyDescent="0.2">
      <c r="A39" s="1">
        <v>20220331</v>
      </c>
      <c r="B39" s="1" t="s">
        <v>44</v>
      </c>
      <c r="C39" s="1" t="s">
        <v>113</v>
      </c>
      <c r="D39" s="30">
        <v>0</v>
      </c>
      <c r="E39" s="30">
        <v>3800</v>
      </c>
      <c r="F39" s="30">
        <v>3800</v>
      </c>
    </row>
    <row r="40" spans="1:6" ht="12.75" customHeight="1" x14ac:dyDescent="0.2">
      <c r="A40" s="1">
        <v>20220331</v>
      </c>
      <c r="B40" s="1" t="s">
        <v>44</v>
      </c>
      <c r="C40" s="1" t="s">
        <v>114</v>
      </c>
      <c r="D40" s="30">
        <v>0</v>
      </c>
      <c r="E40" s="30">
        <v>5700</v>
      </c>
      <c r="F40" s="30">
        <v>5700</v>
      </c>
    </row>
    <row r="41" spans="1:6" ht="12.75" customHeight="1" x14ac:dyDescent="0.2">
      <c r="A41" s="1">
        <v>20220331</v>
      </c>
      <c r="B41" s="1" t="s">
        <v>44</v>
      </c>
      <c r="C41" s="1" t="s">
        <v>115</v>
      </c>
      <c r="D41" s="30">
        <v>0</v>
      </c>
      <c r="E41" s="30">
        <v>7600</v>
      </c>
      <c r="F41" s="30">
        <v>7600</v>
      </c>
    </row>
    <row r="42" spans="1:6" ht="12.75" customHeight="1" x14ac:dyDescent="0.2">
      <c r="A42" s="1">
        <v>20220331</v>
      </c>
      <c r="B42" s="1" t="s">
        <v>44</v>
      </c>
      <c r="C42" s="1" t="s">
        <v>116</v>
      </c>
      <c r="D42" s="30">
        <v>0</v>
      </c>
      <c r="E42" s="30">
        <v>9500</v>
      </c>
      <c r="F42" s="30">
        <v>9500</v>
      </c>
    </row>
    <row r="43" spans="1:6" ht="12.75" customHeight="1" x14ac:dyDescent="0.2">
      <c r="A43" s="1">
        <v>20220331</v>
      </c>
      <c r="B43" s="1" t="s">
        <v>42</v>
      </c>
      <c r="C43" s="1" t="s">
        <v>33</v>
      </c>
      <c r="D43" s="30">
        <v>-138.31709999999998</v>
      </c>
      <c r="E43" s="30">
        <v>1432.2505000000001</v>
      </c>
      <c r="F43" s="30">
        <v>1293.9333999999999</v>
      </c>
    </row>
    <row r="44" spans="1:6" ht="12.75" customHeight="1" x14ac:dyDescent="0.2">
      <c r="A44" s="1">
        <v>20220331</v>
      </c>
      <c r="B44" s="1" t="s">
        <v>42</v>
      </c>
      <c r="C44" s="1" t="s">
        <v>113</v>
      </c>
      <c r="D44" s="30">
        <v>-276.63419999999996</v>
      </c>
      <c r="E44" s="30">
        <v>2864.5010000000002</v>
      </c>
      <c r="F44" s="30">
        <v>2587.8667999999998</v>
      </c>
    </row>
    <row r="45" spans="1:6" ht="12.75" customHeight="1" x14ac:dyDescent="0.2">
      <c r="A45" s="1">
        <v>20220331</v>
      </c>
      <c r="B45" s="1" t="s">
        <v>42</v>
      </c>
      <c r="C45" s="1" t="s">
        <v>114</v>
      </c>
      <c r="D45" s="30">
        <v>-414.95129999999995</v>
      </c>
      <c r="E45" s="30">
        <v>4296.7514999999994</v>
      </c>
      <c r="F45" s="30">
        <v>3881.8002000000006</v>
      </c>
    </row>
    <row r="46" spans="1:6" ht="12.75" customHeight="1" x14ac:dyDescent="0.2">
      <c r="A46" s="1">
        <v>20220331</v>
      </c>
      <c r="B46" s="1" t="s">
        <v>42</v>
      </c>
      <c r="C46" s="1" t="s">
        <v>115</v>
      </c>
      <c r="D46" s="30">
        <v>-553.26839999999993</v>
      </c>
      <c r="E46" s="30">
        <v>5729.0020000000004</v>
      </c>
      <c r="F46" s="30">
        <v>5175.7335999999996</v>
      </c>
    </row>
    <row r="47" spans="1:6" ht="12.75" customHeight="1" x14ac:dyDescent="0.2">
      <c r="A47" s="1">
        <v>20220331</v>
      </c>
      <c r="B47" s="1" t="s">
        <v>42</v>
      </c>
      <c r="C47" s="1" t="s">
        <v>116</v>
      </c>
      <c r="D47" s="30">
        <v>-691.58550000000002</v>
      </c>
      <c r="E47" s="30">
        <v>7161.2524999999996</v>
      </c>
      <c r="F47" s="30">
        <v>6469.6670000000013</v>
      </c>
    </row>
    <row r="48" spans="1:6" ht="12.75" customHeight="1" x14ac:dyDescent="0.2">
      <c r="A48" s="1">
        <v>20220331</v>
      </c>
      <c r="B48" s="1" t="s">
        <v>34</v>
      </c>
      <c r="C48" s="1" t="s">
        <v>33</v>
      </c>
      <c r="D48" s="30">
        <v>-138.31709999999998</v>
      </c>
      <c r="E48" s="30">
        <v>-467.74950000000001</v>
      </c>
      <c r="F48" s="30">
        <v>-606.06659999999999</v>
      </c>
    </row>
    <row r="49" spans="1:6" ht="12.75" customHeight="1" x14ac:dyDescent="0.2">
      <c r="A49" s="1">
        <v>20220331</v>
      </c>
      <c r="B49" s="1" t="s">
        <v>34</v>
      </c>
      <c r="C49" s="1" t="s">
        <v>113</v>
      </c>
      <c r="D49" s="30">
        <v>-276.63419999999996</v>
      </c>
      <c r="E49" s="30">
        <v>-935.49900000000002</v>
      </c>
      <c r="F49" s="30">
        <v>-1212.1332</v>
      </c>
    </row>
    <row r="50" spans="1:6" ht="12.75" customHeight="1" x14ac:dyDescent="0.2">
      <c r="A50" s="1">
        <v>20220331</v>
      </c>
      <c r="B50" s="1" t="s">
        <v>34</v>
      </c>
      <c r="C50" s="1" t="s">
        <v>114</v>
      </c>
      <c r="D50" s="30">
        <v>-414.95129999999995</v>
      </c>
      <c r="E50" s="30">
        <v>-1403.2484999999999</v>
      </c>
      <c r="F50" s="30">
        <v>-1818.1997999999999</v>
      </c>
    </row>
    <row r="51" spans="1:6" ht="12.75" customHeight="1" x14ac:dyDescent="0.2">
      <c r="A51" s="1">
        <v>20220331</v>
      </c>
      <c r="B51" s="1" t="s">
        <v>34</v>
      </c>
      <c r="C51" s="1" t="s">
        <v>115</v>
      </c>
      <c r="D51" s="30">
        <v>-553.26839999999993</v>
      </c>
      <c r="E51" s="30">
        <v>-1870.998</v>
      </c>
      <c r="F51" s="30">
        <v>-2424.2664</v>
      </c>
    </row>
    <row r="52" spans="1:6" ht="12.75" customHeight="1" x14ac:dyDescent="0.2">
      <c r="A52" s="1">
        <v>20220331</v>
      </c>
      <c r="B52" s="1" t="s">
        <v>34</v>
      </c>
      <c r="C52" s="1" t="s">
        <v>116</v>
      </c>
      <c r="D52" s="30">
        <v>-691.58550000000002</v>
      </c>
      <c r="E52" s="30">
        <v>-2338.7474999999999</v>
      </c>
      <c r="F52" s="30">
        <v>-3030.3330000000001</v>
      </c>
    </row>
    <row r="53" spans="1:6" ht="12.75" customHeight="1" x14ac:dyDescent="0.2">
      <c r="A53" s="1">
        <v>20220331</v>
      </c>
      <c r="B53" s="1" t="s">
        <v>43</v>
      </c>
      <c r="C53" s="1" t="s">
        <v>33</v>
      </c>
      <c r="D53" s="30">
        <v>0</v>
      </c>
      <c r="E53" s="30">
        <v>0</v>
      </c>
      <c r="F53" s="30">
        <v>0</v>
      </c>
    </row>
    <row r="54" spans="1:6" ht="12.75" customHeight="1" x14ac:dyDescent="0.2">
      <c r="A54" s="1">
        <v>20220331</v>
      </c>
      <c r="B54" s="1" t="s">
        <v>43</v>
      </c>
      <c r="C54" s="1" t="s">
        <v>113</v>
      </c>
      <c r="D54" s="30">
        <v>0</v>
      </c>
      <c r="E54" s="30">
        <v>0</v>
      </c>
      <c r="F54" s="30">
        <v>0</v>
      </c>
    </row>
    <row r="55" spans="1:6" ht="12.75" customHeight="1" x14ac:dyDescent="0.2">
      <c r="A55" s="1">
        <v>20220331</v>
      </c>
      <c r="B55" s="1" t="s">
        <v>43</v>
      </c>
      <c r="C55" s="1" t="s">
        <v>114</v>
      </c>
      <c r="D55" s="30">
        <v>0</v>
      </c>
      <c r="E55" s="30">
        <v>0</v>
      </c>
      <c r="F55" s="30">
        <v>0</v>
      </c>
    </row>
    <row r="56" spans="1:6" ht="12.75" customHeight="1" x14ac:dyDescent="0.2">
      <c r="A56" s="1">
        <v>20220331</v>
      </c>
      <c r="B56" s="1" t="s">
        <v>43</v>
      </c>
      <c r="C56" s="1" t="s">
        <v>115</v>
      </c>
      <c r="D56" s="30">
        <v>0</v>
      </c>
      <c r="E56" s="30">
        <v>0</v>
      </c>
      <c r="F56" s="30">
        <v>0</v>
      </c>
    </row>
    <row r="57" spans="1:6" ht="12.75" customHeight="1" x14ac:dyDescent="0.2">
      <c r="A57" s="1">
        <v>20220331</v>
      </c>
      <c r="B57" s="1" t="s">
        <v>43</v>
      </c>
      <c r="C57" s="1" t="s">
        <v>116</v>
      </c>
      <c r="D57" s="30">
        <v>0</v>
      </c>
      <c r="E57" s="30">
        <v>0</v>
      </c>
      <c r="F57" s="30">
        <v>0</v>
      </c>
    </row>
    <row r="58" spans="1:6" ht="12.75" customHeight="1" x14ac:dyDescent="0.2">
      <c r="A58" s="1">
        <v>20220430</v>
      </c>
      <c r="B58" s="1" t="s">
        <v>44</v>
      </c>
      <c r="C58" s="1" t="s">
        <v>33</v>
      </c>
      <c r="D58" s="30">
        <v>0</v>
      </c>
      <c r="E58" s="30">
        <v>1900</v>
      </c>
      <c r="F58" s="30">
        <v>1900</v>
      </c>
    </row>
    <row r="59" spans="1:6" ht="12.75" customHeight="1" x14ac:dyDescent="0.2">
      <c r="A59" s="1">
        <v>20220430</v>
      </c>
      <c r="B59" s="1" t="s">
        <v>44</v>
      </c>
      <c r="C59" s="1" t="s">
        <v>113</v>
      </c>
      <c r="D59" s="30">
        <v>0</v>
      </c>
      <c r="E59" s="30">
        <v>3800</v>
      </c>
      <c r="F59" s="30">
        <v>3800</v>
      </c>
    </row>
    <row r="60" spans="1:6" ht="12.75" customHeight="1" x14ac:dyDescent="0.2">
      <c r="A60" s="1">
        <v>20220430</v>
      </c>
      <c r="B60" s="1" t="s">
        <v>44</v>
      </c>
      <c r="C60" s="1" t="s">
        <v>114</v>
      </c>
      <c r="D60" s="30">
        <v>0</v>
      </c>
      <c r="E60" s="30">
        <v>5700</v>
      </c>
      <c r="F60" s="30">
        <v>5700</v>
      </c>
    </row>
    <row r="61" spans="1:6" ht="12.75" customHeight="1" x14ac:dyDescent="0.2">
      <c r="A61" s="1">
        <v>20220430</v>
      </c>
      <c r="B61" s="1" t="s">
        <v>44</v>
      </c>
      <c r="C61" s="1" t="s">
        <v>115</v>
      </c>
      <c r="D61" s="30">
        <v>0</v>
      </c>
      <c r="E61" s="30">
        <v>7600</v>
      </c>
      <c r="F61" s="30">
        <v>7600</v>
      </c>
    </row>
    <row r="62" spans="1:6" ht="12.75" customHeight="1" x14ac:dyDescent="0.2">
      <c r="A62" s="1">
        <v>20220430</v>
      </c>
      <c r="B62" s="1" t="s">
        <v>44</v>
      </c>
      <c r="C62" s="1" t="s">
        <v>116</v>
      </c>
      <c r="D62" s="30">
        <v>0</v>
      </c>
      <c r="E62" s="30">
        <v>9500</v>
      </c>
      <c r="F62" s="30">
        <v>9500</v>
      </c>
    </row>
    <row r="63" spans="1:6" ht="12.75" customHeight="1" x14ac:dyDescent="0.2">
      <c r="A63" s="1">
        <v>20220430</v>
      </c>
      <c r="B63" s="1" t="s">
        <v>42</v>
      </c>
      <c r="C63" s="1" t="s">
        <v>33</v>
      </c>
      <c r="D63" s="30">
        <v>-310.98059999999998</v>
      </c>
      <c r="E63" s="30">
        <v>1293.9333999999999</v>
      </c>
      <c r="F63" s="30">
        <v>982.9527999999998</v>
      </c>
    </row>
    <row r="64" spans="1:6" ht="12.75" customHeight="1" x14ac:dyDescent="0.2">
      <c r="A64" s="1">
        <v>20220430</v>
      </c>
      <c r="B64" s="1" t="s">
        <v>42</v>
      </c>
      <c r="C64" s="1" t="s">
        <v>113</v>
      </c>
      <c r="D64" s="30">
        <v>-621.96119999999996</v>
      </c>
      <c r="E64" s="30">
        <v>2587.8667999999998</v>
      </c>
      <c r="F64" s="30">
        <v>1965.9055999999996</v>
      </c>
    </row>
    <row r="65" spans="1:6" ht="12.75" customHeight="1" x14ac:dyDescent="0.2">
      <c r="A65" s="1">
        <v>20220430</v>
      </c>
      <c r="B65" s="1" t="s">
        <v>42</v>
      </c>
      <c r="C65" s="1" t="s">
        <v>114</v>
      </c>
      <c r="D65" s="30">
        <v>-932.94179999999994</v>
      </c>
      <c r="E65" s="30">
        <v>3881.8002000000006</v>
      </c>
      <c r="F65" s="30">
        <v>2948.8584000000001</v>
      </c>
    </row>
    <row r="66" spans="1:6" ht="12.75" customHeight="1" x14ac:dyDescent="0.2">
      <c r="A66" s="1">
        <v>20220430</v>
      </c>
      <c r="B66" s="1" t="s">
        <v>42</v>
      </c>
      <c r="C66" s="1" t="s">
        <v>115</v>
      </c>
      <c r="D66" s="30">
        <v>-1243.9223999999999</v>
      </c>
      <c r="E66" s="30">
        <v>5175.7335999999996</v>
      </c>
      <c r="F66" s="30">
        <v>3931.8111999999992</v>
      </c>
    </row>
    <row r="67" spans="1:6" ht="12.75" customHeight="1" x14ac:dyDescent="0.2">
      <c r="A67" s="1">
        <v>20220430</v>
      </c>
      <c r="B67" s="1" t="s">
        <v>42</v>
      </c>
      <c r="C67" s="1" t="s">
        <v>116</v>
      </c>
      <c r="D67" s="30">
        <v>-1554.9029999999998</v>
      </c>
      <c r="E67" s="30">
        <v>6469.6670000000013</v>
      </c>
      <c r="F67" s="30">
        <v>4914.7640000000001</v>
      </c>
    </row>
    <row r="68" spans="1:6" ht="12.75" customHeight="1" x14ac:dyDescent="0.2">
      <c r="A68" s="1">
        <v>20220430</v>
      </c>
      <c r="B68" s="1" t="s">
        <v>34</v>
      </c>
      <c r="C68" s="1" t="s">
        <v>33</v>
      </c>
      <c r="D68" s="30">
        <v>-310.98059999999998</v>
      </c>
      <c r="E68" s="30">
        <v>-606.06660000000011</v>
      </c>
      <c r="F68" s="30">
        <v>-917.04719999999998</v>
      </c>
    </row>
    <row r="69" spans="1:6" ht="12.75" customHeight="1" x14ac:dyDescent="0.2">
      <c r="A69" s="1">
        <v>20220430</v>
      </c>
      <c r="B69" s="1" t="s">
        <v>34</v>
      </c>
      <c r="C69" s="1" t="s">
        <v>113</v>
      </c>
      <c r="D69" s="30">
        <v>-621.96119999999996</v>
      </c>
      <c r="E69" s="30">
        <v>-1212.1332000000002</v>
      </c>
      <c r="F69" s="30">
        <v>-1834.0944</v>
      </c>
    </row>
    <row r="70" spans="1:6" ht="12.75" customHeight="1" x14ac:dyDescent="0.2">
      <c r="A70" s="1">
        <v>20220430</v>
      </c>
      <c r="B70" s="1" t="s">
        <v>34</v>
      </c>
      <c r="C70" s="1" t="s">
        <v>114</v>
      </c>
      <c r="D70" s="30">
        <v>-932.94179999999994</v>
      </c>
      <c r="E70" s="30">
        <v>-1818.1998000000003</v>
      </c>
      <c r="F70" s="30">
        <v>-2751.1415999999999</v>
      </c>
    </row>
    <row r="71" spans="1:6" ht="12.75" customHeight="1" x14ac:dyDescent="0.2">
      <c r="A71" s="1">
        <v>20220430</v>
      </c>
      <c r="B71" s="1" t="s">
        <v>34</v>
      </c>
      <c r="C71" s="1" t="s">
        <v>115</v>
      </c>
      <c r="D71" s="30">
        <v>-1243.9223999999999</v>
      </c>
      <c r="E71" s="30">
        <v>-2424.2664000000004</v>
      </c>
      <c r="F71" s="30">
        <v>-3668.1887999999999</v>
      </c>
    </row>
    <row r="72" spans="1:6" ht="12.75" customHeight="1" x14ac:dyDescent="0.2">
      <c r="A72" s="1">
        <v>20220430</v>
      </c>
      <c r="B72" s="1" t="s">
        <v>34</v>
      </c>
      <c r="C72" s="1" t="s">
        <v>116</v>
      </c>
      <c r="D72" s="30">
        <v>-1554.9029999999998</v>
      </c>
      <c r="E72" s="30">
        <v>-3030.3330000000001</v>
      </c>
      <c r="F72" s="30">
        <v>-4585.2359999999999</v>
      </c>
    </row>
    <row r="73" spans="1:6" ht="12.75" customHeight="1" x14ac:dyDescent="0.2">
      <c r="A73" s="1">
        <v>20220430</v>
      </c>
      <c r="B73" s="1" t="s">
        <v>43</v>
      </c>
      <c r="C73" s="1" t="s">
        <v>33</v>
      </c>
      <c r="D73" s="30">
        <v>0</v>
      </c>
      <c r="E73" s="30">
        <v>0</v>
      </c>
      <c r="F73" s="30">
        <v>0</v>
      </c>
    </row>
    <row r="74" spans="1:6" ht="12.75" customHeight="1" x14ac:dyDescent="0.2">
      <c r="A74" s="1">
        <v>20220430</v>
      </c>
      <c r="B74" s="1" t="s">
        <v>43</v>
      </c>
      <c r="C74" s="1" t="s">
        <v>113</v>
      </c>
      <c r="D74" s="30">
        <v>0</v>
      </c>
      <c r="E74" s="30">
        <v>0</v>
      </c>
      <c r="F74" s="30">
        <v>0</v>
      </c>
    </row>
    <row r="75" spans="1:6" ht="12.75" customHeight="1" x14ac:dyDescent="0.2">
      <c r="A75" s="1">
        <v>20220430</v>
      </c>
      <c r="B75" s="1" t="s">
        <v>43</v>
      </c>
      <c r="C75" s="1" t="s">
        <v>114</v>
      </c>
      <c r="D75" s="30">
        <v>0</v>
      </c>
      <c r="E75" s="30">
        <v>0</v>
      </c>
      <c r="F75" s="30">
        <v>0</v>
      </c>
    </row>
    <row r="76" spans="1:6" ht="12.75" customHeight="1" x14ac:dyDescent="0.2">
      <c r="A76" s="1">
        <v>20220430</v>
      </c>
      <c r="B76" s="1" t="s">
        <v>43</v>
      </c>
      <c r="C76" s="1" t="s">
        <v>115</v>
      </c>
      <c r="D76" s="30">
        <v>0</v>
      </c>
      <c r="E76" s="30">
        <v>0</v>
      </c>
      <c r="F76" s="30">
        <v>0</v>
      </c>
    </row>
    <row r="77" spans="1:6" ht="12.75" customHeight="1" x14ac:dyDescent="0.2">
      <c r="A77" s="1">
        <v>20220430</v>
      </c>
      <c r="B77" s="1" t="s">
        <v>43</v>
      </c>
      <c r="C77" s="1" t="s">
        <v>116</v>
      </c>
      <c r="D77" s="30">
        <v>0</v>
      </c>
      <c r="E77" s="30">
        <v>0</v>
      </c>
      <c r="F77" s="30">
        <v>0</v>
      </c>
    </row>
    <row r="78" spans="1:6" ht="12.75" customHeight="1" x14ac:dyDescent="0.2">
      <c r="A78" s="1">
        <v>20220531</v>
      </c>
      <c r="B78" s="1" t="s">
        <v>44</v>
      </c>
      <c r="C78" s="1" t="s">
        <v>33</v>
      </c>
      <c r="D78" s="30">
        <v>600</v>
      </c>
      <c r="E78" s="30">
        <v>1900</v>
      </c>
      <c r="F78" s="30">
        <v>2500</v>
      </c>
    </row>
    <row r="79" spans="1:6" ht="12.75" customHeight="1" x14ac:dyDescent="0.2">
      <c r="A79" s="1">
        <v>20220531</v>
      </c>
      <c r="B79" s="1" t="s">
        <v>44</v>
      </c>
      <c r="C79" s="1" t="s">
        <v>113</v>
      </c>
      <c r="D79" s="30">
        <v>1200</v>
      </c>
      <c r="E79" s="30">
        <v>3800</v>
      </c>
      <c r="F79" s="30">
        <v>5000</v>
      </c>
    </row>
    <row r="80" spans="1:6" ht="12.75" customHeight="1" x14ac:dyDescent="0.2">
      <c r="A80" s="1">
        <v>20220531</v>
      </c>
      <c r="B80" s="1" t="s">
        <v>44</v>
      </c>
      <c r="C80" s="1" t="s">
        <v>114</v>
      </c>
      <c r="D80" s="30">
        <v>1800</v>
      </c>
      <c r="E80" s="30">
        <v>5700</v>
      </c>
      <c r="F80" s="30">
        <v>7500</v>
      </c>
    </row>
    <row r="81" spans="1:6" ht="12.75" customHeight="1" x14ac:dyDescent="0.2">
      <c r="A81" s="1">
        <v>20220531</v>
      </c>
      <c r="B81" s="1" t="s">
        <v>44</v>
      </c>
      <c r="C81" s="1" t="s">
        <v>115</v>
      </c>
      <c r="D81" s="30">
        <v>2400</v>
      </c>
      <c r="E81" s="30">
        <v>7600</v>
      </c>
      <c r="F81" s="30">
        <v>10000</v>
      </c>
    </row>
    <row r="82" spans="1:6" ht="12.75" customHeight="1" x14ac:dyDescent="0.2">
      <c r="A82" s="1">
        <v>20220531</v>
      </c>
      <c r="B82" s="1" t="s">
        <v>44</v>
      </c>
      <c r="C82" s="1" t="s">
        <v>116</v>
      </c>
      <c r="D82" s="30">
        <v>3000</v>
      </c>
      <c r="E82" s="30">
        <v>9500</v>
      </c>
      <c r="F82" s="30">
        <v>12500</v>
      </c>
    </row>
    <row r="83" spans="1:6" ht="12.75" customHeight="1" x14ac:dyDescent="0.2">
      <c r="A83" s="1">
        <v>20220531</v>
      </c>
      <c r="B83" s="1" t="s">
        <v>42</v>
      </c>
      <c r="C83" s="1" t="s">
        <v>33</v>
      </c>
      <c r="D83" s="30">
        <v>411.26340000000005</v>
      </c>
      <c r="E83" s="30">
        <v>982.9527999999998</v>
      </c>
      <c r="F83" s="30">
        <v>1394.2161999999998</v>
      </c>
    </row>
    <row r="84" spans="1:6" ht="12.75" customHeight="1" x14ac:dyDescent="0.2">
      <c r="A84" s="1">
        <v>20220531</v>
      </c>
      <c r="B84" s="1" t="s">
        <v>42</v>
      </c>
      <c r="C84" s="1" t="s">
        <v>113</v>
      </c>
      <c r="D84" s="30">
        <v>822.52680000000009</v>
      </c>
      <c r="E84" s="30">
        <v>1965.9055999999996</v>
      </c>
      <c r="F84" s="30">
        <v>2788.4323999999997</v>
      </c>
    </row>
    <row r="85" spans="1:6" ht="12.75" customHeight="1" x14ac:dyDescent="0.2">
      <c r="A85" s="1">
        <v>20220531</v>
      </c>
      <c r="B85" s="1" t="s">
        <v>42</v>
      </c>
      <c r="C85" s="1" t="s">
        <v>114</v>
      </c>
      <c r="D85" s="30">
        <v>1233.7901999999999</v>
      </c>
      <c r="E85" s="30">
        <v>2948.8584000000001</v>
      </c>
      <c r="F85" s="30">
        <v>4182.6486000000004</v>
      </c>
    </row>
    <row r="86" spans="1:6" ht="12.75" customHeight="1" x14ac:dyDescent="0.2">
      <c r="A86" s="1">
        <v>20220531</v>
      </c>
      <c r="B86" s="1" t="s">
        <v>42</v>
      </c>
      <c r="C86" s="1" t="s">
        <v>115</v>
      </c>
      <c r="D86" s="30">
        <v>1645.0536000000002</v>
      </c>
      <c r="E86" s="30">
        <v>3931.8111999999992</v>
      </c>
      <c r="F86" s="30">
        <v>5576.8647999999994</v>
      </c>
    </row>
    <row r="87" spans="1:6" ht="12.75" customHeight="1" x14ac:dyDescent="0.2">
      <c r="A87" s="1">
        <v>20220531</v>
      </c>
      <c r="B87" s="1" t="s">
        <v>42</v>
      </c>
      <c r="C87" s="1" t="s">
        <v>116</v>
      </c>
      <c r="D87" s="30">
        <v>2056.317</v>
      </c>
      <c r="E87" s="30">
        <v>4914.7640000000001</v>
      </c>
      <c r="F87" s="30">
        <v>6971.081000000001</v>
      </c>
    </row>
    <row r="88" spans="1:6" ht="12.75" customHeight="1" x14ac:dyDescent="0.2">
      <c r="A88" s="1">
        <v>20220531</v>
      </c>
      <c r="B88" s="1" t="s">
        <v>34</v>
      </c>
      <c r="C88" s="1" t="s">
        <v>33</v>
      </c>
      <c r="D88" s="30">
        <v>-188.73660000000001</v>
      </c>
      <c r="E88" s="30">
        <v>-917.04719999999998</v>
      </c>
      <c r="F88" s="30">
        <v>-1105.7838000000002</v>
      </c>
    </row>
    <row r="89" spans="1:6" ht="12.75" customHeight="1" x14ac:dyDescent="0.2">
      <c r="A89" s="1">
        <v>20220531</v>
      </c>
      <c r="B89" s="1" t="s">
        <v>34</v>
      </c>
      <c r="C89" s="1" t="s">
        <v>113</v>
      </c>
      <c r="D89" s="30">
        <v>-377.47320000000002</v>
      </c>
      <c r="E89" s="30">
        <v>-1834.0944</v>
      </c>
      <c r="F89" s="30">
        <v>-2211.5676000000003</v>
      </c>
    </row>
    <row r="90" spans="1:6" ht="12.75" customHeight="1" x14ac:dyDescent="0.2">
      <c r="A90" s="1">
        <v>20220531</v>
      </c>
      <c r="B90" s="1" t="s">
        <v>34</v>
      </c>
      <c r="C90" s="1" t="s">
        <v>114</v>
      </c>
      <c r="D90" s="30">
        <v>-566.20980000000009</v>
      </c>
      <c r="E90" s="30">
        <v>-2751.1415999999999</v>
      </c>
      <c r="F90" s="30">
        <v>-3317.3514</v>
      </c>
    </row>
    <row r="91" spans="1:6" ht="12.75" customHeight="1" x14ac:dyDescent="0.2">
      <c r="A91" s="1">
        <v>20220531</v>
      </c>
      <c r="B91" s="1" t="s">
        <v>34</v>
      </c>
      <c r="C91" s="1" t="s">
        <v>115</v>
      </c>
      <c r="D91" s="30">
        <v>-754.94640000000004</v>
      </c>
      <c r="E91" s="30">
        <v>-3668.1887999999999</v>
      </c>
      <c r="F91" s="30">
        <v>-4423.1352000000006</v>
      </c>
    </row>
    <row r="92" spans="1:6" ht="12.75" customHeight="1" x14ac:dyDescent="0.2">
      <c r="A92" s="1">
        <v>20220531</v>
      </c>
      <c r="B92" s="1" t="s">
        <v>34</v>
      </c>
      <c r="C92" s="1" t="s">
        <v>116</v>
      </c>
      <c r="D92" s="30">
        <v>-943.68299999999999</v>
      </c>
      <c r="E92" s="30">
        <v>-4585.2359999999999</v>
      </c>
      <c r="F92" s="30">
        <v>-5528.9190000000008</v>
      </c>
    </row>
    <row r="93" spans="1:6" ht="12.75" customHeight="1" x14ac:dyDescent="0.2">
      <c r="A93" s="1">
        <v>20220531</v>
      </c>
      <c r="B93" s="1" t="s">
        <v>43</v>
      </c>
      <c r="C93" s="1" t="s">
        <v>33</v>
      </c>
      <c r="D93" s="30">
        <v>0</v>
      </c>
      <c r="E93" s="30">
        <v>0</v>
      </c>
      <c r="F93" s="30">
        <v>0</v>
      </c>
    </row>
    <row r="94" spans="1:6" ht="12.75" customHeight="1" x14ac:dyDescent="0.2">
      <c r="A94" s="1">
        <v>20220531</v>
      </c>
      <c r="B94" s="1" t="s">
        <v>43</v>
      </c>
      <c r="C94" s="1" t="s">
        <v>113</v>
      </c>
      <c r="D94" s="30">
        <v>0</v>
      </c>
      <c r="E94" s="30">
        <v>0</v>
      </c>
      <c r="F94" s="30">
        <v>0</v>
      </c>
    </row>
    <row r="95" spans="1:6" ht="12.75" customHeight="1" x14ac:dyDescent="0.2">
      <c r="A95" s="1">
        <v>20220531</v>
      </c>
      <c r="B95" s="1" t="s">
        <v>43</v>
      </c>
      <c r="C95" s="1" t="s">
        <v>114</v>
      </c>
      <c r="D95" s="30">
        <v>0</v>
      </c>
      <c r="E95" s="30">
        <v>0</v>
      </c>
      <c r="F95" s="30">
        <v>0</v>
      </c>
    </row>
    <row r="96" spans="1:6" ht="12.75" customHeight="1" x14ac:dyDescent="0.2">
      <c r="A96" s="1">
        <v>20220531</v>
      </c>
      <c r="B96" s="1" t="s">
        <v>43</v>
      </c>
      <c r="C96" s="1" t="s">
        <v>115</v>
      </c>
      <c r="D96" s="30">
        <v>0</v>
      </c>
      <c r="E96" s="30">
        <v>0</v>
      </c>
      <c r="F96" s="30">
        <v>0</v>
      </c>
    </row>
    <row r="97" spans="1:6" ht="12.75" customHeight="1" x14ac:dyDescent="0.2">
      <c r="A97" s="1">
        <v>20220531</v>
      </c>
      <c r="B97" s="1" t="s">
        <v>43</v>
      </c>
      <c r="C97" s="1" t="s">
        <v>116</v>
      </c>
      <c r="D97" s="30">
        <v>0</v>
      </c>
      <c r="E97" s="30">
        <v>0</v>
      </c>
      <c r="F97" s="30">
        <v>0</v>
      </c>
    </row>
  </sheetData>
  <sortState xmlns:xlrd2="http://schemas.microsoft.com/office/spreadsheetml/2017/richdata2" ref="A3:F97">
    <sortCondition ref="A3:A97"/>
    <sortCondition ref="B3:B97"/>
    <sortCondition ref="C3:C97"/>
  </sortState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21"/>
  <sheetViews>
    <sheetView zoomScale="120" zoomScaleNormal="120" workbookViewId="0"/>
  </sheetViews>
  <sheetFormatPr defaultColWidth="11.5703125" defaultRowHeight="12.75" customHeight="1" x14ac:dyDescent="0.2"/>
  <cols>
    <col min="1" max="1" width="21.7109375" style="1" customWidth="1"/>
    <col min="2" max="2" width="46.5703125" style="1" customWidth="1"/>
    <col min="3" max="3" width="23.5703125" style="1" customWidth="1"/>
    <col min="4" max="5" width="24.85546875" style="1" customWidth="1"/>
    <col min="6" max="6" width="23.5703125" style="1" customWidth="1"/>
    <col min="7" max="7" width="21" style="1" customWidth="1"/>
  </cols>
  <sheetData>
    <row r="1" spans="1:5" ht="15" x14ac:dyDescent="0.25">
      <c r="A1" s="4" t="s">
        <v>46</v>
      </c>
      <c r="B1" s="5" t="s">
        <v>47</v>
      </c>
    </row>
    <row r="2" spans="1:5" x14ac:dyDescent="0.2">
      <c r="A2" s="1" t="s">
        <v>21</v>
      </c>
      <c r="B2" s="1" t="s">
        <v>38</v>
      </c>
      <c r="C2" s="1" t="s">
        <v>39</v>
      </c>
      <c r="D2" s="1" t="s">
        <v>40</v>
      </c>
      <c r="E2" s="1" t="s">
        <v>41</v>
      </c>
    </row>
    <row r="3" spans="1:5" x14ac:dyDescent="0.2">
      <c r="A3" s="1">
        <v>20220131</v>
      </c>
      <c r="B3" s="1" t="s">
        <v>42</v>
      </c>
      <c r="C3" s="1">
        <v>0</v>
      </c>
      <c r="D3" s="1">
        <v>-1.4999999994245172E-3</v>
      </c>
      <c r="E3" s="1">
        <v>-1.4999999994245172E-3</v>
      </c>
    </row>
    <row r="4" spans="1:5" x14ac:dyDescent="0.2">
      <c r="A4" s="1">
        <v>20220131</v>
      </c>
      <c r="B4" s="1" t="s">
        <v>34</v>
      </c>
      <c r="C4" s="1">
        <v>0</v>
      </c>
      <c r="D4" s="1">
        <v>-5142.2715000000007</v>
      </c>
      <c r="E4" s="1">
        <v>-5142.2715000000007</v>
      </c>
    </row>
    <row r="5" spans="1:5" x14ac:dyDescent="0.2">
      <c r="A5" s="1">
        <v>20220131</v>
      </c>
      <c r="B5" s="1" t="s">
        <v>43</v>
      </c>
      <c r="C5" s="1">
        <v>0</v>
      </c>
      <c r="D5" s="1">
        <v>5142.2700000000004</v>
      </c>
      <c r="E5" s="1">
        <v>5142.2700000000004</v>
      </c>
    </row>
    <row r="6" spans="1:5" x14ac:dyDescent="0.2">
      <c r="A6" s="1">
        <v>20220228</v>
      </c>
      <c r="B6" s="1" t="s">
        <v>44</v>
      </c>
      <c r="C6" s="1">
        <v>0</v>
      </c>
      <c r="D6" s="1">
        <v>28500</v>
      </c>
      <c r="E6" s="1">
        <v>28500</v>
      </c>
    </row>
    <row r="7" spans="1:5" ht="12.75" customHeight="1" x14ac:dyDescent="0.2">
      <c r="A7" s="1">
        <v>20220228</v>
      </c>
      <c r="B7" s="1" t="s">
        <v>42</v>
      </c>
      <c r="C7" s="1">
        <v>-1.5000000012435066E-3</v>
      </c>
      <c r="D7" s="1">
        <v>21483.759000000002</v>
      </c>
      <c r="E7" s="1">
        <v>21483.7575</v>
      </c>
    </row>
    <row r="8" spans="1:5" ht="12.75" customHeight="1" x14ac:dyDescent="0.2">
      <c r="A8" s="1">
        <v>20220228</v>
      </c>
      <c r="B8" s="1" t="s">
        <v>34</v>
      </c>
      <c r="C8" s="1">
        <v>-5142.2715000000007</v>
      </c>
      <c r="D8" s="1">
        <v>-1873.9709999999998</v>
      </c>
      <c r="E8" s="1">
        <v>-7016.2425000000003</v>
      </c>
    </row>
    <row r="9" spans="1:5" ht="12.75" customHeight="1" x14ac:dyDescent="0.2">
      <c r="A9" s="1">
        <v>20220228</v>
      </c>
      <c r="B9" s="1" t="s">
        <v>43</v>
      </c>
      <c r="C9" s="1">
        <v>5142.2699999999995</v>
      </c>
      <c r="D9" s="1">
        <v>-5142.2699999999995</v>
      </c>
      <c r="E9" s="1">
        <v>0</v>
      </c>
    </row>
    <row r="10" spans="1:5" ht="12.75" customHeight="1" x14ac:dyDescent="0.2">
      <c r="A10" s="1">
        <v>20220331</v>
      </c>
      <c r="B10" s="1" t="s">
        <v>44</v>
      </c>
      <c r="C10" s="1">
        <v>28500</v>
      </c>
      <c r="D10" s="1">
        <v>0</v>
      </c>
      <c r="E10" s="1">
        <v>28500</v>
      </c>
    </row>
    <row r="11" spans="1:5" ht="12.75" customHeight="1" x14ac:dyDescent="0.2">
      <c r="A11" s="1">
        <v>20220331</v>
      </c>
      <c r="B11" s="1" t="s">
        <v>42</v>
      </c>
      <c r="C11" s="1">
        <v>21483.7575</v>
      </c>
      <c r="D11" s="1">
        <v>-2074.7565</v>
      </c>
      <c r="E11" s="1">
        <v>19409.001</v>
      </c>
    </row>
    <row r="12" spans="1:5" ht="12.75" customHeight="1" x14ac:dyDescent="0.2">
      <c r="A12" s="1">
        <v>20220331</v>
      </c>
      <c r="B12" s="1" t="s">
        <v>34</v>
      </c>
      <c r="C12" s="1">
        <v>-7016.2425000000003</v>
      </c>
      <c r="D12" s="1">
        <v>-2074.7565</v>
      </c>
      <c r="E12" s="1">
        <v>-9090.9989999999998</v>
      </c>
    </row>
    <row r="13" spans="1:5" ht="12.75" customHeight="1" x14ac:dyDescent="0.2">
      <c r="A13" s="1">
        <v>20220331</v>
      </c>
      <c r="B13" s="1" t="s">
        <v>43</v>
      </c>
      <c r="C13" s="1">
        <v>0</v>
      </c>
      <c r="D13" s="1">
        <v>0</v>
      </c>
      <c r="E13" s="1">
        <v>0</v>
      </c>
    </row>
    <row r="14" spans="1:5" ht="12.75" customHeight="1" x14ac:dyDescent="0.2">
      <c r="A14" s="1">
        <v>20220430</v>
      </c>
      <c r="B14" s="1" t="s">
        <v>44</v>
      </c>
      <c r="C14" s="1">
        <v>28500</v>
      </c>
      <c r="D14" s="1">
        <v>0</v>
      </c>
      <c r="E14" s="1">
        <v>28500</v>
      </c>
    </row>
    <row r="15" spans="1:5" ht="12.75" customHeight="1" x14ac:dyDescent="0.2">
      <c r="A15" s="1">
        <v>20220430</v>
      </c>
      <c r="B15" s="1" t="s">
        <v>42</v>
      </c>
      <c r="C15" s="1">
        <v>19409.001</v>
      </c>
      <c r="D15" s="1">
        <v>-4664.7089999999998</v>
      </c>
      <c r="E15" s="1">
        <v>14744.292000000003</v>
      </c>
    </row>
    <row r="16" spans="1:5" ht="12.75" customHeight="1" x14ac:dyDescent="0.2">
      <c r="A16" s="1">
        <v>20220430</v>
      </c>
      <c r="B16" s="1" t="s">
        <v>34</v>
      </c>
      <c r="C16" s="1">
        <v>-9090.9989999999998</v>
      </c>
      <c r="D16" s="1">
        <v>-4664.7089999999998</v>
      </c>
      <c r="E16" s="1">
        <v>-13755.708000000001</v>
      </c>
    </row>
    <row r="17" spans="1:5" ht="12.75" customHeight="1" x14ac:dyDescent="0.2">
      <c r="A17" s="1">
        <v>20220430</v>
      </c>
      <c r="B17" s="1" t="s">
        <v>43</v>
      </c>
      <c r="C17" s="1">
        <v>0</v>
      </c>
      <c r="D17" s="1">
        <v>0</v>
      </c>
      <c r="E17" s="1">
        <v>0</v>
      </c>
    </row>
    <row r="18" spans="1:5" ht="12.75" customHeight="1" x14ac:dyDescent="0.2">
      <c r="A18" s="1">
        <v>20220531</v>
      </c>
      <c r="B18" s="1" t="s">
        <v>44</v>
      </c>
      <c r="C18" s="1">
        <v>28500</v>
      </c>
      <c r="D18" s="1">
        <v>9000</v>
      </c>
      <c r="E18" s="1">
        <v>37500</v>
      </c>
    </row>
    <row r="19" spans="1:5" ht="12.75" customHeight="1" x14ac:dyDescent="0.2">
      <c r="A19" s="1">
        <v>20220531</v>
      </c>
      <c r="B19" s="1" t="s">
        <v>42</v>
      </c>
      <c r="C19" s="1">
        <v>14744.292000000003</v>
      </c>
      <c r="D19" s="1">
        <v>6168.9509999999973</v>
      </c>
      <c r="E19" s="1">
        <v>20913.243000000006</v>
      </c>
    </row>
    <row r="20" spans="1:5" ht="12.75" customHeight="1" x14ac:dyDescent="0.2">
      <c r="A20" s="1">
        <v>20220531</v>
      </c>
      <c r="B20" s="1" t="s">
        <v>34</v>
      </c>
      <c r="C20" s="1">
        <v>-13755.708000000001</v>
      </c>
      <c r="D20" s="1">
        <v>-2831.049</v>
      </c>
      <c r="E20" s="1">
        <v>-16586.757000000001</v>
      </c>
    </row>
    <row r="21" spans="1:5" ht="12.75" customHeight="1" x14ac:dyDescent="0.2">
      <c r="A21" s="1">
        <v>20220531</v>
      </c>
      <c r="B21" s="1" t="s">
        <v>43</v>
      </c>
      <c r="C21" s="1">
        <v>0</v>
      </c>
      <c r="D21" s="1">
        <v>0</v>
      </c>
      <c r="E21" s="1">
        <v>0</v>
      </c>
    </row>
  </sheetData>
  <sortState xmlns:xlrd2="http://schemas.microsoft.com/office/spreadsheetml/2017/richdata2" ref="A3:E21">
    <sortCondition ref="A3:A21"/>
    <sortCondition ref="B3:B21"/>
  </sortState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R52"/>
  <sheetViews>
    <sheetView zoomScale="120" zoomScaleNormal="120" workbookViewId="0">
      <selection activeCell="E10" sqref="E10"/>
    </sheetView>
  </sheetViews>
  <sheetFormatPr defaultColWidth="11.5703125" defaultRowHeight="12.75" customHeight="1" x14ac:dyDescent="0.2"/>
  <cols>
    <col min="1" max="1" width="21.7109375" style="1" customWidth="1"/>
    <col min="2" max="2" width="21.85546875" style="1" customWidth="1"/>
    <col min="3" max="3" width="24.140625" style="1" customWidth="1"/>
    <col min="5" max="5" width="24.7109375" style="1" customWidth="1"/>
    <col min="6" max="6" width="23.140625" style="1" customWidth="1"/>
    <col min="8" max="8" width="7" style="1" customWidth="1"/>
    <col min="9" max="9" width="20.42578125" style="1" customWidth="1"/>
    <col min="10" max="10" width="21.140625" style="1" customWidth="1"/>
    <col min="11" max="12" width="24.140625" style="1" customWidth="1"/>
    <col min="13" max="13" width="19" style="1" customWidth="1"/>
    <col min="14" max="14" width="31.5703125" style="1" customWidth="1"/>
    <col min="15" max="15" width="16.7109375" style="1" customWidth="1"/>
    <col min="16" max="16" width="26.28515625" style="1" customWidth="1"/>
    <col min="17" max="17" width="21.7109375" style="1" customWidth="1"/>
    <col min="18" max="18" width="30.42578125" style="1" customWidth="1"/>
  </cols>
  <sheetData>
    <row r="1" spans="1:18" ht="75" x14ac:dyDescent="0.25">
      <c r="A1" s="4" t="s">
        <v>48</v>
      </c>
      <c r="B1" s="29" t="s">
        <v>117</v>
      </c>
    </row>
    <row r="2" spans="1:18" x14ac:dyDescent="0.2">
      <c r="A2" s="1" t="s">
        <v>21</v>
      </c>
      <c r="B2" s="1" t="s">
        <v>22</v>
      </c>
      <c r="C2" s="1" t="s">
        <v>49</v>
      </c>
      <c r="D2" s="1" t="s">
        <v>118</v>
      </c>
      <c r="E2" s="1" t="s">
        <v>50</v>
      </c>
      <c r="F2" s="1" t="s">
        <v>51</v>
      </c>
      <c r="G2" s="1" t="s">
        <v>52</v>
      </c>
      <c r="H2" s="1" t="s">
        <v>53</v>
      </c>
      <c r="I2" s="1" t="s">
        <v>54</v>
      </c>
      <c r="J2" s="1" t="s">
        <v>55</v>
      </c>
      <c r="K2" s="1" t="s">
        <v>56</v>
      </c>
      <c r="L2" s="1" t="s">
        <v>57</v>
      </c>
      <c r="M2" s="1" t="s">
        <v>58</v>
      </c>
      <c r="N2" s="1" t="s">
        <v>59</v>
      </c>
      <c r="O2" s="1" t="s">
        <v>60</v>
      </c>
      <c r="P2" s="1" t="s">
        <v>61</v>
      </c>
      <c r="Q2" s="1" t="s">
        <v>62</v>
      </c>
      <c r="R2" s="1" t="s">
        <v>63</v>
      </c>
    </row>
    <row r="3" spans="1:18" x14ac:dyDescent="0.2">
      <c r="A3" s="1">
        <v>20220131</v>
      </c>
      <c r="B3" s="1">
        <v>0</v>
      </c>
      <c r="C3" s="1" t="s">
        <v>64</v>
      </c>
      <c r="D3" s="1" t="s">
        <v>33</v>
      </c>
      <c r="E3" s="1">
        <v>1</v>
      </c>
      <c r="F3" s="1" t="s">
        <v>65</v>
      </c>
      <c r="G3" s="1">
        <v>202201</v>
      </c>
      <c r="H3" s="1" t="s">
        <v>36</v>
      </c>
      <c r="I3" s="1" t="s">
        <v>66</v>
      </c>
      <c r="K3" s="1" t="s">
        <v>67</v>
      </c>
      <c r="O3" s="1" t="s">
        <v>68</v>
      </c>
      <c r="Q3" s="1">
        <v>0</v>
      </c>
      <c r="R3" s="1" t="s">
        <v>68</v>
      </c>
    </row>
    <row r="4" spans="1:18" x14ac:dyDescent="0.2">
      <c r="A4" s="31">
        <v>20220131</v>
      </c>
      <c r="B4" s="31">
        <v>0</v>
      </c>
      <c r="C4" s="31" t="s">
        <v>64</v>
      </c>
      <c r="D4" s="31" t="s">
        <v>113</v>
      </c>
      <c r="E4" s="31">
        <v>1</v>
      </c>
      <c r="F4" s="31" t="s">
        <v>65</v>
      </c>
      <c r="G4" s="31">
        <v>202201</v>
      </c>
      <c r="H4" s="31" t="s">
        <v>36</v>
      </c>
      <c r="I4" s="31" t="s">
        <v>66</v>
      </c>
      <c r="J4" s="31"/>
      <c r="K4" s="31" t="s">
        <v>67</v>
      </c>
      <c r="L4" s="31"/>
      <c r="M4" s="31"/>
      <c r="N4" s="31"/>
      <c r="O4" s="31" t="s">
        <v>68</v>
      </c>
      <c r="P4" s="31"/>
      <c r="Q4" s="31">
        <v>0</v>
      </c>
      <c r="R4" s="31" t="s">
        <v>68</v>
      </c>
    </row>
    <row r="5" spans="1:18" x14ac:dyDescent="0.2">
      <c r="A5" s="1">
        <v>20220131</v>
      </c>
      <c r="B5" s="1">
        <v>0</v>
      </c>
      <c r="C5" s="1" t="s">
        <v>64</v>
      </c>
      <c r="D5" s="1" t="s">
        <v>114</v>
      </c>
      <c r="E5" s="1">
        <v>1</v>
      </c>
      <c r="F5" s="1" t="s">
        <v>65</v>
      </c>
      <c r="G5" s="1">
        <v>202201</v>
      </c>
      <c r="H5" s="1" t="s">
        <v>36</v>
      </c>
      <c r="I5" s="1" t="s">
        <v>66</v>
      </c>
      <c r="K5" s="1" t="s">
        <v>67</v>
      </c>
      <c r="O5" s="1" t="s">
        <v>68</v>
      </c>
      <c r="Q5" s="1">
        <v>0</v>
      </c>
      <c r="R5" s="1" t="s">
        <v>68</v>
      </c>
    </row>
    <row r="6" spans="1:18" x14ac:dyDescent="0.2">
      <c r="A6" s="31">
        <v>20220131</v>
      </c>
      <c r="B6" s="31">
        <v>0</v>
      </c>
      <c r="C6" s="31" t="s">
        <v>64</v>
      </c>
      <c r="D6" s="31" t="s">
        <v>115</v>
      </c>
      <c r="E6" s="31">
        <v>1</v>
      </c>
      <c r="F6" s="31" t="s">
        <v>65</v>
      </c>
      <c r="G6" s="31">
        <v>202201</v>
      </c>
      <c r="H6" s="31" t="s">
        <v>36</v>
      </c>
      <c r="I6" s="31" t="s">
        <v>66</v>
      </c>
      <c r="J6" s="31"/>
      <c r="K6" s="31" t="s">
        <v>67</v>
      </c>
      <c r="L6" s="31"/>
      <c r="M6" s="31"/>
      <c r="N6" s="31"/>
      <c r="O6" s="31" t="s">
        <v>68</v>
      </c>
      <c r="P6" s="31"/>
      <c r="Q6" s="31">
        <v>0</v>
      </c>
      <c r="R6" s="31" t="s">
        <v>68</v>
      </c>
    </row>
    <row r="7" spans="1:18" x14ac:dyDescent="0.2">
      <c r="A7" s="1">
        <v>20220131</v>
      </c>
      <c r="B7" s="1">
        <v>0</v>
      </c>
      <c r="C7" s="1" t="s">
        <v>64</v>
      </c>
      <c r="D7" s="1" t="s">
        <v>116</v>
      </c>
      <c r="E7" s="1">
        <v>1</v>
      </c>
      <c r="F7" s="1" t="s">
        <v>65</v>
      </c>
      <c r="G7" s="1">
        <v>202201</v>
      </c>
      <c r="H7" s="1" t="s">
        <v>36</v>
      </c>
      <c r="I7" s="1" t="s">
        <v>66</v>
      </c>
      <c r="K7" s="1" t="s">
        <v>67</v>
      </c>
      <c r="O7" s="1" t="s">
        <v>68</v>
      </c>
      <c r="Q7" s="1">
        <v>0</v>
      </c>
      <c r="R7" s="1" t="s">
        <v>68</v>
      </c>
    </row>
    <row r="8" spans="1:18" x14ac:dyDescent="0.2">
      <c r="A8" s="1">
        <v>20220131</v>
      </c>
      <c r="B8" s="1">
        <v>1</v>
      </c>
      <c r="C8" s="1" t="s">
        <v>64</v>
      </c>
      <c r="D8" s="1" t="s">
        <v>33</v>
      </c>
      <c r="E8" s="1">
        <v>1</v>
      </c>
      <c r="F8" s="1" t="s">
        <v>65</v>
      </c>
      <c r="G8" s="1">
        <v>202201</v>
      </c>
      <c r="H8" s="1" t="s">
        <v>36</v>
      </c>
      <c r="I8" s="1" t="s">
        <v>66</v>
      </c>
      <c r="J8" s="1">
        <v>-200</v>
      </c>
      <c r="K8" s="1" t="s">
        <v>67</v>
      </c>
      <c r="L8" s="1" t="s">
        <v>67</v>
      </c>
      <c r="M8" s="1">
        <v>1</v>
      </c>
      <c r="N8" s="1">
        <v>-200</v>
      </c>
      <c r="O8" s="1" t="s">
        <v>69</v>
      </c>
      <c r="P8" s="1" t="s">
        <v>67</v>
      </c>
      <c r="Q8" s="1">
        <v>1</v>
      </c>
      <c r="R8" s="1" t="s">
        <v>70</v>
      </c>
    </row>
    <row r="9" spans="1:18" x14ac:dyDescent="0.2">
      <c r="A9" s="31">
        <v>20220131</v>
      </c>
      <c r="B9" s="31">
        <v>1</v>
      </c>
      <c r="C9" s="31" t="s">
        <v>64</v>
      </c>
      <c r="D9" s="31" t="s">
        <v>113</v>
      </c>
      <c r="E9" s="31">
        <v>1</v>
      </c>
      <c r="F9" s="31" t="s">
        <v>65</v>
      </c>
      <c r="G9" s="31">
        <v>202201</v>
      </c>
      <c r="H9" s="31" t="s">
        <v>36</v>
      </c>
      <c r="I9" s="31" t="s">
        <v>66</v>
      </c>
      <c r="J9" s="32">
        <v>-400</v>
      </c>
      <c r="K9" s="31" t="s">
        <v>67</v>
      </c>
      <c r="L9" s="31" t="s">
        <v>67</v>
      </c>
      <c r="M9" s="31">
        <v>1</v>
      </c>
      <c r="N9" s="32">
        <v>-400</v>
      </c>
      <c r="O9" s="31" t="s">
        <v>69</v>
      </c>
      <c r="P9" s="31" t="s">
        <v>67</v>
      </c>
      <c r="Q9" s="31">
        <v>1</v>
      </c>
      <c r="R9" s="31" t="s">
        <v>70</v>
      </c>
    </row>
    <row r="10" spans="1:18" x14ac:dyDescent="0.2">
      <c r="A10" s="1">
        <v>20220131</v>
      </c>
      <c r="B10" s="1">
        <v>1</v>
      </c>
      <c r="C10" s="1" t="s">
        <v>64</v>
      </c>
      <c r="D10" s="1" t="s">
        <v>114</v>
      </c>
      <c r="E10" s="1">
        <v>1</v>
      </c>
      <c r="F10" s="1" t="s">
        <v>65</v>
      </c>
      <c r="G10" s="1">
        <v>202201</v>
      </c>
      <c r="H10" s="1" t="s">
        <v>36</v>
      </c>
      <c r="I10" s="1" t="s">
        <v>66</v>
      </c>
      <c r="J10" s="32">
        <v>-600</v>
      </c>
      <c r="K10" s="1" t="s">
        <v>67</v>
      </c>
      <c r="L10" s="1" t="s">
        <v>67</v>
      </c>
      <c r="M10" s="1">
        <v>1</v>
      </c>
      <c r="N10" s="32">
        <v>-600</v>
      </c>
      <c r="O10" s="1" t="s">
        <v>69</v>
      </c>
      <c r="P10" s="1" t="s">
        <v>67</v>
      </c>
      <c r="Q10" s="1">
        <v>1</v>
      </c>
      <c r="R10" s="1" t="s">
        <v>70</v>
      </c>
    </row>
    <row r="11" spans="1:18" x14ac:dyDescent="0.2">
      <c r="A11" s="31">
        <v>20220131</v>
      </c>
      <c r="B11" s="31">
        <v>1</v>
      </c>
      <c r="C11" s="31" t="s">
        <v>64</v>
      </c>
      <c r="D11" s="31" t="s">
        <v>115</v>
      </c>
      <c r="E11" s="31">
        <v>1</v>
      </c>
      <c r="F11" s="31" t="s">
        <v>65</v>
      </c>
      <c r="G11" s="31">
        <v>202201</v>
      </c>
      <c r="H11" s="31" t="s">
        <v>36</v>
      </c>
      <c r="I11" s="31" t="s">
        <v>66</v>
      </c>
      <c r="J11" s="32">
        <v>-800</v>
      </c>
      <c r="K11" s="31" t="s">
        <v>67</v>
      </c>
      <c r="L11" s="31" t="s">
        <v>67</v>
      </c>
      <c r="M11" s="31">
        <v>1</v>
      </c>
      <c r="N11" s="32">
        <v>-3200</v>
      </c>
      <c r="O11" s="31" t="s">
        <v>69</v>
      </c>
      <c r="P11" s="31" t="s">
        <v>67</v>
      </c>
      <c r="Q11" s="31">
        <v>1</v>
      </c>
      <c r="R11" s="31" t="s">
        <v>70</v>
      </c>
    </row>
    <row r="12" spans="1:18" x14ac:dyDescent="0.2">
      <c r="A12" s="1">
        <v>20220131</v>
      </c>
      <c r="B12" s="1">
        <v>1</v>
      </c>
      <c r="C12" s="1" t="s">
        <v>64</v>
      </c>
      <c r="D12" s="1" t="s">
        <v>116</v>
      </c>
      <c r="E12" s="1">
        <v>1</v>
      </c>
      <c r="F12" s="1" t="s">
        <v>65</v>
      </c>
      <c r="G12" s="1">
        <v>202201</v>
      </c>
      <c r="H12" s="1" t="s">
        <v>36</v>
      </c>
      <c r="I12" s="1" t="s">
        <v>66</v>
      </c>
      <c r="J12" s="32">
        <v>-4000</v>
      </c>
      <c r="K12" s="1" t="s">
        <v>67</v>
      </c>
      <c r="L12" s="1" t="s">
        <v>67</v>
      </c>
      <c r="M12" s="1">
        <v>1</v>
      </c>
      <c r="N12" s="32">
        <v>-20000</v>
      </c>
      <c r="O12" s="1" t="s">
        <v>69</v>
      </c>
      <c r="P12" s="1" t="s">
        <v>67</v>
      </c>
      <c r="Q12" s="1">
        <v>1</v>
      </c>
      <c r="R12" s="1" t="s">
        <v>70</v>
      </c>
    </row>
    <row r="13" spans="1:18" ht="12.75" customHeight="1" x14ac:dyDescent="0.2">
      <c r="A13" s="1">
        <v>20220131</v>
      </c>
      <c r="B13" s="1">
        <v>2</v>
      </c>
      <c r="C13" s="1" t="s">
        <v>64</v>
      </c>
      <c r="D13" s="1" t="s">
        <v>33</v>
      </c>
      <c r="E13" s="1">
        <v>1</v>
      </c>
      <c r="F13" s="1" t="s">
        <v>65</v>
      </c>
      <c r="G13" s="1">
        <v>202201</v>
      </c>
      <c r="H13" s="1" t="s">
        <v>36</v>
      </c>
      <c r="I13" s="1" t="s">
        <v>66</v>
      </c>
      <c r="J13" s="1">
        <v>100</v>
      </c>
      <c r="K13" s="1" t="s">
        <v>67</v>
      </c>
      <c r="L13" s="1" t="s">
        <v>71</v>
      </c>
      <c r="M13" s="1">
        <v>12</v>
      </c>
      <c r="N13" s="1">
        <v>1200</v>
      </c>
      <c r="O13" s="1" t="s">
        <v>72</v>
      </c>
      <c r="P13" s="1" t="s">
        <v>67</v>
      </c>
      <c r="Q13" s="1">
        <v>2</v>
      </c>
      <c r="R13" s="1" t="s">
        <v>73</v>
      </c>
    </row>
    <row r="14" spans="1:18" ht="12.75" customHeight="1" x14ac:dyDescent="0.2">
      <c r="A14" s="31">
        <v>20220131</v>
      </c>
      <c r="B14" s="31">
        <v>2</v>
      </c>
      <c r="C14" s="31" t="s">
        <v>64</v>
      </c>
      <c r="D14" s="31" t="s">
        <v>113</v>
      </c>
      <c r="E14" s="31">
        <v>1</v>
      </c>
      <c r="F14" s="31" t="s">
        <v>65</v>
      </c>
      <c r="G14" s="31">
        <v>202201</v>
      </c>
      <c r="H14" s="31" t="s">
        <v>36</v>
      </c>
      <c r="I14" s="31" t="s">
        <v>66</v>
      </c>
      <c r="J14" s="32">
        <v>200</v>
      </c>
      <c r="K14" s="31" t="s">
        <v>67</v>
      </c>
      <c r="L14" s="31" t="s">
        <v>71</v>
      </c>
      <c r="M14" s="31">
        <v>12</v>
      </c>
      <c r="N14" s="32">
        <v>2400</v>
      </c>
      <c r="O14" s="31" t="s">
        <v>72</v>
      </c>
      <c r="P14" s="31" t="s">
        <v>67</v>
      </c>
      <c r="Q14" s="31">
        <v>2</v>
      </c>
      <c r="R14" s="31" t="s">
        <v>73</v>
      </c>
    </row>
    <row r="15" spans="1:18" ht="12.75" customHeight="1" x14ac:dyDescent="0.2">
      <c r="A15" s="1">
        <v>20220131</v>
      </c>
      <c r="B15" s="1">
        <v>2</v>
      </c>
      <c r="C15" s="1" t="s">
        <v>64</v>
      </c>
      <c r="D15" s="1" t="s">
        <v>114</v>
      </c>
      <c r="E15" s="1">
        <v>1</v>
      </c>
      <c r="F15" s="1" t="s">
        <v>65</v>
      </c>
      <c r="G15" s="1">
        <v>202201</v>
      </c>
      <c r="H15" s="1" t="s">
        <v>36</v>
      </c>
      <c r="I15" s="1" t="s">
        <v>66</v>
      </c>
      <c r="J15" s="32">
        <v>300</v>
      </c>
      <c r="K15" s="1" t="s">
        <v>67</v>
      </c>
      <c r="L15" s="1" t="s">
        <v>71</v>
      </c>
      <c r="M15" s="1">
        <v>12</v>
      </c>
      <c r="N15" s="32">
        <v>3600</v>
      </c>
      <c r="O15" s="1" t="s">
        <v>72</v>
      </c>
      <c r="P15" s="1" t="s">
        <v>67</v>
      </c>
      <c r="Q15" s="1">
        <v>2</v>
      </c>
      <c r="R15" s="1" t="s">
        <v>73</v>
      </c>
    </row>
    <row r="16" spans="1:18" ht="12.75" customHeight="1" x14ac:dyDescent="0.2">
      <c r="A16" s="31">
        <v>20220131</v>
      </c>
      <c r="B16" s="31">
        <v>2</v>
      </c>
      <c r="C16" s="31" t="s">
        <v>64</v>
      </c>
      <c r="D16" s="31" t="s">
        <v>115</v>
      </c>
      <c r="E16" s="31">
        <v>1</v>
      </c>
      <c r="F16" s="31" t="s">
        <v>65</v>
      </c>
      <c r="G16" s="31">
        <v>202201</v>
      </c>
      <c r="H16" s="31" t="s">
        <v>36</v>
      </c>
      <c r="I16" s="31" t="s">
        <v>66</v>
      </c>
      <c r="J16" s="32">
        <v>400</v>
      </c>
      <c r="K16" s="31" t="s">
        <v>67</v>
      </c>
      <c r="L16" s="31" t="s">
        <v>71</v>
      </c>
      <c r="M16" s="31">
        <v>12</v>
      </c>
      <c r="N16" s="32">
        <v>19200</v>
      </c>
      <c r="O16" s="31" t="s">
        <v>72</v>
      </c>
      <c r="P16" s="31" t="s">
        <v>67</v>
      </c>
      <c r="Q16" s="31">
        <v>2</v>
      </c>
      <c r="R16" s="31" t="s">
        <v>73</v>
      </c>
    </row>
    <row r="17" spans="1:18" ht="12.75" customHeight="1" x14ac:dyDescent="0.2">
      <c r="A17" s="1">
        <v>20220131</v>
      </c>
      <c r="B17" s="1">
        <v>2</v>
      </c>
      <c r="C17" s="1" t="s">
        <v>64</v>
      </c>
      <c r="D17" s="1" t="s">
        <v>116</v>
      </c>
      <c r="E17" s="1">
        <v>1</v>
      </c>
      <c r="F17" s="1" t="s">
        <v>65</v>
      </c>
      <c r="G17" s="1">
        <v>202201</v>
      </c>
      <c r="H17" s="1" t="s">
        <v>36</v>
      </c>
      <c r="I17" s="1" t="s">
        <v>66</v>
      </c>
      <c r="J17" s="32">
        <v>2000</v>
      </c>
      <c r="K17" s="1" t="s">
        <v>67</v>
      </c>
      <c r="L17" s="1" t="s">
        <v>71</v>
      </c>
      <c r="M17" s="1">
        <v>12</v>
      </c>
      <c r="N17" s="32">
        <v>120000</v>
      </c>
      <c r="O17" s="1" t="s">
        <v>72</v>
      </c>
      <c r="P17" s="1" t="s">
        <v>67</v>
      </c>
      <c r="Q17" s="1">
        <v>2</v>
      </c>
      <c r="R17" s="1" t="s">
        <v>73</v>
      </c>
    </row>
    <row r="18" spans="1:18" ht="12.75" customHeight="1" x14ac:dyDescent="0.2">
      <c r="A18" s="1">
        <v>20220131</v>
      </c>
      <c r="B18" s="1">
        <v>3</v>
      </c>
      <c r="C18" s="1" t="s">
        <v>64</v>
      </c>
      <c r="D18" s="1" t="s">
        <v>33</v>
      </c>
      <c r="E18" s="1">
        <v>1</v>
      </c>
      <c r="F18" s="1" t="s">
        <v>65</v>
      </c>
      <c r="G18" s="1">
        <v>202201</v>
      </c>
      <c r="H18" s="1" t="s">
        <v>36</v>
      </c>
      <c r="I18" s="1" t="s">
        <v>66</v>
      </c>
      <c r="J18" s="1">
        <v>300</v>
      </c>
      <c r="K18" s="1" t="s">
        <v>67</v>
      </c>
      <c r="L18" s="1" t="s">
        <v>67</v>
      </c>
      <c r="M18" s="1">
        <v>1</v>
      </c>
      <c r="N18" s="1">
        <v>300</v>
      </c>
      <c r="O18" s="1" t="s">
        <v>74</v>
      </c>
      <c r="P18" s="1" t="s">
        <v>67</v>
      </c>
      <c r="Q18" s="1">
        <v>3</v>
      </c>
      <c r="R18" s="1" t="s">
        <v>75</v>
      </c>
    </row>
    <row r="19" spans="1:18" ht="12.75" customHeight="1" x14ac:dyDescent="0.2">
      <c r="A19" s="31">
        <v>20220131</v>
      </c>
      <c r="B19" s="31">
        <v>3</v>
      </c>
      <c r="C19" s="31" t="s">
        <v>64</v>
      </c>
      <c r="D19" s="31" t="s">
        <v>113</v>
      </c>
      <c r="E19" s="31">
        <v>1</v>
      </c>
      <c r="F19" s="31" t="s">
        <v>65</v>
      </c>
      <c r="G19" s="31">
        <v>202201</v>
      </c>
      <c r="H19" s="31" t="s">
        <v>36</v>
      </c>
      <c r="I19" s="31" t="s">
        <v>66</v>
      </c>
      <c r="J19" s="32">
        <v>600</v>
      </c>
      <c r="K19" s="31" t="s">
        <v>67</v>
      </c>
      <c r="L19" s="31" t="s">
        <v>67</v>
      </c>
      <c r="M19" s="31">
        <v>1</v>
      </c>
      <c r="N19" s="32">
        <v>600</v>
      </c>
      <c r="O19" s="31" t="s">
        <v>74</v>
      </c>
      <c r="P19" s="31" t="s">
        <v>67</v>
      </c>
      <c r="Q19" s="31">
        <v>3</v>
      </c>
      <c r="R19" s="31" t="s">
        <v>75</v>
      </c>
    </row>
    <row r="20" spans="1:18" ht="12.75" customHeight="1" x14ac:dyDescent="0.2">
      <c r="A20" s="1">
        <v>20220131</v>
      </c>
      <c r="B20" s="1">
        <v>3</v>
      </c>
      <c r="C20" s="1" t="s">
        <v>64</v>
      </c>
      <c r="D20" s="1" t="s">
        <v>114</v>
      </c>
      <c r="E20" s="1">
        <v>1</v>
      </c>
      <c r="F20" s="1" t="s">
        <v>65</v>
      </c>
      <c r="G20" s="1">
        <v>202201</v>
      </c>
      <c r="H20" s="1" t="s">
        <v>36</v>
      </c>
      <c r="I20" s="1" t="s">
        <v>66</v>
      </c>
      <c r="J20" s="32">
        <v>900</v>
      </c>
      <c r="K20" s="1" t="s">
        <v>67</v>
      </c>
      <c r="L20" s="1" t="s">
        <v>67</v>
      </c>
      <c r="M20" s="1">
        <v>1</v>
      </c>
      <c r="N20" s="32">
        <v>900</v>
      </c>
      <c r="O20" s="1" t="s">
        <v>74</v>
      </c>
      <c r="P20" s="1" t="s">
        <v>67</v>
      </c>
      <c r="Q20" s="1">
        <v>3</v>
      </c>
      <c r="R20" s="1" t="s">
        <v>75</v>
      </c>
    </row>
    <row r="21" spans="1:18" ht="12.75" customHeight="1" x14ac:dyDescent="0.2">
      <c r="A21" s="31">
        <v>20220131</v>
      </c>
      <c r="B21" s="31">
        <v>3</v>
      </c>
      <c r="C21" s="31" t="s">
        <v>64</v>
      </c>
      <c r="D21" s="31" t="s">
        <v>115</v>
      </c>
      <c r="E21" s="31">
        <v>1</v>
      </c>
      <c r="F21" s="31" t="s">
        <v>65</v>
      </c>
      <c r="G21" s="31">
        <v>202201</v>
      </c>
      <c r="H21" s="31" t="s">
        <v>36</v>
      </c>
      <c r="I21" s="31" t="s">
        <v>66</v>
      </c>
      <c r="J21" s="32">
        <v>1200</v>
      </c>
      <c r="K21" s="31" t="s">
        <v>67</v>
      </c>
      <c r="L21" s="31" t="s">
        <v>67</v>
      </c>
      <c r="M21" s="31">
        <v>1</v>
      </c>
      <c r="N21" s="32">
        <v>4800</v>
      </c>
      <c r="O21" s="31" t="s">
        <v>74</v>
      </c>
      <c r="P21" s="31" t="s">
        <v>67</v>
      </c>
      <c r="Q21" s="31">
        <v>3</v>
      </c>
      <c r="R21" s="31" t="s">
        <v>75</v>
      </c>
    </row>
    <row r="22" spans="1:18" ht="12.75" customHeight="1" x14ac:dyDescent="0.2">
      <c r="A22" s="1">
        <v>20220131</v>
      </c>
      <c r="B22" s="1">
        <v>3</v>
      </c>
      <c r="C22" s="1" t="s">
        <v>64</v>
      </c>
      <c r="D22" s="1" t="s">
        <v>116</v>
      </c>
      <c r="E22" s="1">
        <v>1</v>
      </c>
      <c r="F22" s="1" t="s">
        <v>65</v>
      </c>
      <c r="G22" s="1">
        <v>202201</v>
      </c>
      <c r="H22" s="1" t="s">
        <v>36</v>
      </c>
      <c r="I22" s="1" t="s">
        <v>66</v>
      </c>
      <c r="J22" s="32">
        <v>6000</v>
      </c>
      <c r="K22" s="1" t="s">
        <v>67</v>
      </c>
      <c r="L22" s="1" t="s">
        <v>67</v>
      </c>
      <c r="M22" s="1">
        <v>1</v>
      </c>
      <c r="N22" s="32">
        <v>30000</v>
      </c>
      <c r="O22" s="1" t="s">
        <v>74</v>
      </c>
      <c r="P22" s="1" t="s">
        <v>67</v>
      </c>
      <c r="Q22" s="1">
        <v>3</v>
      </c>
      <c r="R22" s="1" t="s">
        <v>75</v>
      </c>
    </row>
    <row r="23" spans="1:18" ht="12.75" customHeight="1" x14ac:dyDescent="0.2">
      <c r="A23" s="1">
        <v>20220131</v>
      </c>
      <c r="B23" s="1">
        <v>4</v>
      </c>
      <c r="C23" s="1" t="s">
        <v>64</v>
      </c>
      <c r="D23" s="1" t="s">
        <v>33</v>
      </c>
      <c r="E23" s="1">
        <v>1</v>
      </c>
      <c r="F23" s="1" t="s">
        <v>65</v>
      </c>
      <c r="G23" s="1">
        <v>202201</v>
      </c>
      <c r="H23" s="1" t="s">
        <v>36</v>
      </c>
      <c r="I23" s="1" t="s">
        <v>66</v>
      </c>
      <c r="J23" s="1">
        <v>50</v>
      </c>
      <c r="K23" s="1" t="s">
        <v>67</v>
      </c>
      <c r="L23" s="1" t="s">
        <v>71</v>
      </c>
      <c r="M23" s="1">
        <v>12</v>
      </c>
      <c r="N23" s="1">
        <v>600</v>
      </c>
      <c r="O23" s="1" t="s">
        <v>76</v>
      </c>
      <c r="P23" s="1" t="s">
        <v>67</v>
      </c>
      <c r="Q23" s="1">
        <v>5</v>
      </c>
      <c r="R23" s="1" t="s">
        <v>77</v>
      </c>
    </row>
    <row r="24" spans="1:18" ht="12.75" customHeight="1" x14ac:dyDescent="0.2">
      <c r="A24" s="31">
        <v>20220131</v>
      </c>
      <c r="B24" s="31">
        <v>4</v>
      </c>
      <c r="C24" s="31" t="s">
        <v>64</v>
      </c>
      <c r="D24" s="31" t="s">
        <v>113</v>
      </c>
      <c r="E24" s="31">
        <v>1</v>
      </c>
      <c r="F24" s="31" t="s">
        <v>65</v>
      </c>
      <c r="G24" s="31">
        <v>202201</v>
      </c>
      <c r="H24" s="31" t="s">
        <v>36</v>
      </c>
      <c r="I24" s="31" t="s">
        <v>66</v>
      </c>
      <c r="J24" s="32">
        <v>100</v>
      </c>
      <c r="K24" s="31" t="s">
        <v>67</v>
      </c>
      <c r="L24" s="31" t="s">
        <v>71</v>
      </c>
      <c r="M24" s="31">
        <v>12</v>
      </c>
      <c r="N24" s="32">
        <v>1200</v>
      </c>
      <c r="O24" s="31" t="s">
        <v>76</v>
      </c>
      <c r="P24" s="31" t="s">
        <v>67</v>
      </c>
      <c r="Q24" s="31">
        <v>5</v>
      </c>
      <c r="R24" s="31" t="s">
        <v>77</v>
      </c>
    </row>
    <row r="25" spans="1:18" ht="12.75" customHeight="1" x14ac:dyDescent="0.2">
      <c r="A25" s="1">
        <v>20220131</v>
      </c>
      <c r="B25" s="1">
        <v>4</v>
      </c>
      <c r="C25" s="1" t="s">
        <v>64</v>
      </c>
      <c r="D25" s="1" t="s">
        <v>114</v>
      </c>
      <c r="E25" s="1">
        <v>1</v>
      </c>
      <c r="F25" s="1" t="s">
        <v>65</v>
      </c>
      <c r="G25" s="1">
        <v>202201</v>
      </c>
      <c r="H25" s="1" t="s">
        <v>36</v>
      </c>
      <c r="I25" s="1" t="s">
        <v>66</v>
      </c>
      <c r="J25" s="32">
        <v>150</v>
      </c>
      <c r="K25" s="1" t="s">
        <v>67</v>
      </c>
      <c r="L25" s="1" t="s">
        <v>71</v>
      </c>
      <c r="M25" s="1">
        <v>12</v>
      </c>
      <c r="N25" s="32">
        <v>1800</v>
      </c>
      <c r="O25" s="1" t="s">
        <v>76</v>
      </c>
      <c r="P25" s="1" t="s">
        <v>67</v>
      </c>
      <c r="Q25" s="1">
        <v>5</v>
      </c>
      <c r="R25" s="1" t="s">
        <v>77</v>
      </c>
    </row>
    <row r="26" spans="1:18" ht="12.75" customHeight="1" x14ac:dyDescent="0.2">
      <c r="A26" s="31">
        <v>20220131</v>
      </c>
      <c r="B26" s="31">
        <v>4</v>
      </c>
      <c r="C26" s="31" t="s">
        <v>64</v>
      </c>
      <c r="D26" s="31" t="s">
        <v>115</v>
      </c>
      <c r="E26" s="31">
        <v>1</v>
      </c>
      <c r="F26" s="31" t="s">
        <v>65</v>
      </c>
      <c r="G26" s="31">
        <v>202201</v>
      </c>
      <c r="H26" s="31" t="s">
        <v>36</v>
      </c>
      <c r="I26" s="31" t="s">
        <v>66</v>
      </c>
      <c r="J26" s="32">
        <v>200</v>
      </c>
      <c r="K26" s="31" t="s">
        <v>67</v>
      </c>
      <c r="L26" s="31" t="s">
        <v>71</v>
      </c>
      <c r="M26" s="31">
        <v>12</v>
      </c>
      <c r="N26" s="32">
        <v>9600</v>
      </c>
      <c r="O26" s="31" t="s">
        <v>76</v>
      </c>
      <c r="P26" s="31" t="s">
        <v>67</v>
      </c>
      <c r="Q26" s="31">
        <v>5</v>
      </c>
      <c r="R26" s="31" t="s">
        <v>77</v>
      </c>
    </row>
    <row r="27" spans="1:18" ht="12.75" customHeight="1" x14ac:dyDescent="0.2">
      <c r="A27" s="1">
        <v>20220131</v>
      </c>
      <c r="B27" s="1">
        <v>4</v>
      </c>
      <c r="C27" s="1" t="s">
        <v>64</v>
      </c>
      <c r="D27" s="1" t="s">
        <v>116</v>
      </c>
      <c r="E27" s="1">
        <v>1</v>
      </c>
      <c r="F27" s="1" t="s">
        <v>65</v>
      </c>
      <c r="G27" s="1">
        <v>202201</v>
      </c>
      <c r="H27" s="1" t="s">
        <v>36</v>
      </c>
      <c r="I27" s="1" t="s">
        <v>66</v>
      </c>
      <c r="J27" s="32">
        <v>1000</v>
      </c>
      <c r="K27" s="1" t="s">
        <v>67</v>
      </c>
      <c r="L27" s="1" t="s">
        <v>71</v>
      </c>
      <c r="M27" s="1">
        <v>12</v>
      </c>
      <c r="N27" s="32">
        <v>60000</v>
      </c>
      <c r="O27" s="1" t="s">
        <v>76</v>
      </c>
      <c r="P27" s="1" t="s">
        <v>67</v>
      </c>
      <c r="Q27" s="1">
        <v>5</v>
      </c>
      <c r="R27" s="1" t="s">
        <v>77</v>
      </c>
    </row>
    <row r="28" spans="1:18" ht="12.75" customHeight="1" x14ac:dyDescent="0.2">
      <c r="A28" s="1">
        <v>20220430</v>
      </c>
      <c r="B28" s="1">
        <v>0</v>
      </c>
      <c r="C28" s="1" t="s">
        <v>64</v>
      </c>
      <c r="D28" s="1" t="s">
        <v>33</v>
      </c>
      <c r="E28" s="1">
        <v>3</v>
      </c>
      <c r="G28" s="1">
        <v>202201</v>
      </c>
      <c r="H28" s="1" t="s">
        <v>36</v>
      </c>
      <c r="I28" s="1" t="s">
        <v>66</v>
      </c>
      <c r="K28" s="1" t="s">
        <v>67</v>
      </c>
      <c r="O28" s="1" t="s">
        <v>68</v>
      </c>
      <c r="Q28" s="1">
        <v>0</v>
      </c>
      <c r="R28" s="1" t="s">
        <v>68</v>
      </c>
    </row>
    <row r="29" spans="1:18" ht="12.75" customHeight="1" x14ac:dyDescent="0.2">
      <c r="A29" s="31">
        <v>20220430</v>
      </c>
      <c r="B29" s="31">
        <v>0</v>
      </c>
      <c r="C29" s="31" t="s">
        <v>64</v>
      </c>
      <c r="D29" s="31" t="s">
        <v>113</v>
      </c>
      <c r="E29" s="31">
        <v>3</v>
      </c>
      <c r="F29" s="31"/>
      <c r="G29" s="31">
        <v>202201</v>
      </c>
      <c r="H29" s="31" t="s">
        <v>36</v>
      </c>
      <c r="I29" s="31" t="s">
        <v>66</v>
      </c>
      <c r="J29" s="31"/>
      <c r="K29" s="31" t="s">
        <v>67</v>
      </c>
      <c r="L29" s="31"/>
      <c r="M29" s="31"/>
      <c r="N29" s="31"/>
      <c r="O29" s="31" t="s">
        <v>68</v>
      </c>
      <c r="P29" s="31"/>
      <c r="Q29" s="31">
        <v>0</v>
      </c>
      <c r="R29" s="31" t="s">
        <v>68</v>
      </c>
    </row>
    <row r="30" spans="1:18" ht="12.75" customHeight="1" x14ac:dyDescent="0.2">
      <c r="A30" s="1">
        <v>20220430</v>
      </c>
      <c r="B30" s="1">
        <v>0</v>
      </c>
      <c r="C30" s="1" t="s">
        <v>64</v>
      </c>
      <c r="D30" s="1" t="s">
        <v>114</v>
      </c>
      <c r="E30" s="1">
        <v>3</v>
      </c>
      <c r="G30" s="1">
        <v>202201</v>
      </c>
      <c r="H30" s="1" t="s">
        <v>36</v>
      </c>
      <c r="I30" s="1" t="s">
        <v>66</v>
      </c>
      <c r="K30" s="1" t="s">
        <v>67</v>
      </c>
      <c r="O30" s="1" t="s">
        <v>68</v>
      </c>
      <c r="Q30" s="1">
        <v>0</v>
      </c>
      <c r="R30" s="1" t="s">
        <v>68</v>
      </c>
    </row>
    <row r="31" spans="1:18" ht="12.75" customHeight="1" x14ac:dyDescent="0.2">
      <c r="A31" s="31">
        <v>20220430</v>
      </c>
      <c r="B31" s="31">
        <v>0</v>
      </c>
      <c r="C31" s="31" t="s">
        <v>64</v>
      </c>
      <c r="D31" s="31" t="s">
        <v>115</v>
      </c>
      <c r="E31" s="31">
        <v>3</v>
      </c>
      <c r="F31" s="31"/>
      <c r="G31" s="31">
        <v>202201</v>
      </c>
      <c r="H31" s="31" t="s">
        <v>36</v>
      </c>
      <c r="I31" s="31" t="s">
        <v>66</v>
      </c>
      <c r="J31" s="31"/>
      <c r="K31" s="31" t="s">
        <v>67</v>
      </c>
      <c r="L31" s="31"/>
      <c r="M31" s="31"/>
      <c r="N31" s="31"/>
      <c r="O31" s="31" t="s">
        <v>68</v>
      </c>
      <c r="P31" s="31"/>
      <c r="Q31" s="31">
        <v>0</v>
      </c>
      <c r="R31" s="31" t="s">
        <v>68</v>
      </c>
    </row>
    <row r="32" spans="1:18" ht="12.75" customHeight="1" x14ac:dyDescent="0.2">
      <c r="A32" s="1">
        <v>20220430</v>
      </c>
      <c r="B32" s="1">
        <v>0</v>
      </c>
      <c r="C32" s="1" t="s">
        <v>64</v>
      </c>
      <c r="D32" s="1" t="s">
        <v>116</v>
      </c>
      <c r="E32" s="1">
        <v>3</v>
      </c>
      <c r="G32" s="1">
        <v>202201</v>
      </c>
      <c r="H32" s="1" t="s">
        <v>36</v>
      </c>
      <c r="I32" s="1" t="s">
        <v>66</v>
      </c>
      <c r="K32" s="1" t="s">
        <v>67</v>
      </c>
      <c r="O32" s="1" t="s">
        <v>68</v>
      </c>
      <c r="Q32" s="1">
        <v>0</v>
      </c>
      <c r="R32" s="1" t="s">
        <v>68</v>
      </c>
    </row>
    <row r="33" spans="1:18" ht="12.75" customHeight="1" x14ac:dyDescent="0.2">
      <c r="A33" s="1">
        <v>20220430</v>
      </c>
      <c r="B33" s="1">
        <v>1</v>
      </c>
      <c r="C33" s="1" t="s">
        <v>64</v>
      </c>
      <c r="D33" s="1" t="s">
        <v>33</v>
      </c>
      <c r="E33" s="1">
        <v>3</v>
      </c>
      <c r="G33" s="1">
        <v>202201</v>
      </c>
      <c r="H33" s="1" t="s">
        <v>36</v>
      </c>
      <c r="I33" s="1" t="s">
        <v>66</v>
      </c>
      <c r="J33" s="1">
        <v>-200</v>
      </c>
      <c r="K33" s="1" t="s">
        <v>67</v>
      </c>
      <c r="L33" s="1" t="s">
        <v>67</v>
      </c>
      <c r="M33" s="1">
        <v>1</v>
      </c>
      <c r="N33" s="1">
        <v>-200</v>
      </c>
      <c r="O33" s="1" t="s">
        <v>69</v>
      </c>
      <c r="P33" s="1" t="s">
        <v>67</v>
      </c>
      <c r="Q33" s="1">
        <v>1</v>
      </c>
      <c r="R33" s="1" t="s">
        <v>70</v>
      </c>
    </row>
    <row r="34" spans="1:18" ht="12.75" customHeight="1" x14ac:dyDescent="0.2">
      <c r="A34" s="31">
        <v>20220430</v>
      </c>
      <c r="B34" s="31">
        <v>1</v>
      </c>
      <c r="C34" s="31" t="s">
        <v>64</v>
      </c>
      <c r="D34" s="31" t="s">
        <v>113</v>
      </c>
      <c r="E34" s="31">
        <v>3</v>
      </c>
      <c r="F34" s="31"/>
      <c r="G34" s="31">
        <v>202201</v>
      </c>
      <c r="H34" s="31" t="s">
        <v>36</v>
      </c>
      <c r="I34" s="31" t="s">
        <v>66</v>
      </c>
      <c r="J34" s="32">
        <v>-400</v>
      </c>
      <c r="K34" s="31" t="s">
        <v>67</v>
      </c>
      <c r="L34" s="31" t="s">
        <v>67</v>
      </c>
      <c r="M34" s="31">
        <v>1</v>
      </c>
      <c r="N34" s="32">
        <v>-400</v>
      </c>
      <c r="O34" s="31" t="s">
        <v>69</v>
      </c>
      <c r="P34" s="31" t="s">
        <v>67</v>
      </c>
      <c r="Q34" s="31">
        <v>1</v>
      </c>
      <c r="R34" s="31" t="s">
        <v>70</v>
      </c>
    </row>
    <row r="35" spans="1:18" ht="12.75" customHeight="1" x14ac:dyDescent="0.2">
      <c r="A35" s="1">
        <v>20220430</v>
      </c>
      <c r="B35" s="1">
        <v>1</v>
      </c>
      <c r="C35" s="1" t="s">
        <v>64</v>
      </c>
      <c r="D35" s="1" t="s">
        <v>114</v>
      </c>
      <c r="E35" s="1">
        <v>3</v>
      </c>
      <c r="G35" s="1">
        <v>202201</v>
      </c>
      <c r="H35" s="1" t="s">
        <v>36</v>
      </c>
      <c r="I35" s="1" t="s">
        <v>66</v>
      </c>
      <c r="J35" s="32">
        <v>-600</v>
      </c>
      <c r="K35" s="1" t="s">
        <v>67</v>
      </c>
      <c r="L35" s="1" t="s">
        <v>67</v>
      </c>
      <c r="M35" s="1">
        <v>1</v>
      </c>
      <c r="N35" s="32">
        <v>-600</v>
      </c>
      <c r="O35" s="1" t="s">
        <v>69</v>
      </c>
      <c r="P35" s="1" t="s">
        <v>67</v>
      </c>
      <c r="Q35" s="1">
        <v>1</v>
      </c>
      <c r="R35" s="1" t="s">
        <v>70</v>
      </c>
    </row>
    <row r="36" spans="1:18" ht="12.75" customHeight="1" x14ac:dyDescent="0.2">
      <c r="A36" s="31">
        <v>20220430</v>
      </c>
      <c r="B36" s="31">
        <v>1</v>
      </c>
      <c r="C36" s="31" t="s">
        <v>64</v>
      </c>
      <c r="D36" s="31" t="s">
        <v>115</v>
      </c>
      <c r="E36" s="31">
        <v>3</v>
      </c>
      <c r="F36" s="31"/>
      <c r="G36" s="31">
        <v>202201</v>
      </c>
      <c r="H36" s="31" t="s">
        <v>36</v>
      </c>
      <c r="I36" s="31" t="s">
        <v>66</v>
      </c>
      <c r="J36" s="32">
        <v>-800</v>
      </c>
      <c r="K36" s="31" t="s">
        <v>67</v>
      </c>
      <c r="L36" s="31" t="s">
        <v>67</v>
      </c>
      <c r="M36" s="31">
        <v>1</v>
      </c>
      <c r="N36" s="32">
        <v>-3200</v>
      </c>
      <c r="O36" s="31" t="s">
        <v>69</v>
      </c>
      <c r="P36" s="31" t="s">
        <v>67</v>
      </c>
      <c r="Q36" s="31">
        <v>1</v>
      </c>
      <c r="R36" s="31" t="s">
        <v>70</v>
      </c>
    </row>
    <row r="37" spans="1:18" ht="12.75" customHeight="1" x14ac:dyDescent="0.2">
      <c r="A37" s="1">
        <v>20220430</v>
      </c>
      <c r="B37" s="1">
        <v>1</v>
      </c>
      <c r="C37" s="1" t="s">
        <v>64</v>
      </c>
      <c r="D37" s="1" t="s">
        <v>116</v>
      </c>
      <c r="E37" s="1">
        <v>3</v>
      </c>
      <c r="G37" s="1">
        <v>202201</v>
      </c>
      <c r="H37" s="1" t="s">
        <v>36</v>
      </c>
      <c r="I37" s="1" t="s">
        <v>66</v>
      </c>
      <c r="J37" s="32">
        <v>-4000</v>
      </c>
      <c r="K37" s="1" t="s">
        <v>67</v>
      </c>
      <c r="L37" s="1" t="s">
        <v>67</v>
      </c>
      <c r="M37" s="1">
        <v>1</v>
      </c>
      <c r="N37" s="32">
        <v>-20000</v>
      </c>
      <c r="O37" s="1" t="s">
        <v>69</v>
      </c>
      <c r="P37" s="1" t="s">
        <v>67</v>
      </c>
      <c r="Q37" s="1">
        <v>1</v>
      </c>
      <c r="R37" s="1" t="s">
        <v>70</v>
      </c>
    </row>
    <row r="38" spans="1:18" ht="12.75" customHeight="1" x14ac:dyDescent="0.2">
      <c r="A38" s="1">
        <v>20220430</v>
      </c>
      <c r="B38" s="1">
        <v>2</v>
      </c>
      <c r="C38" s="1" t="s">
        <v>64</v>
      </c>
      <c r="D38" s="1" t="s">
        <v>33</v>
      </c>
      <c r="E38" s="1">
        <v>3</v>
      </c>
      <c r="G38" s="1">
        <v>202201</v>
      </c>
      <c r="H38" s="1" t="s">
        <v>36</v>
      </c>
      <c r="I38" s="1" t="s">
        <v>66</v>
      </c>
      <c r="J38" s="1">
        <v>100</v>
      </c>
      <c r="K38" s="1" t="s">
        <v>67</v>
      </c>
      <c r="L38" s="1" t="s">
        <v>71</v>
      </c>
      <c r="M38" s="1">
        <v>12</v>
      </c>
      <c r="N38" s="1">
        <v>1200</v>
      </c>
      <c r="O38" s="1" t="s">
        <v>72</v>
      </c>
      <c r="P38" s="1" t="s">
        <v>67</v>
      </c>
      <c r="Q38" s="1">
        <v>2</v>
      </c>
      <c r="R38" s="1" t="s">
        <v>73</v>
      </c>
    </row>
    <row r="39" spans="1:18" ht="12.75" customHeight="1" x14ac:dyDescent="0.2">
      <c r="A39" s="31">
        <v>20220430</v>
      </c>
      <c r="B39" s="31">
        <v>2</v>
      </c>
      <c r="C39" s="31" t="s">
        <v>64</v>
      </c>
      <c r="D39" s="31" t="s">
        <v>113</v>
      </c>
      <c r="E39" s="31">
        <v>3</v>
      </c>
      <c r="F39" s="31"/>
      <c r="G39" s="31">
        <v>202201</v>
      </c>
      <c r="H39" s="31" t="s">
        <v>36</v>
      </c>
      <c r="I39" s="31" t="s">
        <v>66</v>
      </c>
      <c r="J39" s="32">
        <v>200</v>
      </c>
      <c r="K39" s="31" t="s">
        <v>67</v>
      </c>
      <c r="L39" s="31" t="s">
        <v>71</v>
      </c>
      <c r="M39" s="31">
        <v>12</v>
      </c>
      <c r="N39" s="32">
        <v>2400</v>
      </c>
      <c r="O39" s="31" t="s">
        <v>72</v>
      </c>
      <c r="P39" s="31" t="s">
        <v>67</v>
      </c>
      <c r="Q39" s="31">
        <v>2</v>
      </c>
      <c r="R39" s="31" t="s">
        <v>73</v>
      </c>
    </row>
    <row r="40" spans="1:18" ht="12.75" customHeight="1" x14ac:dyDescent="0.2">
      <c r="A40" s="1">
        <v>20220430</v>
      </c>
      <c r="B40" s="1">
        <v>2</v>
      </c>
      <c r="C40" s="1" t="s">
        <v>64</v>
      </c>
      <c r="D40" s="1" t="s">
        <v>114</v>
      </c>
      <c r="E40" s="1">
        <v>3</v>
      </c>
      <c r="G40" s="1">
        <v>202201</v>
      </c>
      <c r="H40" s="1" t="s">
        <v>36</v>
      </c>
      <c r="I40" s="1" t="s">
        <v>66</v>
      </c>
      <c r="J40" s="32">
        <v>300</v>
      </c>
      <c r="K40" s="1" t="s">
        <v>67</v>
      </c>
      <c r="L40" s="1" t="s">
        <v>71</v>
      </c>
      <c r="M40" s="1">
        <v>12</v>
      </c>
      <c r="N40" s="32">
        <v>3600</v>
      </c>
      <c r="O40" s="1" t="s">
        <v>72</v>
      </c>
      <c r="P40" s="1" t="s">
        <v>67</v>
      </c>
      <c r="Q40" s="1">
        <v>2</v>
      </c>
      <c r="R40" s="1" t="s">
        <v>73</v>
      </c>
    </row>
    <row r="41" spans="1:18" ht="12.75" customHeight="1" x14ac:dyDescent="0.2">
      <c r="A41" s="31">
        <v>20220430</v>
      </c>
      <c r="B41" s="31">
        <v>2</v>
      </c>
      <c r="C41" s="31" t="s">
        <v>64</v>
      </c>
      <c r="D41" s="31" t="s">
        <v>115</v>
      </c>
      <c r="E41" s="31">
        <v>3</v>
      </c>
      <c r="F41" s="31"/>
      <c r="G41" s="31">
        <v>202201</v>
      </c>
      <c r="H41" s="31" t="s">
        <v>36</v>
      </c>
      <c r="I41" s="31" t="s">
        <v>66</v>
      </c>
      <c r="J41" s="32">
        <v>400</v>
      </c>
      <c r="K41" s="31" t="s">
        <v>67</v>
      </c>
      <c r="L41" s="31" t="s">
        <v>71</v>
      </c>
      <c r="M41" s="31">
        <v>12</v>
      </c>
      <c r="N41" s="32">
        <v>19200</v>
      </c>
      <c r="O41" s="31" t="s">
        <v>72</v>
      </c>
      <c r="P41" s="31" t="s">
        <v>67</v>
      </c>
      <c r="Q41" s="31">
        <v>2</v>
      </c>
      <c r="R41" s="31" t="s">
        <v>73</v>
      </c>
    </row>
    <row r="42" spans="1:18" ht="12.75" customHeight="1" x14ac:dyDescent="0.2">
      <c r="A42" s="1">
        <v>20220430</v>
      </c>
      <c r="B42" s="1">
        <v>2</v>
      </c>
      <c r="C42" s="1" t="s">
        <v>64</v>
      </c>
      <c r="D42" s="1" t="s">
        <v>116</v>
      </c>
      <c r="E42" s="1">
        <v>3</v>
      </c>
      <c r="G42" s="1">
        <v>202201</v>
      </c>
      <c r="H42" s="1" t="s">
        <v>36</v>
      </c>
      <c r="I42" s="1" t="s">
        <v>66</v>
      </c>
      <c r="J42" s="32">
        <v>2000</v>
      </c>
      <c r="K42" s="1" t="s">
        <v>67</v>
      </c>
      <c r="L42" s="1" t="s">
        <v>71</v>
      </c>
      <c r="M42" s="1">
        <v>12</v>
      </c>
      <c r="N42" s="32">
        <v>120000</v>
      </c>
      <c r="O42" s="1" t="s">
        <v>72</v>
      </c>
      <c r="P42" s="1" t="s">
        <v>67</v>
      </c>
      <c r="Q42" s="1">
        <v>2</v>
      </c>
      <c r="R42" s="1" t="s">
        <v>73</v>
      </c>
    </row>
    <row r="43" spans="1:18" ht="12.75" customHeight="1" x14ac:dyDescent="0.2">
      <c r="A43" s="1">
        <v>20220430</v>
      </c>
      <c r="B43" s="1">
        <v>3</v>
      </c>
      <c r="C43" s="1" t="s">
        <v>64</v>
      </c>
      <c r="D43" s="1" t="s">
        <v>33</v>
      </c>
      <c r="E43" s="1">
        <v>3</v>
      </c>
      <c r="G43" s="1">
        <v>202201</v>
      </c>
      <c r="H43" s="1" t="s">
        <v>36</v>
      </c>
      <c r="I43" s="1" t="s">
        <v>66</v>
      </c>
      <c r="J43" s="1">
        <v>300</v>
      </c>
      <c r="K43" s="1" t="s">
        <v>67</v>
      </c>
      <c r="L43" s="1" t="s">
        <v>67</v>
      </c>
      <c r="M43" s="1">
        <v>1</v>
      </c>
      <c r="N43" s="1">
        <v>300</v>
      </c>
      <c r="O43" s="1" t="s">
        <v>74</v>
      </c>
      <c r="P43" s="1" t="s">
        <v>67</v>
      </c>
      <c r="Q43" s="1">
        <v>3</v>
      </c>
      <c r="R43" s="1" t="s">
        <v>75</v>
      </c>
    </row>
    <row r="44" spans="1:18" ht="12.75" customHeight="1" x14ac:dyDescent="0.2">
      <c r="A44" s="31">
        <v>20220430</v>
      </c>
      <c r="B44" s="31">
        <v>3</v>
      </c>
      <c r="C44" s="31" t="s">
        <v>64</v>
      </c>
      <c r="D44" s="31" t="s">
        <v>113</v>
      </c>
      <c r="E44" s="31">
        <v>3</v>
      </c>
      <c r="F44" s="31"/>
      <c r="G44" s="31">
        <v>202201</v>
      </c>
      <c r="H44" s="31" t="s">
        <v>36</v>
      </c>
      <c r="I44" s="31" t="s">
        <v>66</v>
      </c>
      <c r="J44" s="32">
        <v>600</v>
      </c>
      <c r="K44" s="31" t="s">
        <v>67</v>
      </c>
      <c r="L44" s="31" t="s">
        <v>67</v>
      </c>
      <c r="M44" s="31">
        <v>1</v>
      </c>
      <c r="N44" s="32">
        <v>600</v>
      </c>
      <c r="O44" s="31" t="s">
        <v>74</v>
      </c>
      <c r="P44" s="31" t="s">
        <v>67</v>
      </c>
      <c r="Q44" s="31">
        <v>3</v>
      </c>
      <c r="R44" s="31" t="s">
        <v>75</v>
      </c>
    </row>
    <row r="45" spans="1:18" ht="12.75" customHeight="1" x14ac:dyDescent="0.2">
      <c r="A45" s="1">
        <v>20220430</v>
      </c>
      <c r="B45" s="1">
        <v>3</v>
      </c>
      <c r="C45" s="1" t="s">
        <v>64</v>
      </c>
      <c r="D45" s="1" t="s">
        <v>114</v>
      </c>
      <c r="E45" s="1">
        <v>3</v>
      </c>
      <c r="G45" s="1">
        <v>202201</v>
      </c>
      <c r="H45" s="1" t="s">
        <v>36</v>
      </c>
      <c r="I45" s="1" t="s">
        <v>66</v>
      </c>
      <c r="J45" s="32">
        <v>900</v>
      </c>
      <c r="K45" s="1" t="s">
        <v>67</v>
      </c>
      <c r="L45" s="1" t="s">
        <v>67</v>
      </c>
      <c r="M45" s="1">
        <v>1</v>
      </c>
      <c r="N45" s="32">
        <v>900</v>
      </c>
      <c r="O45" s="1" t="s">
        <v>74</v>
      </c>
      <c r="P45" s="1" t="s">
        <v>67</v>
      </c>
      <c r="Q45" s="1">
        <v>3</v>
      </c>
      <c r="R45" s="1" t="s">
        <v>75</v>
      </c>
    </row>
    <row r="46" spans="1:18" ht="12.75" customHeight="1" x14ac:dyDescent="0.2">
      <c r="A46" s="31">
        <v>20220430</v>
      </c>
      <c r="B46" s="31">
        <v>3</v>
      </c>
      <c r="C46" s="31" t="s">
        <v>64</v>
      </c>
      <c r="D46" s="31" t="s">
        <v>115</v>
      </c>
      <c r="E46" s="31">
        <v>3</v>
      </c>
      <c r="F46" s="31"/>
      <c r="G46" s="31">
        <v>202201</v>
      </c>
      <c r="H46" s="31" t="s">
        <v>36</v>
      </c>
      <c r="I46" s="31" t="s">
        <v>66</v>
      </c>
      <c r="J46" s="32">
        <v>1200</v>
      </c>
      <c r="K46" s="31" t="s">
        <v>67</v>
      </c>
      <c r="L46" s="31" t="s">
        <v>67</v>
      </c>
      <c r="M46" s="31">
        <v>1</v>
      </c>
      <c r="N46" s="32">
        <v>4800</v>
      </c>
      <c r="O46" s="31" t="s">
        <v>74</v>
      </c>
      <c r="P46" s="31" t="s">
        <v>67</v>
      </c>
      <c r="Q46" s="31">
        <v>3</v>
      </c>
      <c r="R46" s="31" t="s">
        <v>75</v>
      </c>
    </row>
    <row r="47" spans="1:18" ht="12.75" customHeight="1" x14ac:dyDescent="0.2">
      <c r="A47" s="1">
        <v>20220430</v>
      </c>
      <c r="B47" s="1">
        <v>3</v>
      </c>
      <c r="C47" s="1" t="s">
        <v>64</v>
      </c>
      <c r="D47" s="1" t="s">
        <v>116</v>
      </c>
      <c r="E47" s="1">
        <v>3</v>
      </c>
      <c r="G47" s="1">
        <v>202201</v>
      </c>
      <c r="H47" s="1" t="s">
        <v>36</v>
      </c>
      <c r="I47" s="1" t="s">
        <v>66</v>
      </c>
      <c r="J47" s="32">
        <v>6000</v>
      </c>
      <c r="K47" s="1" t="s">
        <v>67</v>
      </c>
      <c r="L47" s="1" t="s">
        <v>67</v>
      </c>
      <c r="M47" s="1">
        <v>1</v>
      </c>
      <c r="N47" s="32">
        <v>30000</v>
      </c>
      <c r="O47" s="1" t="s">
        <v>74</v>
      </c>
      <c r="P47" s="1" t="s">
        <v>67</v>
      </c>
      <c r="Q47" s="1">
        <v>3</v>
      </c>
      <c r="R47" s="1" t="s">
        <v>75</v>
      </c>
    </row>
    <row r="48" spans="1:18" ht="12.75" customHeight="1" x14ac:dyDescent="0.2">
      <c r="A48" s="1">
        <v>20220430</v>
      </c>
      <c r="B48" s="1">
        <v>4</v>
      </c>
      <c r="C48" s="1" t="s">
        <v>64</v>
      </c>
      <c r="D48" s="1" t="s">
        <v>33</v>
      </c>
      <c r="E48" s="1">
        <v>3</v>
      </c>
      <c r="G48" s="1">
        <v>202201</v>
      </c>
      <c r="H48" s="1" t="s">
        <v>36</v>
      </c>
      <c r="I48" s="1" t="s">
        <v>66</v>
      </c>
      <c r="J48" s="1">
        <v>50</v>
      </c>
      <c r="K48" s="1" t="s">
        <v>67</v>
      </c>
      <c r="L48" s="1" t="s">
        <v>71</v>
      </c>
      <c r="M48" s="1">
        <v>24</v>
      </c>
      <c r="N48" s="1">
        <v>1200</v>
      </c>
      <c r="O48" s="1" t="s">
        <v>76</v>
      </c>
      <c r="P48" s="1" t="s">
        <v>67</v>
      </c>
      <c r="Q48" s="1">
        <v>5</v>
      </c>
      <c r="R48" s="1" t="s">
        <v>77</v>
      </c>
    </row>
    <row r="49" spans="1:18" ht="12.75" customHeight="1" x14ac:dyDescent="0.2">
      <c r="A49" s="31">
        <v>20220430</v>
      </c>
      <c r="B49" s="31">
        <v>4</v>
      </c>
      <c r="C49" s="31" t="s">
        <v>64</v>
      </c>
      <c r="D49" s="31" t="s">
        <v>113</v>
      </c>
      <c r="E49" s="31">
        <v>3</v>
      </c>
      <c r="F49" s="31"/>
      <c r="G49" s="31">
        <v>202201</v>
      </c>
      <c r="H49" s="31" t="s">
        <v>36</v>
      </c>
      <c r="I49" s="31" t="s">
        <v>66</v>
      </c>
      <c r="J49" s="32">
        <v>100</v>
      </c>
      <c r="K49" s="31" t="s">
        <v>67</v>
      </c>
      <c r="L49" s="31" t="s">
        <v>71</v>
      </c>
      <c r="M49" s="31">
        <v>24</v>
      </c>
      <c r="N49" s="32">
        <v>2400</v>
      </c>
      <c r="O49" s="31" t="s">
        <v>76</v>
      </c>
      <c r="P49" s="31" t="s">
        <v>67</v>
      </c>
      <c r="Q49" s="31">
        <v>5</v>
      </c>
      <c r="R49" s="31" t="s">
        <v>77</v>
      </c>
    </row>
    <row r="50" spans="1:18" ht="12.75" customHeight="1" x14ac:dyDescent="0.2">
      <c r="A50" s="1">
        <v>20220430</v>
      </c>
      <c r="B50" s="1">
        <v>4</v>
      </c>
      <c r="C50" s="1" t="s">
        <v>64</v>
      </c>
      <c r="D50" s="1" t="s">
        <v>114</v>
      </c>
      <c r="E50" s="1">
        <v>3</v>
      </c>
      <c r="G50" s="1">
        <v>202201</v>
      </c>
      <c r="H50" s="1" t="s">
        <v>36</v>
      </c>
      <c r="I50" s="1" t="s">
        <v>66</v>
      </c>
      <c r="J50" s="32">
        <v>150</v>
      </c>
      <c r="K50" s="1" t="s">
        <v>67</v>
      </c>
      <c r="L50" s="1" t="s">
        <v>71</v>
      </c>
      <c r="M50" s="1">
        <v>24</v>
      </c>
      <c r="N50" s="32">
        <v>3600</v>
      </c>
      <c r="O50" s="1" t="s">
        <v>76</v>
      </c>
      <c r="P50" s="1" t="s">
        <v>67</v>
      </c>
      <c r="Q50" s="1">
        <v>5</v>
      </c>
      <c r="R50" s="1" t="s">
        <v>77</v>
      </c>
    </row>
    <row r="51" spans="1:18" ht="12.75" customHeight="1" x14ac:dyDescent="0.2">
      <c r="A51" s="31">
        <v>20220430</v>
      </c>
      <c r="B51" s="31">
        <v>4</v>
      </c>
      <c r="C51" s="31" t="s">
        <v>64</v>
      </c>
      <c r="D51" s="31" t="s">
        <v>115</v>
      </c>
      <c r="E51" s="31">
        <v>3</v>
      </c>
      <c r="F51" s="31"/>
      <c r="G51" s="31">
        <v>202201</v>
      </c>
      <c r="H51" s="31" t="s">
        <v>36</v>
      </c>
      <c r="I51" s="31" t="s">
        <v>66</v>
      </c>
      <c r="J51" s="32">
        <v>200</v>
      </c>
      <c r="K51" s="31" t="s">
        <v>67</v>
      </c>
      <c r="L51" s="31" t="s">
        <v>71</v>
      </c>
      <c r="M51" s="31">
        <v>24</v>
      </c>
      <c r="N51" s="32">
        <v>4800</v>
      </c>
      <c r="O51" s="31" t="s">
        <v>76</v>
      </c>
      <c r="P51" s="31" t="s">
        <v>67</v>
      </c>
      <c r="Q51" s="31">
        <v>5</v>
      </c>
      <c r="R51" s="31" t="s">
        <v>77</v>
      </c>
    </row>
    <row r="52" spans="1:18" ht="12.75" customHeight="1" x14ac:dyDescent="0.2">
      <c r="A52" s="1">
        <v>20220430</v>
      </c>
      <c r="B52" s="1">
        <v>4</v>
      </c>
      <c r="C52" s="1" t="s">
        <v>64</v>
      </c>
      <c r="D52" s="1" t="s">
        <v>116</v>
      </c>
      <c r="E52" s="1">
        <v>3</v>
      </c>
      <c r="G52" s="1">
        <v>202201</v>
      </c>
      <c r="H52" s="1" t="s">
        <v>36</v>
      </c>
      <c r="I52" s="1" t="s">
        <v>66</v>
      </c>
      <c r="J52" s="32">
        <v>1000</v>
      </c>
      <c r="K52" s="1" t="s">
        <v>67</v>
      </c>
      <c r="L52" s="1" t="s">
        <v>71</v>
      </c>
      <c r="M52" s="1">
        <v>24</v>
      </c>
      <c r="N52" s="32">
        <v>24000</v>
      </c>
      <c r="O52" s="1" t="s">
        <v>76</v>
      </c>
      <c r="P52" s="1" t="s">
        <v>67</v>
      </c>
      <c r="Q52" s="1">
        <v>5</v>
      </c>
      <c r="R52" s="1" t="s">
        <v>77</v>
      </c>
    </row>
  </sheetData>
  <sortState xmlns:xlrd2="http://schemas.microsoft.com/office/spreadsheetml/2017/richdata2" ref="A3:R52">
    <sortCondition ref="A3:A52"/>
    <sortCondition ref="B3:B52"/>
    <sortCondition ref="D3:D52"/>
  </sortState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R109"/>
  <sheetViews>
    <sheetView topLeftCell="A76" zoomScaleNormal="100" workbookViewId="0">
      <selection activeCell="H17" sqref="H17"/>
    </sheetView>
  </sheetViews>
  <sheetFormatPr defaultColWidth="8.7109375" defaultRowHeight="12.75" customHeight="1" x14ac:dyDescent="0.2"/>
  <cols>
    <col min="1" max="1" width="10.85546875" style="1" customWidth="1"/>
    <col min="2" max="2" width="24.85546875" style="1" customWidth="1"/>
    <col min="3" max="3" width="30.5703125" style="1" customWidth="1"/>
    <col min="4" max="4" width="32.140625" style="1" customWidth="1"/>
    <col min="5" max="5" width="8.5703125" style="1" customWidth="1"/>
    <col min="6" max="6" width="10.85546875" style="1" customWidth="1"/>
    <col min="7" max="8" width="9.7109375" style="1" customWidth="1"/>
    <col min="13" max="13" width="16.5703125" style="1" customWidth="1"/>
    <col min="14" max="14" width="10.85546875" style="1" customWidth="1"/>
    <col min="15" max="15" width="11.7109375" style="1" customWidth="1"/>
    <col min="16" max="16" width="15.42578125" style="1" customWidth="1"/>
    <col min="17" max="17" width="12.5703125" style="1" customWidth="1"/>
    <col min="18" max="18" width="8.140625" style="1" customWidth="1"/>
  </cols>
  <sheetData>
    <row r="1" spans="1:18" ht="21" x14ac:dyDescent="0.35">
      <c r="A1" s="25" t="s">
        <v>78</v>
      </c>
      <c r="B1" s="25"/>
      <c r="C1" s="25"/>
      <c r="D1" s="25"/>
      <c r="E1" s="25"/>
    </row>
    <row r="2" spans="1:18" ht="15" x14ac:dyDescent="0.25">
      <c r="A2" s="11" t="s">
        <v>79</v>
      </c>
      <c r="B2" s="11" t="s">
        <v>80</v>
      </c>
      <c r="C2" s="11" t="s">
        <v>81</v>
      </c>
      <c r="D2" s="11" t="s">
        <v>82</v>
      </c>
      <c r="E2" s="11" t="s">
        <v>83</v>
      </c>
      <c r="L2" s="28" t="s">
        <v>84</v>
      </c>
      <c r="M2" s="12" t="s">
        <v>85</v>
      </c>
      <c r="N2" s="12" t="s">
        <v>86</v>
      </c>
      <c r="O2" s="12" t="s">
        <v>87</v>
      </c>
      <c r="P2" s="12" t="s">
        <v>88</v>
      </c>
      <c r="Q2" s="12" t="s">
        <v>89</v>
      </c>
      <c r="R2" s="12" t="s">
        <v>83</v>
      </c>
    </row>
    <row r="3" spans="1:18" ht="15" x14ac:dyDescent="0.25">
      <c r="A3" s="7">
        <v>1</v>
      </c>
      <c r="B3" s="7" t="s">
        <v>90</v>
      </c>
      <c r="C3" s="7" t="s">
        <v>91</v>
      </c>
      <c r="D3" s="7" t="s">
        <v>92</v>
      </c>
      <c r="E3" s="7">
        <v>0</v>
      </c>
      <c r="L3" s="28"/>
      <c r="M3" s="7" t="s">
        <v>93</v>
      </c>
      <c r="N3" s="13">
        <v>0</v>
      </c>
      <c r="O3" s="14">
        <v>44620</v>
      </c>
      <c r="P3" s="14">
        <v>44620</v>
      </c>
      <c r="Q3" s="15" t="s">
        <v>33</v>
      </c>
      <c r="R3" s="15">
        <v>1900</v>
      </c>
    </row>
    <row r="4" spans="1:18" ht="15" x14ac:dyDescent="0.25">
      <c r="A4" s="7">
        <v>2</v>
      </c>
      <c r="B4" s="7" t="s">
        <v>94</v>
      </c>
      <c r="C4" s="7" t="s">
        <v>95</v>
      </c>
      <c r="D4" s="7" t="s">
        <v>96</v>
      </c>
      <c r="E4" s="7"/>
      <c r="L4" s="28"/>
      <c r="M4" s="7" t="s">
        <v>93</v>
      </c>
      <c r="N4" s="13">
        <v>0</v>
      </c>
      <c r="O4" s="14">
        <v>44712</v>
      </c>
      <c r="P4" s="14">
        <v>44712</v>
      </c>
      <c r="Q4" s="15" t="s">
        <v>33</v>
      </c>
      <c r="R4" s="15">
        <v>600</v>
      </c>
    </row>
    <row r="5" spans="1:18" x14ac:dyDescent="0.2">
      <c r="A5" s="7">
        <v>3</v>
      </c>
      <c r="B5" s="7" t="s">
        <v>97</v>
      </c>
      <c r="C5" s="7" t="s">
        <v>95</v>
      </c>
      <c r="D5" s="7" t="s">
        <v>92</v>
      </c>
      <c r="E5" s="7"/>
    </row>
    <row r="6" spans="1:18" x14ac:dyDescent="0.2">
      <c r="A6" s="7">
        <v>4</v>
      </c>
      <c r="B6" s="7" t="s">
        <v>98</v>
      </c>
      <c r="C6" s="7" t="s">
        <v>95</v>
      </c>
      <c r="D6" s="7" t="s">
        <v>92</v>
      </c>
      <c r="E6" s="7"/>
    </row>
    <row r="7" spans="1:18" x14ac:dyDescent="0.2">
      <c r="A7" s="7">
        <v>5</v>
      </c>
      <c r="B7" s="7" t="s">
        <v>99</v>
      </c>
      <c r="C7" s="7" t="s">
        <v>95</v>
      </c>
      <c r="D7" s="7" t="s">
        <v>96</v>
      </c>
      <c r="E7" s="7"/>
    </row>
    <row r="8" spans="1:18" x14ac:dyDescent="0.2">
      <c r="A8" s="7">
        <v>0</v>
      </c>
      <c r="B8" s="7" t="s">
        <v>100</v>
      </c>
      <c r="C8" s="7"/>
      <c r="D8" s="7"/>
      <c r="E8" s="7"/>
    </row>
    <row r="11" spans="1:18" ht="21" x14ac:dyDescent="0.35">
      <c r="A11" s="26" t="s">
        <v>101</v>
      </c>
      <c r="B11" s="26"/>
      <c r="C11" s="26"/>
      <c r="D11" s="26"/>
      <c r="E11" s="26"/>
      <c r="F11" s="26"/>
      <c r="G11" s="26"/>
      <c r="H11" s="26"/>
    </row>
    <row r="12" spans="1:18" ht="15" x14ac:dyDescent="0.25">
      <c r="A12" s="11" t="s">
        <v>79</v>
      </c>
      <c r="B12" s="11" t="s">
        <v>80</v>
      </c>
      <c r="C12" s="11" t="s">
        <v>102</v>
      </c>
      <c r="D12" s="11" t="s">
        <v>103</v>
      </c>
      <c r="E12" s="11" t="s">
        <v>104</v>
      </c>
      <c r="F12" s="11" t="s">
        <v>105</v>
      </c>
      <c r="G12" s="11" t="s">
        <v>106</v>
      </c>
      <c r="H12" s="11" t="s">
        <v>107</v>
      </c>
    </row>
    <row r="13" spans="1:18" ht="15" x14ac:dyDescent="0.25">
      <c r="A13" s="7">
        <v>1</v>
      </c>
      <c r="B13" s="7" t="str">
        <f>IFERROR(VLOOKUP(A13,A3:$B$7,2,FALSE()),"")</f>
        <v>Discount</v>
      </c>
      <c r="C13" s="16">
        <v>-200</v>
      </c>
      <c r="D13" s="16">
        <f>IFERROR(IF(VLOOKUP(B13,$B$3:$C$7,2,FALSE())="USE SALES PRICE",C13,VLOOKUP(B13,$B$3:$E$7,4,FALSE())),"")</f>
        <v>0</v>
      </c>
      <c r="E13" s="16">
        <f>IFERROR(D13/$D$18,"")</f>
        <v>0</v>
      </c>
      <c r="F13" s="16">
        <f>IFERROR(E13*$C$18,"")</f>
        <v>0</v>
      </c>
      <c r="G13" s="14">
        <v>44576</v>
      </c>
      <c r="H13" s="14">
        <v>44576</v>
      </c>
    </row>
    <row r="14" spans="1:18" ht="15" x14ac:dyDescent="0.25">
      <c r="A14" s="7">
        <v>2</v>
      </c>
      <c r="B14" s="7" t="str">
        <f>IFERROR(VLOOKUP(A14,A4:$B$7,2,FALSE()),"")</f>
        <v>SaaS Basic Subscription</v>
      </c>
      <c r="C14" s="16">
        <v>1200</v>
      </c>
      <c r="D14" s="16">
        <f>IFERROR(IF(VLOOKUP(B14,$B$3:$C$7,2,FALSE())="USE SALES PRICE",C14,VLOOKUP(B14,$B$3:$E$7,4,FALSE())),"")</f>
        <v>1200</v>
      </c>
      <c r="E14" s="16">
        <f>IFERROR(D14/$D$18,"")</f>
        <v>0.5714285714285714</v>
      </c>
      <c r="F14" s="16">
        <f>IFERROR(E14*$C$18,"")</f>
        <v>1085.7142857142856</v>
      </c>
      <c r="G14" s="14">
        <v>44576</v>
      </c>
      <c r="H14" s="14">
        <v>44941</v>
      </c>
    </row>
    <row r="15" spans="1:18" ht="15" x14ac:dyDescent="0.25">
      <c r="A15" s="7">
        <v>3</v>
      </c>
      <c r="B15" s="7" t="str">
        <f>IFERROR(VLOOKUP(A15,A5:$B$7,2,FALSE()),"")</f>
        <v>SaaS Implementation</v>
      </c>
      <c r="C15" s="16">
        <v>300</v>
      </c>
      <c r="D15" s="16">
        <f>IFERROR(IF(VLOOKUP(B15,$B$3:$C$7,2,FALSE())="USE SALES PRICE",C15,VLOOKUP(B15,$B$3:$E$7,4,FALSE())),"")</f>
        <v>300</v>
      </c>
      <c r="E15" s="16">
        <f>IFERROR(D15/$D$18,"")</f>
        <v>0.14285714285714285</v>
      </c>
      <c r="F15" s="16">
        <f>IFERROR(E15*$C$18,"")</f>
        <v>271.42857142857139</v>
      </c>
      <c r="G15" s="14">
        <v>44576</v>
      </c>
      <c r="H15" s="14">
        <v>44576</v>
      </c>
    </row>
    <row r="16" spans="1:18" ht="15" x14ac:dyDescent="0.25">
      <c r="A16" s="7">
        <v>5</v>
      </c>
      <c r="B16" s="7" t="str">
        <f>IFERROR(VLOOKUP(A16,A6:$B$7,2,FALSE()),"")</f>
        <v>SaaS Premium Subscription</v>
      </c>
      <c r="C16" s="16">
        <v>600</v>
      </c>
      <c r="D16" s="16">
        <f>IFERROR(IF(VLOOKUP(B16,$B$3:$C$7,2,FALSE())="USE SALES PRICE",C16,VLOOKUP(B16,$B$3:$E$7,4,FALSE())),"")</f>
        <v>600</v>
      </c>
      <c r="E16" s="16">
        <f>IFERROR(D16/$D$18,"")</f>
        <v>0.2857142857142857</v>
      </c>
      <c r="F16" s="16">
        <f>IFERROR(E16*$C$18,"")</f>
        <v>542.85714285714278</v>
      </c>
      <c r="G16" s="14">
        <v>44576</v>
      </c>
      <c r="H16" s="14">
        <v>44941</v>
      </c>
    </row>
    <row r="17" spans="1:8" x14ac:dyDescent="0.2">
      <c r="A17" s="7"/>
      <c r="B17" s="7"/>
      <c r="C17" s="16"/>
      <c r="D17" s="16"/>
      <c r="E17" s="16"/>
      <c r="F17" s="16"/>
      <c r="G17" s="7"/>
      <c r="H17" s="7"/>
    </row>
    <row r="18" spans="1:8" ht="15" x14ac:dyDescent="0.25">
      <c r="A18" s="27" t="s">
        <v>108</v>
      </c>
      <c r="B18" s="27"/>
      <c r="C18" s="17">
        <f>SUM(C13:C17)</f>
        <v>1900</v>
      </c>
      <c r="D18" s="17">
        <f>SUM(D13:D17)</f>
        <v>2100</v>
      </c>
      <c r="E18" s="17">
        <f>SUM(E13:E17)</f>
        <v>0.99999999999999989</v>
      </c>
      <c r="F18" s="17">
        <f>SUM(F13:F17)</f>
        <v>1899.9999999999995</v>
      </c>
      <c r="G18" s="7"/>
      <c r="H18" s="7"/>
    </row>
    <row r="20" spans="1:8" x14ac:dyDescent="0.2">
      <c r="B20" s="23" t="s">
        <v>94</v>
      </c>
      <c r="C20" s="23"/>
      <c r="D20" s="23"/>
    </row>
    <row r="21" spans="1:8" x14ac:dyDescent="0.2">
      <c r="B21" s="18" t="s">
        <v>109</v>
      </c>
      <c r="C21" s="18" t="s">
        <v>110</v>
      </c>
      <c r="D21" s="18" t="s">
        <v>111</v>
      </c>
    </row>
    <row r="22" spans="1:8" x14ac:dyDescent="0.2">
      <c r="B22" s="19">
        <v>44592</v>
      </c>
      <c r="C22" s="7">
        <f t="shared" ref="C22:C34" si="0">-ROUND($F$14/$D$35*D22,4)</f>
        <v>-47.593000000000004</v>
      </c>
      <c r="D22" s="7">
        <f>B22-G14</f>
        <v>16</v>
      </c>
    </row>
    <row r="23" spans="1:8" x14ac:dyDescent="0.2">
      <c r="B23" s="19">
        <v>44620</v>
      </c>
      <c r="C23" s="7">
        <f t="shared" si="0"/>
        <v>-83.287700000000001</v>
      </c>
      <c r="D23" s="7">
        <f t="shared" ref="D23:D34" si="1">B23-B22</f>
        <v>28</v>
      </c>
    </row>
    <row r="24" spans="1:8" x14ac:dyDescent="0.2">
      <c r="B24" s="19">
        <v>44651</v>
      </c>
      <c r="C24" s="7">
        <f t="shared" si="0"/>
        <v>-92.211399999999998</v>
      </c>
      <c r="D24" s="7">
        <f t="shared" si="1"/>
        <v>31</v>
      </c>
    </row>
    <row r="25" spans="1:8" x14ac:dyDescent="0.2">
      <c r="B25" s="19">
        <v>44681</v>
      </c>
      <c r="C25" s="7">
        <f t="shared" si="0"/>
        <v>-89.236800000000002</v>
      </c>
      <c r="D25" s="7">
        <f t="shared" si="1"/>
        <v>30</v>
      </c>
    </row>
    <row r="26" spans="1:8" x14ac:dyDescent="0.2">
      <c r="B26" s="19">
        <v>44712</v>
      </c>
      <c r="C26" s="7">
        <f t="shared" si="0"/>
        <v>-92.211399999999998</v>
      </c>
      <c r="D26" s="7">
        <f t="shared" si="1"/>
        <v>31</v>
      </c>
    </row>
    <row r="27" spans="1:8" x14ac:dyDescent="0.2">
      <c r="B27" s="19">
        <v>44742</v>
      </c>
      <c r="C27" s="7">
        <f t="shared" si="0"/>
        <v>-89.236800000000002</v>
      </c>
      <c r="D27" s="7">
        <f t="shared" si="1"/>
        <v>30</v>
      </c>
    </row>
    <row r="28" spans="1:8" x14ac:dyDescent="0.2">
      <c r="B28" s="19">
        <v>44773</v>
      </c>
      <c r="C28" s="7">
        <f t="shared" si="0"/>
        <v>-92.211399999999998</v>
      </c>
      <c r="D28" s="7">
        <f t="shared" si="1"/>
        <v>31</v>
      </c>
    </row>
    <row r="29" spans="1:8" x14ac:dyDescent="0.2">
      <c r="B29" s="19">
        <v>44804</v>
      </c>
      <c r="C29" s="7">
        <f t="shared" si="0"/>
        <v>-92.211399999999998</v>
      </c>
      <c r="D29" s="7">
        <f t="shared" si="1"/>
        <v>31</v>
      </c>
    </row>
    <row r="30" spans="1:8" x14ac:dyDescent="0.2">
      <c r="B30" s="19">
        <v>44834</v>
      </c>
      <c r="C30" s="7">
        <f t="shared" si="0"/>
        <v>-89.236800000000002</v>
      </c>
      <c r="D30" s="7">
        <f t="shared" si="1"/>
        <v>30</v>
      </c>
    </row>
    <row r="31" spans="1:8" x14ac:dyDescent="0.2">
      <c r="B31" s="19">
        <v>44865</v>
      </c>
      <c r="C31" s="7">
        <f t="shared" si="0"/>
        <v>-92.211399999999998</v>
      </c>
      <c r="D31" s="7">
        <f t="shared" si="1"/>
        <v>31</v>
      </c>
    </row>
    <row r="32" spans="1:8" x14ac:dyDescent="0.2">
      <c r="B32" s="19">
        <v>44895</v>
      </c>
      <c r="C32" s="7">
        <f t="shared" si="0"/>
        <v>-89.236800000000002</v>
      </c>
      <c r="D32" s="7">
        <f t="shared" si="1"/>
        <v>30</v>
      </c>
    </row>
    <row r="33" spans="2:4" x14ac:dyDescent="0.2">
      <c r="B33" s="19">
        <v>44926</v>
      </c>
      <c r="C33" s="7">
        <f t="shared" si="0"/>
        <v>-92.211399999999998</v>
      </c>
      <c r="D33" s="7">
        <f t="shared" si="1"/>
        <v>31</v>
      </c>
    </row>
    <row r="34" spans="2:4" x14ac:dyDescent="0.2">
      <c r="B34" s="19">
        <v>44941</v>
      </c>
      <c r="C34" s="7">
        <f t="shared" si="0"/>
        <v>-44.618400000000001</v>
      </c>
      <c r="D34" s="7">
        <f t="shared" si="1"/>
        <v>15</v>
      </c>
    </row>
    <row r="35" spans="2:4" x14ac:dyDescent="0.2">
      <c r="B35" s="7"/>
      <c r="C35" s="7">
        <f>SUM(C22:C34)</f>
        <v>-1085.7147000000002</v>
      </c>
      <c r="D35" s="7">
        <f>SUM(D22:D34)</f>
        <v>365</v>
      </c>
    </row>
    <row r="38" spans="2:4" x14ac:dyDescent="0.2">
      <c r="B38" s="23" t="s">
        <v>99</v>
      </c>
      <c r="C38" s="23"/>
      <c r="D38" s="23"/>
    </row>
    <row r="39" spans="2:4" x14ac:dyDescent="0.2">
      <c r="B39" s="18" t="s">
        <v>109</v>
      </c>
      <c r="C39" s="18" t="s">
        <v>110</v>
      </c>
      <c r="D39" s="18" t="s">
        <v>111</v>
      </c>
    </row>
    <row r="40" spans="2:4" x14ac:dyDescent="0.2">
      <c r="B40" s="19">
        <v>44592</v>
      </c>
      <c r="C40" s="7">
        <f t="shared" ref="C40:C52" si="2">-ROUND($F$16/$D$53*D40,4)</f>
        <v>-23.796500000000002</v>
      </c>
      <c r="D40" s="7">
        <f>B40-G16</f>
        <v>16</v>
      </c>
    </row>
    <row r="41" spans="2:4" x14ac:dyDescent="0.2">
      <c r="B41" s="19">
        <v>44620</v>
      </c>
      <c r="C41" s="7">
        <f t="shared" si="2"/>
        <v>-41.643799999999999</v>
      </c>
      <c r="D41" s="7">
        <f t="shared" ref="D41:D52" si="3">B41-B40</f>
        <v>28</v>
      </c>
    </row>
    <row r="42" spans="2:4" x14ac:dyDescent="0.2">
      <c r="B42" s="19">
        <v>44651</v>
      </c>
      <c r="C42" s="7">
        <f t="shared" si="2"/>
        <v>-46.105699999999999</v>
      </c>
      <c r="D42" s="7">
        <f t="shared" si="3"/>
        <v>31</v>
      </c>
    </row>
    <row r="43" spans="2:4" x14ac:dyDescent="0.2">
      <c r="B43" s="19">
        <v>44681</v>
      </c>
      <c r="C43" s="7">
        <f t="shared" si="2"/>
        <v>-44.618400000000001</v>
      </c>
      <c r="D43" s="7">
        <f t="shared" si="3"/>
        <v>30</v>
      </c>
    </row>
    <row r="44" spans="2:4" x14ac:dyDescent="0.2">
      <c r="B44" s="19">
        <v>44712</v>
      </c>
      <c r="C44" s="7">
        <f t="shared" si="2"/>
        <v>-46.105699999999999</v>
      </c>
      <c r="D44" s="7">
        <f t="shared" si="3"/>
        <v>31</v>
      </c>
    </row>
    <row r="45" spans="2:4" x14ac:dyDescent="0.2">
      <c r="B45" s="19">
        <v>44742</v>
      </c>
      <c r="C45" s="7">
        <f t="shared" si="2"/>
        <v>-44.618400000000001</v>
      </c>
      <c r="D45" s="7">
        <f t="shared" si="3"/>
        <v>30</v>
      </c>
    </row>
    <row r="46" spans="2:4" x14ac:dyDescent="0.2">
      <c r="B46" s="19">
        <v>44773</v>
      </c>
      <c r="C46" s="7">
        <f t="shared" si="2"/>
        <v>-46.105699999999999</v>
      </c>
      <c r="D46" s="7">
        <f t="shared" si="3"/>
        <v>31</v>
      </c>
    </row>
    <row r="47" spans="2:4" x14ac:dyDescent="0.2">
      <c r="B47" s="19">
        <v>44804</v>
      </c>
      <c r="C47" s="7">
        <f t="shared" si="2"/>
        <v>-46.105699999999999</v>
      </c>
      <c r="D47" s="7">
        <f t="shared" si="3"/>
        <v>31</v>
      </c>
    </row>
    <row r="48" spans="2:4" x14ac:dyDescent="0.2">
      <c r="B48" s="19">
        <v>44834</v>
      </c>
      <c r="C48" s="7">
        <f t="shared" si="2"/>
        <v>-44.618400000000001</v>
      </c>
      <c r="D48" s="7">
        <f t="shared" si="3"/>
        <v>30</v>
      </c>
    </row>
    <row r="49" spans="1:16" x14ac:dyDescent="0.2">
      <c r="B49" s="19">
        <v>44865</v>
      </c>
      <c r="C49" s="7">
        <f t="shared" si="2"/>
        <v>-46.105699999999999</v>
      </c>
      <c r="D49" s="7">
        <f t="shared" si="3"/>
        <v>31</v>
      </c>
    </row>
    <row r="50" spans="1:16" x14ac:dyDescent="0.2">
      <c r="B50" s="19">
        <v>44895</v>
      </c>
      <c r="C50" s="7">
        <f t="shared" si="2"/>
        <v>-44.618400000000001</v>
      </c>
      <c r="D50" s="7">
        <f t="shared" si="3"/>
        <v>30</v>
      </c>
    </row>
    <row r="51" spans="1:16" x14ac:dyDescent="0.2">
      <c r="B51" s="19">
        <v>44926</v>
      </c>
      <c r="C51" s="7">
        <f t="shared" si="2"/>
        <v>-46.105699999999999</v>
      </c>
      <c r="D51" s="7">
        <f t="shared" si="3"/>
        <v>31</v>
      </c>
    </row>
    <row r="52" spans="1:16" x14ac:dyDescent="0.2">
      <c r="B52" s="19">
        <v>44941</v>
      </c>
      <c r="C52" s="7">
        <f t="shared" si="2"/>
        <v>-22.309200000000001</v>
      </c>
      <c r="D52" s="7">
        <f t="shared" si="3"/>
        <v>15</v>
      </c>
    </row>
    <row r="53" spans="1:16" x14ac:dyDescent="0.2">
      <c r="B53" s="7"/>
      <c r="C53" s="7">
        <f>SUM(C40:C52)</f>
        <v>-542.85730000000012</v>
      </c>
      <c r="D53" s="7">
        <f>SUM(D40:D52)</f>
        <v>365</v>
      </c>
    </row>
    <row r="55" spans="1:16" x14ac:dyDescent="0.2">
      <c r="A55" s="24" t="s">
        <v>112</v>
      </c>
      <c r="B55" s="24"/>
      <c r="C55" s="24"/>
      <c r="D55" s="24"/>
      <c r="E55" s="24"/>
      <c r="F55" s="24"/>
      <c r="G55" s="24"/>
      <c r="H55" s="24"/>
      <c r="I55" s="24"/>
      <c r="J55" s="24"/>
      <c r="K55" s="24"/>
      <c r="L55" s="24"/>
      <c r="M55" s="24"/>
      <c r="N55" s="24"/>
      <c r="O55" s="24"/>
      <c r="P55" s="24"/>
    </row>
    <row r="57" spans="1:16" ht="21" x14ac:dyDescent="0.35">
      <c r="A57" s="25" t="s">
        <v>78</v>
      </c>
      <c r="B57" s="25"/>
      <c r="C57" s="25"/>
      <c r="D57" s="25"/>
      <c r="E57" s="25"/>
    </row>
    <row r="58" spans="1:16" ht="15" x14ac:dyDescent="0.25">
      <c r="A58" s="11" t="s">
        <v>79</v>
      </c>
      <c r="B58" s="11" t="s">
        <v>80</v>
      </c>
      <c r="C58" s="11" t="s">
        <v>81</v>
      </c>
      <c r="D58" s="11" t="s">
        <v>82</v>
      </c>
      <c r="E58" s="11" t="s">
        <v>83</v>
      </c>
    </row>
    <row r="59" spans="1:16" x14ac:dyDescent="0.2">
      <c r="A59" s="7">
        <v>1</v>
      </c>
      <c r="B59" s="7" t="s">
        <v>90</v>
      </c>
      <c r="C59" s="7" t="s">
        <v>91</v>
      </c>
      <c r="D59" s="7" t="s">
        <v>92</v>
      </c>
      <c r="E59" s="7">
        <v>0</v>
      </c>
    </row>
    <row r="60" spans="1:16" x14ac:dyDescent="0.2">
      <c r="A60" s="7">
        <v>2</v>
      </c>
      <c r="B60" s="7" t="s">
        <v>94</v>
      </c>
      <c r="C60" s="7" t="s">
        <v>95</v>
      </c>
      <c r="D60" s="7" t="s">
        <v>96</v>
      </c>
      <c r="E60" s="7"/>
    </row>
    <row r="61" spans="1:16" x14ac:dyDescent="0.2">
      <c r="A61" s="7">
        <v>3</v>
      </c>
      <c r="B61" s="7" t="s">
        <v>97</v>
      </c>
      <c r="C61" s="7" t="s">
        <v>95</v>
      </c>
      <c r="D61" s="7" t="s">
        <v>92</v>
      </c>
      <c r="E61" s="7"/>
    </row>
    <row r="62" spans="1:16" x14ac:dyDescent="0.2">
      <c r="A62" s="7">
        <v>4</v>
      </c>
      <c r="B62" s="7" t="s">
        <v>98</v>
      </c>
      <c r="C62" s="7" t="s">
        <v>95</v>
      </c>
      <c r="D62" s="7" t="s">
        <v>92</v>
      </c>
      <c r="E62" s="7"/>
    </row>
    <row r="63" spans="1:16" x14ac:dyDescent="0.2">
      <c r="A63" s="7">
        <v>5</v>
      </c>
      <c r="B63" s="7" t="s">
        <v>99</v>
      </c>
      <c r="C63" s="7" t="s">
        <v>95</v>
      </c>
      <c r="D63" s="7" t="s">
        <v>96</v>
      </c>
      <c r="E63" s="7"/>
    </row>
    <row r="64" spans="1:16" x14ac:dyDescent="0.2">
      <c r="A64" s="7">
        <v>0</v>
      </c>
      <c r="B64" s="7" t="s">
        <v>100</v>
      </c>
      <c r="C64" s="7"/>
      <c r="D64" s="7"/>
      <c r="E64" s="7"/>
    </row>
    <row r="67" spans="1:8" ht="21" x14ac:dyDescent="0.35">
      <c r="A67" s="26" t="s">
        <v>101</v>
      </c>
      <c r="B67" s="26"/>
      <c r="C67" s="26"/>
      <c r="D67" s="26"/>
      <c r="E67" s="26"/>
      <c r="F67" s="26"/>
      <c r="G67" s="26"/>
      <c r="H67" s="26"/>
    </row>
    <row r="68" spans="1:8" ht="15" x14ac:dyDescent="0.25">
      <c r="A68" s="11" t="s">
        <v>79</v>
      </c>
      <c r="B68" s="11" t="s">
        <v>80</v>
      </c>
      <c r="C68" s="11" t="s">
        <v>102</v>
      </c>
      <c r="D68" s="11" t="s">
        <v>103</v>
      </c>
      <c r="E68" s="11" t="s">
        <v>104</v>
      </c>
      <c r="F68" s="11" t="s">
        <v>105</v>
      </c>
      <c r="G68" s="11" t="s">
        <v>106</v>
      </c>
      <c r="H68" s="11" t="s">
        <v>107</v>
      </c>
    </row>
    <row r="69" spans="1:8" ht="15" x14ac:dyDescent="0.25">
      <c r="A69" s="7">
        <v>1</v>
      </c>
      <c r="B69" s="7" t="str">
        <f>IFERROR(VLOOKUP(A69,A$7:$B59,2,FALSE()),"")</f>
        <v>Discount</v>
      </c>
      <c r="C69" s="16">
        <v>-200</v>
      </c>
      <c r="D69" s="16">
        <f>IFERROR(IF(VLOOKUP(B69,$B$3:$C$7,2,FALSE())="USE SALES PRICE",C69,VLOOKUP(B69,$B$3:$E$7,4,FALSE())),"")</f>
        <v>0</v>
      </c>
      <c r="E69" s="16">
        <f>IFERROR(D69/$D$18,"")</f>
        <v>0</v>
      </c>
      <c r="F69" s="16">
        <f>IFERROR(E69*$C$18,"")</f>
        <v>0</v>
      </c>
      <c r="G69" s="14">
        <v>44576</v>
      </c>
      <c r="H69" s="14">
        <v>44576</v>
      </c>
    </row>
    <row r="70" spans="1:8" ht="15" x14ac:dyDescent="0.25">
      <c r="A70" s="7">
        <v>2</v>
      </c>
      <c r="B70" s="7" t="str">
        <f>IFERROR(VLOOKUP(A70,A$7:$B60,2,FALSE()),"")</f>
        <v>SaaS Basic Subscription</v>
      </c>
      <c r="C70" s="16">
        <v>1200</v>
      </c>
      <c r="D70" s="16">
        <f>IFERROR(IF(VLOOKUP(B70,$B$3:$C$7,2,FALSE())="USE SALES PRICE",C70,VLOOKUP(B70,$B$3:$E$7,4,FALSE())),"")</f>
        <v>1200</v>
      </c>
      <c r="E70" s="16">
        <f>IFERROR(D70/$D$74,"")</f>
        <v>0.44444444444444442</v>
      </c>
      <c r="F70" s="16">
        <f>IFERROR(E70*$C$74,"")</f>
        <v>1111.1111111111111</v>
      </c>
      <c r="G70" s="14">
        <v>44576</v>
      </c>
      <c r="H70" s="14">
        <v>44941</v>
      </c>
    </row>
    <row r="71" spans="1:8" ht="15" x14ac:dyDescent="0.25">
      <c r="A71" s="7">
        <v>3</v>
      </c>
      <c r="B71" s="7" t="str">
        <f>IFERROR(VLOOKUP(A71,A$7:$B61,2,FALSE()),"")</f>
        <v>SaaS Implementation</v>
      </c>
      <c r="C71" s="16">
        <v>300</v>
      </c>
      <c r="D71" s="16">
        <f>IFERROR(IF(VLOOKUP(B71,$B$3:$C$7,2,FALSE())="USE SALES PRICE",C71,VLOOKUP(B71,$B$3:$E$7,4,FALSE())),"")</f>
        <v>300</v>
      </c>
      <c r="E71" s="16">
        <f>IFERROR(D71/$D$74,"")</f>
        <v>0.1111111111111111</v>
      </c>
      <c r="F71" s="16">
        <f>IFERROR(E71*$C$74,"")</f>
        <v>277.77777777777777</v>
      </c>
      <c r="G71" s="14">
        <v>44576</v>
      </c>
      <c r="H71" s="14">
        <v>44576</v>
      </c>
    </row>
    <row r="72" spans="1:8" ht="15" x14ac:dyDescent="0.25">
      <c r="A72" s="7">
        <v>5</v>
      </c>
      <c r="B72" s="7" t="str">
        <f>IFERROR(VLOOKUP(A72,A$7:$B62,2,FALSE()),"")</f>
        <v>SaaS Premium Subscription</v>
      </c>
      <c r="C72" s="16">
        <v>1200</v>
      </c>
      <c r="D72" s="16">
        <f>IFERROR(IF(VLOOKUP(B72,$B$3:$C$7,2,FALSE())="USE SALES PRICE",C72,VLOOKUP(B72,$B$3:$E$7,4,FALSE())),"")</f>
        <v>1200</v>
      </c>
      <c r="E72" s="16">
        <f>IFERROR(D72/$D$74,"")</f>
        <v>0.44444444444444442</v>
      </c>
      <c r="F72" s="16">
        <f>IFERROR(E72*$C$74,"")</f>
        <v>1111.1111111111111</v>
      </c>
      <c r="G72" s="14">
        <v>44576</v>
      </c>
      <c r="H72" s="14">
        <v>44941</v>
      </c>
    </row>
    <row r="73" spans="1:8" x14ac:dyDescent="0.2">
      <c r="A73" s="7"/>
      <c r="B73" s="7"/>
      <c r="C73" s="16"/>
      <c r="D73" s="16"/>
      <c r="E73" s="16"/>
      <c r="F73" s="16"/>
      <c r="G73" s="7"/>
      <c r="H73" s="7"/>
    </row>
    <row r="74" spans="1:8" ht="15" x14ac:dyDescent="0.25">
      <c r="A74" s="27" t="s">
        <v>108</v>
      </c>
      <c r="B74" s="27"/>
      <c r="C74" s="17">
        <f>SUM(C69:C73)</f>
        <v>2500</v>
      </c>
      <c r="D74" s="17">
        <f>SUM(D69:D73)</f>
        <v>2700</v>
      </c>
      <c r="E74" s="17">
        <f>SUM(E69:E73)</f>
        <v>1</v>
      </c>
      <c r="F74" s="17">
        <f>SUM(F69:F73)</f>
        <v>2500</v>
      </c>
      <c r="G74" s="7"/>
      <c r="H74" s="7"/>
    </row>
    <row r="76" spans="1:8" x14ac:dyDescent="0.2">
      <c r="B76" s="23" t="s">
        <v>94</v>
      </c>
      <c r="C76" s="23"/>
      <c r="D76" s="23"/>
    </row>
    <row r="77" spans="1:8" x14ac:dyDescent="0.2">
      <c r="B77" s="18" t="s">
        <v>109</v>
      </c>
      <c r="C77" s="18" t="s">
        <v>110</v>
      </c>
      <c r="D77" s="18" t="s">
        <v>111</v>
      </c>
    </row>
    <row r="78" spans="1:8" x14ac:dyDescent="0.2">
      <c r="B78" s="19">
        <v>44592</v>
      </c>
      <c r="C78" s="7">
        <f t="shared" ref="C78:C90" si="4">-ROUND($F$70/$D$91*D78,4)</f>
        <v>-48.706200000000003</v>
      </c>
      <c r="D78" s="7">
        <f>B78-G70</f>
        <v>16</v>
      </c>
    </row>
    <row r="79" spans="1:8" x14ac:dyDescent="0.2">
      <c r="B79" s="19">
        <v>44620</v>
      </c>
      <c r="C79" s="7">
        <f t="shared" si="4"/>
        <v>-85.235900000000001</v>
      </c>
      <c r="D79" s="7">
        <f t="shared" ref="D79:D90" si="5">B79-B78</f>
        <v>28</v>
      </c>
    </row>
    <row r="80" spans="1:8" x14ac:dyDescent="0.2">
      <c r="B80" s="19">
        <v>44651</v>
      </c>
      <c r="C80" s="7">
        <f t="shared" si="4"/>
        <v>-94.368300000000005</v>
      </c>
      <c r="D80" s="7">
        <f t="shared" si="5"/>
        <v>31</v>
      </c>
    </row>
    <row r="81" spans="2:4" x14ac:dyDescent="0.2">
      <c r="B81" s="19">
        <v>44681</v>
      </c>
      <c r="C81" s="7">
        <f t="shared" si="4"/>
        <v>-91.324200000000005</v>
      </c>
      <c r="D81" s="7">
        <f t="shared" si="5"/>
        <v>30</v>
      </c>
    </row>
    <row r="82" spans="2:4" x14ac:dyDescent="0.2">
      <c r="B82" s="19">
        <v>44712</v>
      </c>
      <c r="C82" s="7">
        <f t="shared" si="4"/>
        <v>-94.368300000000005</v>
      </c>
      <c r="D82" s="7">
        <f t="shared" si="5"/>
        <v>31</v>
      </c>
    </row>
    <row r="83" spans="2:4" x14ac:dyDescent="0.2">
      <c r="B83" s="19">
        <v>44742</v>
      </c>
      <c r="C83" s="7">
        <f t="shared" si="4"/>
        <v>-91.324200000000005</v>
      </c>
      <c r="D83" s="7">
        <f t="shared" si="5"/>
        <v>30</v>
      </c>
    </row>
    <row r="84" spans="2:4" x14ac:dyDescent="0.2">
      <c r="B84" s="19">
        <v>44773</v>
      </c>
      <c r="C84" s="7">
        <f t="shared" si="4"/>
        <v>-94.368300000000005</v>
      </c>
      <c r="D84" s="7">
        <f t="shared" si="5"/>
        <v>31</v>
      </c>
    </row>
    <row r="85" spans="2:4" x14ac:dyDescent="0.2">
      <c r="B85" s="19">
        <v>44804</v>
      </c>
      <c r="C85" s="7">
        <f t="shared" si="4"/>
        <v>-94.368300000000005</v>
      </c>
      <c r="D85" s="7">
        <f t="shared" si="5"/>
        <v>31</v>
      </c>
    </row>
    <row r="86" spans="2:4" x14ac:dyDescent="0.2">
      <c r="B86" s="19">
        <v>44834</v>
      </c>
      <c r="C86" s="7">
        <f t="shared" si="4"/>
        <v>-91.324200000000005</v>
      </c>
      <c r="D86" s="7">
        <f t="shared" si="5"/>
        <v>30</v>
      </c>
    </row>
    <row r="87" spans="2:4" x14ac:dyDescent="0.2">
      <c r="B87" s="19">
        <v>44865</v>
      </c>
      <c r="C87" s="7">
        <f t="shared" si="4"/>
        <v>-94.368300000000005</v>
      </c>
      <c r="D87" s="7">
        <f t="shared" si="5"/>
        <v>31</v>
      </c>
    </row>
    <row r="88" spans="2:4" x14ac:dyDescent="0.2">
      <c r="B88" s="19">
        <v>44895</v>
      </c>
      <c r="C88" s="7">
        <f t="shared" si="4"/>
        <v>-91.324200000000005</v>
      </c>
      <c r="D88" s="7">
        <f t="shared" si="5"/>
        <v>30</v>
      </c>
    </row>
    <row r="89" spans="2:4" x14ac:dyDescent="0.2">
      <c r="B89" s="19">
        <v>44926</v>
      </c>
      <c r="C89" s="7">
        <f t="shared" si="4"/>
        <v>-94.368300000000005</v>
      </c>
      <c r="D89" s="7">
        <f t="shared" si="5"/>
        <v>31</v>
      </c>
    </row>
    <row r="90" spans="2:4" x14ac:dyDescent="0.2">
      <c r="B90" s="19">
        <v>44941</v>
      </c>
      <c r="C90" s="7">
        <f t="shared" si="4"/>
        <v>-45.662100000000002</v>
      </c>
      <c r="D90" s="7">
        <f t="shared" si="5"/>
        <v>15</v>
      </c>
    </row>
    <row r="91" spans="2:4" x14ac:dyDescent="0.2">
      <c r="B91" s="7"/>
      <c r="C91" s="7">
        <f>SUM(C78:C90)</f>
        <v>-1111.1108000000002</v>
      </c>
      <c r="D91" s="7">
        <f>SUM(D78:D90)</f>
        <v>365</v>
      </c>
    </row>
    <row r="94" spans="2:4" x14ac:dyDescent="0.2">
      <c r="B94" s="23" t="s">
        <v>99</v>
      </c>
      <c r="C94" s="23"/>
      <c r="D94" s="23"/>
    </row>
    <row r="95" spans="2:4" x14ac:dyDescent="0.2">
      <c r="B95" s="18" t="s">
        <v>109</v>
      </c>
      <c r="C95" s="18" t="s">
        <v>110</v>
      </c>
      <c r="D95" s="18" t="s">
        <v>111</v>
      </c>
    </row>
    <row r="96" spans="2:4" x14ac:dyDescent="0.2">
      <c r="B96" s="19">
        <v>44592</v>
      </c>
      <c r="C96" s="7">
        <f t="shared" ref="C96:C108" si="6">-ROUND($F$72/$D$109*D96,4)</f>
        <v>-48.706200000000003</v>
      </c>
      <c r="D96" s="7">
        <f>B96-G72</f>
        <v>16</v>
      </c>
    </row>
    <row r="97" spans="2:4" x14ac:dyDescent="0.2">
      <c r="B97" s="19">
        <v>44620</v>
      </c>
      <c r="C97" s="7">
        <f t="shared" si="6"/>
        <v>-85.235900000000001</v>
      </c>
      <c r="D97" s="7">
        <f t="shared" ref="D97:D108" si="7">B97-B96</f>
        <v>28</v>
      </c>
    </row>
    <row r="98" spans="2:4" x14ac:dyDescent="0.2">
      <c r="B98" s="19">
        <v>44651</v>
      </c>
      <c r="C98" s="7">
        <f t="shared" si="6"/>
        <v>-94.368300000000005</v>
      </c>
      <c r="D98" s="7">
        <f t="shared" si="7"/>
        <v>31</v>
      </c>
    </row>
    <row r="99" spans="2:4" x14ac:dyDescent="0.2">
      <c r="B99" s="19">
        <v>44681</v>
      </c>
      <c r="C99" s="7">
        <f t="shared" si="6"/>
        <v>-91.324200000000005</v>
      </c>
      <c r="D99" s="7">
        <f t="shared" si="7"/>
        <v>30</v>
      </c>
    </row>
    <row r="100" spans="2:4" x14ac:dyDescent="0.2">
      <c r="B100" s="19">
        <v>44712</v>
      </c>
      <c r="C100" s="7">
        <f t="shared" si="6"/>
        <v>-94.368300000000005</v>
      </c>
      <c r="D100" s="7">
        <f t="shared" si="7"/>
        <v>31</v>
      </c>
    </row>
    <row r="101" spans="2:4" x14ac:dyDescent="0.2">
      <c r="B101" s="19">
        <v>44742</v>
      </c>
      <c r="C101" s="7">
        <f t="shared" si="6"/>
        <v>-91.324200000000005</v>
      </c>
      <c r="D101" s="7">
        <f t="shared" si="7"/>
        <v>30</v>
      </c>
    </row>
    <row r="102" spans="2:4" x14ac:dyDescent="0.2">
      <c r="B102" s="19">
        <v>44773</v>
      </c>
      <c r="C102" s="7">
        <f t="shared" si="6"/>
        <v>-94.368300000000005</v>
      </c>
      <c r="D102" s="7">
        <f t="shared" si="7"/>
        <v>31</v>
      </c>
    </row>
    <row r="103" spans="2:4" x14ac:dyDescent="0.2">
      <c r="B103" s="19">
        <v>44804</v>
      </c>
      <c r="C103" s="7">
        <f t="shared" si="6"/>
        <v>-94.368300000000005</v>
      </c>
      <c r="D103" s="7">
        <f t="shared" si="7"/>
        <v>31</v>
      </c>
    </row>
    <row r="104" spans="2:4" x14ac:dyDescent="0.2">
      <c r="B104" s="19">
        <v>44834</v>
      </c>
      <c r="C104" s="7">
        <f t="shared" si="6"/>
        <v>-91.324200000000005</v>
      </c>
      <c r="D104" s="7">
        <f t="shared" si="7"/>
        <v>30</v>
      </c>
    </row>
    <row r="105" spans="2:4" x14ac:dyDescent="0.2">
      <c r="B105" s="19">
        <v>44865</v>
      </c>
      <c r="C105" s="7">
        <f t="shared" si="6"/>
        <v>-94.368300000000005</v>
      </c>
      <c r="D105" s="7">
        <f t="shared" si="7"/>
        <v>31</v>
      </c>
    </row>
    <row r="106" spans="2:4" x14ac:dyDescent="0.2">
      <c r="B106" s="19">
        <v>44895</v>
      </c>
      <c r="C106" s="7">
        <f t="shared" si="6"/>
        <v>-91.324200000000005</v>
      </c>
      <c r="D106" s="7">
        <f t="shared" si="7"/>
        <v>30</v>
      </c>
    </row>
    <row r="107" spans="2:4" x14ac:dyDescent="0.2">
      <c r="B107" s="19">
        <v>44926</v>
      </c>
      <c r="C107" s="7">
        <f t="shared" si="6"/>
        <v>-94.368300000000005</v>
      </c>
      <c r="D107" s="7">
        <f t="shared" si="7"/>
        <v>31</v>
      </c>
    </row>
    <row r="108" spans="2:4" x14ac:dyDescent="0.2">
      <c r="B108" s="19">
        <v>44941</v>
      </c>
      <c r="C108" s="7">
        <f t="shared" si="6"/>
        <v>-45.662100000000002</v>
      </c>
      <c r="D108" s="7">
        <f t="shared" si="7"/>
        <v>15</v>
      </c>
    </row>
    <row r="109" spans="2:4" x14ac:dyDescent="0.2">
      <c r="B109" s="7"/>
      <c r="C109" s="7">
        <f>SUM(C96:C108)</f>
        <v>-1111.1108000000002</v>
      </c>
      <c r="D109" s="7">
        <f>SUM(D96:D108)</f>
        <v>365</v>
      </c>
    </row>
  </sheetData>
  <mergeCells count="12">
    <mergeCell ref="A1:E1"/>
    <mergeCell ref="L2:L4"/>
    <mergeCell ref="A11:H11"/>
    <mergeCell ref="A18:B18"/>
    <mergeCell ref="B20:D20"/>
    <mergeCell ref="B76:D76"/>
    <mergeCell ref="B94:D94"/>
    <mergeCell ref="B38:D38"/>
    <mergeCell ref="A55:P55"/>
    <mergeCell ref="A57:E57"/>
    <mergeCell ref="A67:H67"/>
    <mergeCell ref="A74:B74"/>
  </mergeCells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4982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Test</vt:lpstr>
      <vt:lpstr>O_TransactionActivity</vt:lpstr>
      <vt:lpstr>O_Attribute</vt:lpstr>
      <vt:lpstr>O_Instrument</vt:lpstr>
      <vt:lpstr>O_Metric</vt:lpstr>
      <vt:lpstr>O_InstrumentAttribute</vt:lpstr>
      <vt:lpstr>Calc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Rafay Ahmed</cp:lastModifiedBy>
  <cp:revision>146</cp:revision>
  <dcterms:created xsi:type="dcterms:W3CDTF">2025-06-10T09:23:35Z</dcterms:created>
  <dcterms:modified xsi:type="dcterms:W3CDTF">2025-12-09T20:59:33Z</dcterms:modified>
  <dc:language>en-US</dc:language>
</cp:coreProperties>
</file>