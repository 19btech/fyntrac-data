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GFO\"/>
    </mc:Choice>
  </mc:AlternateContent>
  <xr:revisionPtr revIDLastSave="0" documentId="13_ncr:1_{708FDA0F-5C2E-40A5-8E73-3FB0F3D844DC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Test" sheetId="1" r:id="rId1"/>
    <sheet name="O_Metric" sheetId="5" r:id="rId2"/>
    <sheet name="Expected_Calculation" sheetId="6" r:id="rId3"/>
  </sheets>
  <externalReferences>
    <externalReference r:id="rId4"/>
  </externalReferences>
  <definedNames>
    <definedName name="_xlnm._FilterDatabase" localSheetId="2" hidden="1">Expected_Calculation!$A$7:$AF$19</definedName>
    <definedName name="Fund1">#REF!</definedName>
    <definedName name="Paym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40" i="6" l="1"/>
  <c r="B41" i="6"/>
  <c r="B39" i="6"/>
  <c r="B38" i="6"/>
  <c r="Z35" i="6"/>
  <c r="W35" i="6"/>
  <c r="X35" i="6" s="1"/>
  <c r="O35" i="6"/>
  <c r="M35" i="6"/>
  <c r="J35" i="6"/>
  <c r="I35" i="6"/>
  <c r="H35" i="6"/>
  <c r="G35" i="6"/>
  <c r="F35" i="6"/>
  <c r="Z34" i="6"/>
  <c r="W34" i="6"/>
  <c r="X34" i="6" s="1"/>
  <c r="P34" i="6"/>
  <c r="M34" i="6"/>
  <c r="J34" i="6"/>
  <c r="I34" i="6"/>
  <c r="G34" i="6"/>
  <c r="F34" i="6"/>
  <c r="Z33" i="6"/>
  <c r="W33" i="6"/>
  <c r="P33" i="6"/>
  <c r="O33" i="6"/>
  <c r="M33" i="6"/>
  <c r="J33" i="6"/>
  <c r="I33" i="6"/>
  <c r="H33" i="6"/>
  <c r="F33" i="6"/>
  <c r="Z32" i="6"/>
  <c r="W32" i="6"/>
  <c r="P32" i="6"/>
  <c r="O32" i="6"/>
  <c r="M32" i="6"/>
  <c r="J32" i="6"/>
  <c r="I32" i="6"/>
  <c r="H32" i="6"/>
  <c r="F32" i="6"/>
  <c r="Z31" i="6"/>
  <c r="W31" i="6"/>
  <c r="P31" i="6"/>
  <c r="O31" i="6"/>
  <c r="M31" i="6"/>
  <c r="J31" i="6"/>
  <c r="I31" i="6"/>
  <c r="H31" i="6"/>
  <c r="F31" i="6"/>
  <c r="Z30" i="6"/>
  <c r="W30" i="6"/>
  <c r="X30" i="6" s="1"/>
  <c r="P30" i="6"/>
  <c r="O30" i="6"/>
  <c r="J30" i="6"/>
  <c r="M30" i="6" s="1"/>
  <c r="I30" i="6"/>
  <c r="H30" i="6"/>
  <c r="G30" i="6"/>
  <c r="F30" i="6"/>
  <c r="Z29" i="6"/>
  <c r="W29" i="6"/>
  <c r="X29" i="6" s="1"/>
  <c r="P29" i="6"/>
  <c r="O29" i="6"/>
  <c r="J29" i="6"/>
  <c r="I29" i="6"/>
  <c r="H29" i="6"/>
  <c r="G29" i="6"/>
  <c r="F29" i="6"/>
  <c r="Z28" i="6"/>
  <c r="W28" i="6"/>
  <c r="X28" i="6" s="1"/>
  <c r="P28" i="6"/>
  <c r="O28" i="6"/>
  <c r="J28" i="6"/>
  <c r="I28" i="6"/>
  <c r="H28" i="6"/>
  <c r="G28" i="6"/>
  <c r="F28" i="6"/>
  <c r="Z27" i="6"/>
  <c r="W27" i="6"/>
  <c r="X27" i="6" s="1"/>
  <c r="P27" i="6"/>
  <c r="O27" i="6"/>
  <c r="J27" i="6"/>
  <c r="I27" i="6"/>
  <c r="H27" i="6"/>
  <c r="G27" i="6"/>
  <c r="F27" i="6"/>
  <c r="Z26" i="6"/>
  <c r="W26" i="6"/>
  <c r="X26" i="6" s="1"/>
  <c r="P26" i="6"/>
  <c r="O26" i="6"/>
  <c r="J26" i="6"/>
  <c r="I26" i="6"/>
  <c r="H26" i="6"/>
  <c r="G26" i="6"/>
  <c r="F26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B21" i="6"/>
  <c r="G33" i="6" s="1"/>
  <c r="Z19" i="6"/>
  <c r="Y19" i="6"/>
  <c r="O19" i="6"/>
  <c r="J19" i="6"/>
  <c r="I19" i="6"/>
  <c r="H19" i="6"/>
  <c r="M19" i="6" s="1"/>
  <c r="Z18" i="6"/>
  <c r="Y18" i="6"/>
  <c r="O18" i="6"/>
  <c r="P18" i="6" s="1"/>
  <c r="J18" i="6"/>
  <c r="I18" i="6"/>
  <c r="H18" i="6"/>
  <c r="L18" i="6" s="1"/>
  <c r="Z17" i="6"/>
  <c r="Y17" i="6"/>
  <c r="O17" i="6"/>
  <c r="J17" i="6"/>
  <c r="I17" i="6"/>
  <c r="H17" i="6"/>
  <c r="M17" i="6" s="1"/>
  <c r="Z16" i="6"/>
  <c r="Y16" i="6"/>
  <c r="O16" i="6"/>
  <c r="J16" i="6"/>
  <c r="I16" i="6"/>
  <c r="H16" i="6"/>
  <c r="Y15" i="6"/>
  <c r="O15" i="6"/>
  <c r="J15" i="6"/>
  <c r="K15" i="6" s="1"/>
  <c r="I15" i="6"/>
  <c r="H15" i="6"/>
  <c r="L15" i="6" s="1"/>
  <c r="Y14" i="6"/>
  <c r="O14" i="6"/>
  <c r="J14" i="6"/>
  <c r="I14" i="6"/>
  <c r="H14" i="6"/>
  <c r="Z13" i="6"/>
  <c r="Y13" i="6"/>
  <c r="O13" i="6"/>
  <c r="J13" i="6"/>
  <c r="K13" i="6" s="1"/>
  <c r="I13" i="6"/>
  <c r="H13" i="6"/>
  <c r="M13" i="6" s="1"/>
  <c r="Z12" i="6"/>
  <c r="Y12" i="6"/>
  <c r="O12" i="6"/>
  <c r="J12" i="6"/>
  <c r="I12" i="6"/>
  <c r="H12" i="6"/>
  <c r="M12" i="6" s="1"/>
  <c r="Z11" i="6"/>
  <c r="Y11" i="6"/>
  <c r="O11" i="6"/>
  <c r="J11" i="6"/>
  <c r="I11" i="6"/>
  <c r="H11" i="6"/>
  <c r="Z10" i="6"/>
  <c r="Y10" i="6"/>
  <c r="O10" i="6"/>
  <c r="J10" i="6"/>
  <c r="K10" i="6" s="1"/>
  <c r="I10" i="6"/>
  <c r="H10" i="6"/>
  <c r="M10" i="6" s="1"/>
  <c r="Z9" i="6"/>
  <c r="Y9" i="6"/>
  <c r="O9" i="6"/>
  <c r="J9" i="6"/>
  <c r="I9" i="6"/>
  <c r="H9" i="6"/>
  <c r="Z8" i="6"/>
  <c r="Y8" i="6"/>
  <c r="O8" i="6"/>
  <c r="J8" i="6"/>
  <c r="I8" i="6"/>
  <c r="H8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B2" i="6"/>
  <c r="P35" i="6" l="1"/>
  <c r="L17" i="6"/>
  <c r="N17" i="6" s="1"/>
  <c r="N28" i="6"/>
  <c r="P15" i="6"/>
  <c r="N26" i="6"/>
  <c r="L10" i="6"/>
  <c r="N10" i="6" s="1"/>
  <c r="P10" i="6"/>
  <c r="L12" i="6"/>
  <c r="Q12" i="6" s="1"/>
  <c r="AA12" i="6" s="1"/>
  <c r="Q30" i="6"/>
  <c r="AA30" i="6" s="1"/>
  <c r="K9" i="6"/>
  <c r="M14" i="6"/>
  <c r="N35" i="6"/>
  <c r="Q35" i="6" s="1"/>
  <c r="K12" i="6"/>
  <c r="K17" i="6"/>
  <c r="M26" i="6"/>
  <c r="Q26" i="6" s="1"/>
  <c r="AA26" i="6" s="1"/>
  <c r="M11" i="6"/>
  <c r="L11" i="6"/>
  <c r="M16" i="6"/>
  <c r="L16" i="6"/>
  <c r="K19" i="6"/>
  <c r="L19" i="6"/>
  <c r="N19" i="6" s="1"/>
  <c r="N27" i="6"/>
  <c r="Q15" i="6"/>
  <c r="AA15" i="6" s="1"/>
  <c r="M15" i="6"/>
  <c r="P12" i="6"/>
  <c r="N15" i="6"/>
  <c r="M8" i="6"/>
  <c r="L8" i="6"/>
  <c r="N30" i="6"/>
  <c r="N16" i="6"/>
  <c r="N18" i="6"/>
  <c r="K14" i="6"/>
  <c r="G32" i="6"/>
  <c r="N32" i="6" s="1"/>
  <c r="Q32" i="6" s="1"/>
  <c r="X32" i="6" s="1"/>
  <c r="Y32" i="6" s="1"/>
  <c r="H34" i="6"/>
  <c r="G31" i="6"/>
  <c r="N31" i="6" s="1"/>
  <c r="Q31" i="6" s="1"/>
  <c r="L14" i="6"/>
  <c r="P14" i="6" s="1"/>
  <c r="M28" i="6"/>
  <c r="P17" i="6"/>
  <c r="Q18" i="6"/>
  <c r="AA18" i="6" s="1"/>
  <c r="N29" i="6"/>
  <c r="L9" i="6"/>
  <c r="N9" i="6" s="1"/>
  <c r="M9" i="6"/>
  <c r="N33" i="6"/>
  <c r="Q33" i="6" s="1"/>
  <c r="O34" i="6"/>
  <c r="K16" i="6"/>
  <c r="K11" i="6"/>
  <c r="K8" i="6"/>
  <c r="M29" i="6"/>
  <c r="L13" i="6"/>
  <c r="P13" i="6" s="1"/>
  <c r="M18" i="6"/>
  <c r="N34" i="6"/>
  <c r="K18" i="6"/>
  <c r="M27" i="6"/>
  <c r="N12" i="6" l="1"/>
  <c r="P9" i="6"/>
  <c r="Y26" i="6"/>
  <c r="Q29" i="6"/>
  <c r="AA29" i="6" s="1"/>
  <c r="Q28" i="6"/>
  <c r="Q10" i="6"/>
  <c r="AA10" i="6" s="1"/>
  <c r="Y30" i="6"/>
  <c r="X33" i="6"/>
  <c r="Y33" i="6" s="1"/>
  <c r="AA35" i="6"/>
  <c r="Y35" i="6"/>
  <c r="X31" i="6"/>
  <c r="Y31" i="6" s="1"/>
  <c r="P11" i="6"/>
  <c r="Q11" i="6" s="1"/>
  <c r="AA11" i="6" s="1"/>
  <c r="AA32" i="6"/>
  <c r="Q9" i="6"/>
  <c r="AA9" i="6" s="1"/>
  <c r="R9" i="6"/>
  <c r="T9" i="6" s="1"/>
  <c r="U9" i="6" s="1"/>
  <c r="AB9" i="6" s="1"/>
  <c r="Y29" i="6"/>
  <c r="Q17" i="6"/>
  <c r="R12" i="6"/>
  <c r="T12" i="6" s="1"/>
  <c r="U12" i="6" s="1"/>
  <c r="AB12" i="6" s="1"/>
  <c r="N8" i="6"/>
  <c r="Q34" i="6"/>
  <c r="R15" i="6"/>
  <c r="T15" i="6" s="1"/>
  <c r="U15" i="6" s="1"/>
  <c r="R14" i="6"/>
  <c r="T14" i="6" s="1"/>
  <c r="U14" i="6" s="1"/>
  <c r="Q14" i="6"/>
  <c r="AA14" i="6" s="1"/>
  <c r="Q19" i="6"/>
  <c r="R19" i="6"/>
  <c r="T19" i="6" s="1"/>
  <c r="Q27" i="6"/>
  <c r="N14" i="6"/>
  <c r="P8" i="6"/>
  <c r="P19" i="6"/>
  <c r="U19" i="6" s="1"/>
  <c r="Q16" i="6"/>
  <c r="AA16" i="6" s="1"/>
  <c r="N13" i="6"/>
  <c r="Q13" i="6"/>
  <c r="AA13" i="6" s="1"/>
  <c r="P16" i="6"/>
  <c r="N11" i="6"/>
  <c r="R18" i="6"/>
  <c r="T18" i="6" s="1"/>
  <c r="U18" i="6" s="1"/>
  <c r="AB18" i="6" s="1"/>
  <c r="AA28" i="6" l="1"/>
  <c r="Y28" i="6"/>
  <c r="AA33" i="6"/>
  <c r="R10" i="6"/>
  <c r="T10" i="6" s="1"/>
  <c r="U10" i="6" s="1"/>
  <c r="AB10" i="6" s="1"/>
  <c r="Z14" i="6"/>
  <c r="AB14" i="6" s="1"/>
  <c r="AB19" i="6"/>
  <c r="R11" i="6"/>
  <c r="T11" i="6" s="1"/>
  <c r="U11" i="6" s="1"/>
  <c r="AB11" i="6" s="1"/>
  <c r="AA17" i="6"/>
  <c r="R17" i="6"/>
  <c r="T17" i="6" s="1"/>
  <c r="U17" i="6" s="1"/>
  <c r="AB17" i="6" s="1"/>
  <c r="AA31" i="6"/>
  <c r="AA19" i="6"/>
  <c r="U16" i="6"/>
  <c r="AB16" i="6" s="1"/>
  <c r="Z15" i="6"/>
  <c r="AB15" i="6" s="1"/>
  <c r="Q8" i="6"/>
  <c r="AA27" i="6"/>
  <c r="Y27" i="6"/>
  <c r="R13" i="6"/>
  <c r="T13" i="6" s="1"/>
  <c r="U13" i="6" s="1"/>
  <c r="AB13" i="6" s="1"/>
  <c r="R16" i="6"/>
  <c r="T16" i="6" s="1"/>
  <c r="AA34" i="6"/>
  <c r="Y34" i="6"/>
  <c r="AA8" i="6" l="1"/>
  <c r="R8" i="6"/>
  <c r="T8" i="6" s="1"/>
  <c r="U8" i="6" s="1"/>
  <c r="AB8" i="6" s="1"/>
  <c r="E6" i="5" l="1"/>
  <c r="E3" i="5"/>
  <c r="E4" i="5"/>
  <c r="E5" i="5" s="1"/>
</calcChain>
</file>

<file path=xl/sharedStrings.xml><?xml version="1.0" encoding="utf-8"?>
<sst xmlns="http://schemas.openxmlformats.org/spreadsheetml/2006/main" count="123" uniqueCount="100">
  <si>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</si>
  <si>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</si>
  <si>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</si>
  <si>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</si>
  <si>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</si>
  <si>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</si>
  <si>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</si>
  <si>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</si>
  <si>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</si>
  <si>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</si>
  <si>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</si>
  <si>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</si>
  <si>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</si>
  <si>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postingDate ASC</t>
  </si>
  <si>
    <t>metricName ASC</t>
  </si>
  <si>
    <t>balance.beginningBalance</t>
  </si>
  <si>
    <t>balance.activity</t>
  </si>
  <si>
    <t>balance.endingBalance</t>
  </si>
  <si>
    <t>MetricLevelLtd</t>
  </si>
  <si>
    <t>{}</t>
  </si>
  <si>
    <t>TestGFO/EventConfigurations.json</t>
  </si>
  <si>
    <t>INTEREST</t>
  </si>
  <si>
    <t>PRINCIPAL</t>
  </si>
  <si>
    <t>TestGFO/ReferenceData/RefData_GFO.xlsx</t>
  </si>
  <si>
    <t>TestGFO/Model/GFO_MODEL.xlsx</t>
  </si>
  <si>
    <t>TestGFO/ActivityData/ActivityData.xlsx</t>
  </si>
  <si>
    <t>AIR</t>
  </si>
  <si>
    <t>UPB</t>
  </si>
  <si>
    <t>PriorExecutionDate</t>
  </si>
  <si>
    <t>ConversionDate</t>
  </si>
  <si>
    <t>ExecutionDate</t>
  </si>
  <si>
    <t>Method</t>
  </si>
  <si>
    <t>PIK</t>
  </si>
  <si>
    <t>Loan</t>
  </si>
  <si>
    <t>Settlement Date</t>
  </si>
  <si>
    <t>Interest Rate</t>
  </si>
  <si>
    <t>Prin Bal 12/31</t>
  </si>
  <si>
    <t>Int Accru Bal 12/31</t>
  </si>
  <si>
    <t>Payoff Date</t>
  </si>
  <si>
    <t>Paydown Date</t>
  </si>
  <si>
    <t>Capitalization Date</t>
  </si>
  <si>
    <t>PayOff Day</t>
  </si>
  <si>
    <t>Days Before Paydpwn</t>
  </si>
  <si>
    <t>Days After Paydown</t>
  </si>
  <si>
    <t>Days before Capitalization</t>
  </si>
  <si>
    <t>Days After Capitalization/Payoff</t>
  </si>
  <si>
    <t>Days After Capitalization &amp; Before Paydown</t>
  </si>
  <si>
    <t>Per Day Interest Rate</t>
  </si>
  <si>
    <t>Additional Jan Interest Accrued (Before PIK)</t>
  </si>
  <si>
    <t>Jan Interest Capitalized</t>
  </si>
  <si>
    <t>Principal Balance After Capitalization</t>
  </si>
  <si>
    <t>Principal Paydown</t>
  </si>
  <si>
    <t>Additional Jan Interest Accrued (After PIK)</t>
  </si>
  <si>
    <t xml:space="preserve">Total Additional Jan Interest Accrued </t>
  </si>
  <si>
    <t>Payoff Principal</t>
  </si>
  <si>
    <t>Interest paid allocated from prin pymt</t>
  </si>
  <si>
    <t>Interest paid in Jan</t>
  </si>
  <si>
    <t>Total Interest Received</t>
  </si>
  <si>
    <t>Interest Adjustment</t>
  </si>
  <si>
    <t>Prin Bal 1/31</t>
  </si>
  <si>
    <t>Int Bal 1/31</t>
  </si>
  <si>
    <t>L26951</t>
  </si>
  <si>
    <t>L26952</t>
  </si>
  <si>
    <t>L26975</t>
  </si>
  <si>
    <t>L27015</t>
  </si>
  <si>
    <t>L27016</t>
  </si>
  <si>
    <t>L27019</t>
  </si>
  <si>
    <t>L31725</t>
  </si>
  <si>
    <t>L31725-2</t>
  </si>
  <si>
    <t>L42541</t>
  </si>
  <si>
    <t>L45796</t>
  </si>
  <si>
    <t>L49332</t>
  </si>
  <si>
    <t>L49333</t>
  </si>
  <si>
    <t>L49333-2</t>
  </si>
  <si>
    <t>Accrual</t>
  </si>
  <si>
    <t>Month End days</t>
  </si>
  <si>
    <t>Days Before Payoff</t>
  </si>
  <si>
    <t>Days Before Paydown</t>
  </si>
  <si>
    <t>Days On Boarding</t>
  </si>
  <si>
    <t>Per day Interest rate</t>
  </si>
  <si>
    <t>Total Jan Interest Accrued Plain</t>
  </si>
  <si>
    <t>Total Jan Interest Accrued Payoff</t>
  </si>
  <si>
    <t>Total Jan Interest Accrued Paydown</t>
  </si>
  <si>
    <t>Total Jan Interest Accrued Boarding</t>
  </si>
  <si>
    <t>Total Accrued Interest</t>
  </si>
  <si>
    <t>Principal Disbursement</t>
  </si>
  <si>
    <t>Total Payoff</t>
  </si>
  <si>
    <t>Total Interest Earned</t>
  </si>
  <si>
    <t>Int Accru Bal 1/31</t>
  </si>
  <si>
    <t>L26978</t>
  </si>
  <si>
    <t>L26979</t>
  </si>
  <si>
    <t>L26980</t>
  </si>
  <si>
    <t>L26992</t>
  </si>
  <si>
    <t>L27176</t>
  </si>
  <si>
    <t>L27375</t>
  </si>
  <si>
    <t>L27376</t>
  </si>
  <si>
    <t>L27377</t>
  </si>
  <si>
    <t>L42541-2</t>
  </si>
  <si>
    <t>Amount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</si>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</sst>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"/>
    <numFmt numFmtId="165" formatCode="#,##0.0000_);[Red]\(#,##0.0000\)"/>
    <numFmt numFmtId="166" formatCode="0.0000_);[Red]\(0.0000\)"/>
    <numFmt numFmtId="170" formatCode="0.0000"/>
  </numFmts>
  <fonts count="6" x14ac:knownFonts="1">
    <font>
      <sz val="10"/>
      <name val="Arial"/>
      <family val="2"/>
      <charset val="1"/>
    </font>
    <font>
      <sz val="11"/>
      <color theme="1"/>
      <name val="Arial"/>
      <family val="2"/>
      <scheme val="minor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 applyProtection="1"/>
    <xf numFmtId="0" fontId="3" fillId="0" borderId="0" xfId="0" applyFont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2" fillId="0" borderId="0" xfId="0" applyFont="1" applyAlignment="1" applyProtection="1"/>
    <xf numFmtId="0" fontId="1" fillId="0" borderId="0" xfId="2"/>
    <xf numFmtId="2" fontId="1" fillId="0" borderId="0" xfId="2" applyNumberFormat="1"/>
    <xf numFmtId="0" fontId="4" fillId="0" borderId="1" xfId="2" applyFont="1" applyBorder="1"/>
    <xf numFmtId="14" fontId="1" fillId="0" borderId="1" xfId="2" applyNumberFormat="1" applyBorder="1"/>
    <xf numFmtId="14" fontId="1" fillId="0" borderId="0" xfId="2" applyNumberFormat="1"/>
    <xf numFmtId="43" fontId="1" fillId="0" borderId="0" xfId="2" applyNumberFormat="1"/>
    <xf numFmtId="14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vertical="center"/>
    </xf>
    <xf numFmtId="14" fontId="1" fillId="0" borderId="1" xfId="2" applyNumberFormat="1" applyBorder="1" applyAlignment="1">
      <alignment vertical="center"/>
    </xf>
    <xf numFmtId="2" fontId="0" fillId="0" borderId="1" xfId="3" applyNumberFormat="1" applyFont="1" applyFill="1" applyBorder="1" applyAlignment="1">
      <alignment vertical="center"/>
    </xf>
    <xf numFmtId="43" fontId="1" fillId="2" borderId="1" xfId="2" applyNumberFormat="1" applyFill="1" applyBorder="1"/>
    <xf numFmtId="43" fontId="0" fillId="2" borderId="1" xfId="4" applyFont="1" applyFill="1" applyBorder="1" applyAlignment="1">
      <alignment vertical="center"/>
    </xf>
    <xf numFmtId="0" fontId="1" fillId="0" borderId="1" xfId="2" applyBorder="1" applyAlignment="1">
      <alignment vertical="center"/>
    </xf>
    <xf numFmtId="0" fontId="1" fillId="0" borderId="1" xfId="2" applyBorder="1"/>
    <xf numFmtId="2" fontId="1" fillId="0" borderId="1" xfId="2" applyNumberFormat="1" applyBorder="1"/>
    <xf numFmtId="165" fontId="1" fillId="0" borderId="1" xfId="2" applyNumberFormat="1" applyBorder="1" applyAlignment="1">
      <alignment horizontal="left"/>
    </xf>
    <xf numFmtId="165" fontId="5" fillId="0" borderId="1" xfId="4" applyNumberFormat="1" applyFont="1" applyFill="1" applyBorder="1" applyAlignment="1">
      <alignment vertical="center"/>
    </xf>
    <xf numFmtId="165" fontId="1" fillId="0" borderId="1" xfId="2" applyNumberFormat="1" applyBorder="1"/>
    <xf numFmtId="165" fontId="1" fillId="2" borderId="1" xfId="2" applyNumberFormat="1" applyFill="1" applyBorder="1"/>
    <xf numFmtId="165" fontId="0" fillId="2" borderId="1" xfId="4" applyNumberFormat="1" applyFont="1" applyFill="1" applyBorder="1" applyAlignment="1">
      <alignment vertical="center"/>
    </xf>
    <xf numFmtId="165" fontId="0" fillId="0" borderId="1" xfId="4" applyNumberFormat="1" applyFont="1" applyFill="1" applyBorder="1" applyAlignment="1">
      <alignment vertical="center"/>
    </xf>
    <xf numFmtId="165" fontId="1" fillId="0" borderId="0" xfId="2" applyNumberFormat="1"/>
    <xf numFmtId="165" fontId="1" fillId="0" borderId="1" xfId="2" applyNumberFormat="1" applyBorder="1" applyAlignment="1">
      <alignment vertical="center"/>
    </xf>
    <xf numFmtId="14" fontId="1" fillId="0" borderId="1" xfId="2" applyNumberFormat="1" applyBorder="1" applyAlignment="1">
      <alignment horizontal="right"/>
    </xf>
    <xf numFmtId="165" fontId="1" fillId="2" borderId="1" xfId="2" applyNumberFormat="1" applyFill="1" applyBorder="1" applyAlignment="1">
      <alignment vertical="center"/>
    </xf>
    <xf numFmtId="0" fontId="1" fillId="3" borderId="1" xfId="2" applyFill="1" applyBorder="1"/>
    <xf numFmtId="0" fontId="1" fillId="0" borderId="1" xfId="2" applyBorder="1" applyAlignment="1">
      <alignment horizontal="center"/>
    </xf>
    <xf numFmtId="166" fontId="1" fillId="0" borderId="0" xfId="2" applyNumberFormat="1"/>
    <xf numFmtId="43" fontId="1" fillId="0" borderId="1" xfId="2" applyNumberFormat="1" applyBorder="1"/>
    <xf numFmtId="43" fontId="0" fillId="0" borderId="1" xfId="4" applyFont="1" applyFill="1" applyBorder="1" applyAlignment="1">
      <alignment vertical="center"/>
    </xf>
    <xf numFmtId="166" fontId="5" fillId="0" borderId="1" xfId="4" applyNumberFormat="1" applyFont="1" applyFill="1" applyBorder="1" applyAlignment="1">
      <alignment vertical="center"/>
    </xf>
    <xf numFmtId="166" fontId="1" fillId="0" borderId="1" xfId="2" applyNumberFormat="1" applyBorder="1"/>
    <xf numFmtId="166" fontId="0" fillId="0" borderId="1" xfId="4" applyNumberFormat="1" applyFont="1" applyFill="1" applyBorder="1" applyAlignment="1">
      <alignment vertical="center"/>
    </xf>
    <xf numFmtId="0" fontId="1" fillId="3" borderId="1" xfId="2" applyFill="1" applyBorder="1" applyAlignment="1">
      <alignment vertical="center"/>
    </xf>
    <xf numFmtId="14" fontId="1" fillId="3" borderId="1" xfId="2" applyNumberFormat="1" applyFill="1" applyBorder="1" applyAlignment="1">
      <alignment vertical="center"/>
    </xf>
    <xf numFmtId="2" fontId="0" fillId="3" borderId="1" xfId="3" applyNumberFormat="1" applyFont="1" applyFill="1" applyBorder="1" applyAlignment="1">
      <alignment vertical="center"/>
    </xf>
    <xf numFmtId="43" fontId="1" fillId="3" borderId="1" xfId="2" applyNumberFormat="1" applyFill="1" applyBorder="1"/>
    <xf numFmtId="43" fontId="0" fillId="3" borderId="1" xfId="4" applyFont="1" applyFill="1" applyBorder="1" applyAlignment="1">
      <alignment vertical="center"/>
    </xf>
    <xf numFmtId="166" fontId="1" fillId="3" borderId="1" xfId="2" applyNumberFormat="1" applyFill="1" applyBorder="1"/>
    <xf numFmtId="166" fontId="5" fillId="3" borderId="1" xfId="4" applyNumberFormat="1" applyFont="1" applyFill="1" applyBorder="1" applyAlignment="1">
      <alignment vertical="center"/>
    </xf>
    <xf numFmtId="166" fontId="0" fillId="3" borderId="1" xfId="4" applyNumberFormat="1" applyFont="1" applyFill="1" applyBorder="1" applyAlignment="1">
      <alignment vertical="center"/>
    </xf>
    <xf numFmtId="166" fontId="1" fillId="0" borderId="1" xfId="2" applyNumberFormat="1" applyBorder="1" applyAlignment="1">
      <alignment vertical="center"/>
    </xf>
    <xf numFmtId="0" fontId="4" fillId="4" borderId="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170" fontId="1" fillId="0" borderId="1" xfId="2" applyNumberFormat="1" applyBorder="1"/>
  </cellXfs>
  <cellStyles count="5">
    <cellStyle name="Comma 2" xfId="4" xr:uid="{1677CD70-41EB-438A-9B5D-9AD6C1465715}"/>
    <cellStyle name="Normal" xfId="0" builtinId="0"/>
    <cellStyle name="Normal 2" xfId="1" xr:uid="{00000000-0005-0000-0000-000006000000}"/>
    <cellStyle name="Normal 3" xfId="2" xr:uid="{BF5B9089-C963-46AD-9C96-C3F82EC9A7A6}"/>
    <cellStyle name="Percent 2" xfId="3" xr:uid="{535E59FA-CEC9-48D5-B9CD-05308BA0F28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ahmed\OneDrive%20-%20SS&amp;C%20Technologies,%20Inc\Desktop\Pers\TestGFO\Expected\Copy%20of%20GFO%20Loan%20Admin%20Trial%20Balance%20RollForward%20Fund%20II%2001.3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F Fund II"/>
      <sheetName val="GL"/>
      <sheetName val="1.31 Activity"/>
      <sheetName val="Sheet1"/>
      <sheetName val="Sheet2"/>
      <sheetName val="Sheet3"/>
      <sheetName val="Sheet3NewFormula"/>
      <sheetName val="Sheet3 (2)"/>
      <sheetName val="Profit and Loss_Fund II"/>
      <sheetName val="Holding_Fund II"/>
      <sheetName val="Income 1.31"/>
      <sheetName val="TB Fund II 1.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20" zoomScaleNormal="120" workbookViewId="0">
      <selection activeCell="C6" sqref="C6"/>
    </sheetView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23</v>
      </c>
    </row>
    <row r="3" spans="1:3" ht="12.75" customHeight="1" x14ac:dyDescent="0.2">
      <c r="A3" s="2" t="s">
        <v>5</v>
      </c>
      <c r="B3" s="1" t="s">
        <v>6</v>
      </c>
      <c r="C3" s="1" t="s">
        <v>20</v>
      </c>
    </row>
    <row r="4" spans="1:3" ht="12.75" customHeight="1" x14ac:dyDescent="0.2">
      <c r="A4" s="1" t="s">
        <v>7</v>
      </c>
      <c r="B4" s="1" t="s">
        <v>4</v>
      </c>
      <c r="C4" s="1" t="s">
        <v>24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25</v>
      </c>
    </row>
    <row r="7" spans="1:3" ht="12.75" customHeight="1" x14ac:dyDescent="0.2">
      <c r="A7" s="1" t="s">
        <v>11</v>
      </c>
      <c r="B7" s="1" t="s">
        <v>12</v>
      </c>
      <c r="C7" s="3">
        <v>45688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zoomScale="120" zoomScaleNormal="120" workbookViewId="0">
      <selection activeCell="B30" sqref="B30"/>
    </sheetView>
  </sheetViews>
  <sheetFormatPr defaultColWidth="11.5703125" defaultRowHeight="12.75" customHeight="1" x14ac:dyDescent="0.2"/>
  <cols>
    <col min="1" max="1" width="21.7109375" style="1" customWidth="1"/>
    <col min="2" max="2" width="46.5703125" style="1" customWidth="1"/>
    <col min="3" max="3" width="23.5703125" style="1" customWidth="1"/>
    <col min="4" max="5" width="24.85546875" style="1" customWidth="1"/>
  </cols>
  <sheetData>
    <row r="1" spans="1:5" ht="15" x14ac:dyDescent="0.25">
      <c r="A1" s="4" t="s">
        <v>18</v>
      </c>
      <c r="B1" s="5" t="s">
        <v>19</v>
      </c>
    </row>
    <row r="2" spans="1:5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x14ac:dyDescent="0.2">
      <c r="A3" s="1">
        <v>20250131</v>
      </c>
      <c r="B3" s="1" t="s">
        <v>26</v>
      </c>
      <c r="C3" s="1">
        <v>0</v>
      </c>
      <c r="D3" s="1">
        <v>78000.94</v>
      </c>
      <c r="E3" s="1">
        <f>SUM(C3:D3)</f>
        <v>78000.94</v>
      </c>
    </row>
    <row r="4" spans="1:5" x14ac:dyDescent="0.2">
      <c r="A4" s="1">
        <v>20250131</v>
      </c>
      <c r="B4" s="1" t="s">
        <v>21</v>
      </c>
      <c r="C4" s="1">
        <v>0</v>
      </c>
      <c r="D4" s="1">
        <v>49958.481200000002</v>
      </c>
      <c r="E4" s="1">
        <f>D4</f>
        <v>49958.481200000002</v>
      </c>
    </row>
    <row r="5" spans="1:5" ht="12.75" customHeight="1" x14ac:dyDescent="0.2">
      <c r="A5" s="1">
        <v>20250131</v>
      </c>
      <c r="B5" s="1" t="s">
        <v>22</v>
      </c>
      <c r="C5" s="1">
        <v>0</v>
      </c>
      <c r="D5" s="1">
        <v>634539.39980000001</v>
      </c>
      <c r="E5" s="1">
        <f>C5+D5</f>
        <v>634539.39980000001</v>
      </c>
    </row>
    <row r="6" spans="1:5" ht="12.75" customHeight="1" x14ac:dyDescent="0.2">
      <c r="A6" s="1">
        <v>20250131</v>
      </c>
      <c r="B6" s="1" t="s">
        <v>27</v>
      </c>
      <c r="C6" s="1">
        <v>0</v>
      </c>
      <c r="D6" s="1">
        <v>720951.47</v>
      </c>
      <c r="E6" s="1">
        <f>SUM(C6:D6)</f>
        <v>720951.47</v>
      </c>
    </row>
  </sheetData>
  <sortState xmlns:xlrd2="http://schemas.microsoft.com/office/spreadsheetml/2017/richdata2" ref="A3:E6">
    <sortCondition ref="A3:A6"/>
    <sortCondition ref="B3:B6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B055-D989-4331-912F-032F1219B42D}">
  <dimension ref="A1:AI41"/>
  <sheetViews>
    <sheetView tabSelected="1" topLeftCell="A14" workbookViewId="0">
      <selection activeCell="D38" sqref="D38"/>
    </sheetView>
  </sheetViews>
  <sheetFormatPr defaultRowHeight="14.25" x14ac:dyDescent="0.2"/>
  <cols>
    <col min="1" max="1" width="19.42578125" style="6" customWidth="1"/>
    <col min="2" max="2" width="29" style="6" customWidth="1"/>
    <col min="3" max="3" width="25.85546875" style="6" customWidth="1"/>
    <col min="4" max="4" width="19" style="6" customWidth="1"/>
    <col min="5" max="5" width="17.42578125" style="6" customWidth="1"/>
    <col min="6" max="6" width="11.28515625" style="6" bestFit="1" customWidth="1"/>
    <col min="7" max="7" width="13.85546875" style="6" bestFit="1" customWidth="1"/>
    <col min="8" max="8" width="10.85546875" style="6" bestFit="1" customWidth="1"/>
    <col min="9" max="9" width="10.7109375" style="6" bestFit="1" customWidth="1"/>
    <col min="10" max="10" width="11.5703125" style="6" bestFit="1" customWidth="1"/>
    <col min="11" max="11" width="19.7109375" style="6" bestFit="1" customWidth="1"/>
    <col min="12" max="12" width="12" style="6" bestFit="1" customWidth="1"/>
    <col min="13" max="13" width="9.85546875" style="6" bestFit="1" customWidth="1"/>
    <col min="14" max="14" width="11" style="6" bestFit="1" customWidth="1"/>
    <col min="15" max="15" width="12.140625" style="6" bestFit="1" customWidth="1"/>
    <col min="16" max="16" width="11.85546875" style="6" bestFit="1" customWidth="1"/>
    <col min="17" max="17" width="11" style="6" bestFit="1" customWidth="1"/>
    <col min="18" max="18" width="22" style="6" bestFit="1" customWidth="1"/>
    <col min="19" max="19" width="11" style="6" bestFit="1" customWidth="1"/>
    <col min="20" max="20" width="11.28515625" style="6" bestFit="1" customWidth="1"/>
    <col min="21" max="21" width="11.85546875" style="6" bestFit="1" customWidth="1"/>
    <col min="22" max="22" width="12.140625" style="6" bestFit="1" customWidth="1"/>
    <col min="23" max="23" width="11.28515625" style="6" bestFit="1" customWidth="1"/>
    <col min="24" max="24" width="14.5703125" style="6" bestFit="1" customWidth="1"/>
    <col min="25" max="25" width="15.140625" style="6" bestFit="1" customWidth="1"/>
    <col min="26" max="26" width="22.42578125" style="6" bestFit="1" customWidth="1"/>
    <col min="27" max="27" width="13" style="6" bestFit="1" customWidth="1"/>
    <col min="28" max="28" width="11.5703125" style="6" customWidth="1"/>
    <col min="29" max="29" width="11.140625" style="6" bestFit="1" customWidth="1"/>
    <col min="30" max="30" width="13.85546875" style="6" customWidth="1"/>
    <col min="31" max="31" width="9.140625" style="6"/>
    <col min="32" max="32" width="10.5703125" style="6" bestFit="1" customWidth="1"/>
    <col min="33" max="33" width="9.140625" style="6"/>
    <col min="34" max="34" width="11.5703125" style="6" bestFit="1" customWidth="1"/>
    <col min="35" max="35" width="16.85546875" style="6" customWidth="1"/>
    <col min="36" max="16384" width="9.140625" style="6"/>
  </cols>
  <sheetData>
    <row r="1" spans="1:35" x14ac:dyDescent="0.2">
      <c r="O1" s="7"/>
    </row>
    <row r="2" spans="1:35" ht="15" x14ac:dyDescent="0.25">
      <c r="A2" s="8" t="s">
        <v>28</v>
      </c>
      <c r="B2" s="9">
        <f>EOMONTH(B4,-1)</f>
        <v>45657</v>
      </c>
      <c r="O2" s="10"/>
    </row>
    <row r="3" spans="1:35" ht="15" x14ac:dyDescent="0.25">
      <c r="A3" s="8" t="s">
        <v>29</v>
      </c>
      <c r="B3" s="9">
        <v>45657</v>
      </c>
    </row>
    <row r="4" spans="1:35" ht="15" x14ac:dyDescent="0.25">
      <c r="A4" s="8" t="s">
        <v>30</v>
      </c>
      <c r="B4" s="9">
        <v>45688</v>
      </c>
      <c r="Q4" s="11"/>
      <c r="R4" s="11"/>
    </row>
    <row r="5" spans="1:35" ht="15" x14ac:dyDescent="0.25">
      <c r="A5" s="8" t="s">
        <v>31</v>
      </c>
      <c r="B5" s="12" t="s">
        <v>32</v>
      </c>
      <c r="Q5" s="11"/>
      <c r="R5" s="11"/>
    </row>
    <row r="6" spans="1:35" x14ac:dyDescent="0.2">
      <c r="A6" s="6">
        <f t="shared" ref="A6:AC6" si="0">COLUMN(A7)</f>
        <v>1</v>
      </c>
      <c r="B6" s="6">
        <f t="shared" si="0"/>
        <v>2</v>
      </c>
      <c r="C6" s="6">
        <f t="shared" si="0"/>
        <v>3</v>
      </c>
      <c r="D6" s="6">
        <f t="shared" si="0"/>
        <v>4</v>
      </c>
      <c r="E6" s="6">
        <f t="shared" si="0"/>
        <v>5</v>
      </c>
      <c r="F6" s="6">
        <f t="shared" si="0"/>
        <v>6</v>
      </c>
      <c r="G6" s="6">
        <f t="shared" si="0"/>
        <v>7</v>
      </c>
      <c r="H6" s="6">
        <f t="shared" si="0"/>
        <v>8</v>
      </c>
      <c r="I6" s="6">
        <f t="shared" si="0"/>
        <v>9</v>
      </c>
      <c r="J6" s="6">
        <f t="shared" si="0"/>
        <v>10</v>
      </c>
      <c r="K6" s="6">
        <f t="shared" si="0"/>
        <v>11</v>
      </c>
      <c r="L6" s="6">
        <f t="shared" si="0"/>
        <v>12</v>
      </c>
      <c r="M6" s="6">
        <f t="shared" si="0"/>
        <v>13</v>
      </c>
      <c r="N6" s="6">
        <f t="shared" si="0"/>
        <v>14</v>
      </c>
      <c r="O6" s="6">
        <f t="shared" si="0"/>
        <v>15</v>
      </c>
      <c r="P6" s="6">
        <f t="shared" si="0"/>
        <v>16</v>
      </c>
      <c r="Q6" s="6">
        <f t="shared" si="0"/>
        <v>17</v>
      </c>
      <c r="R6" s="6">
        <f t="shared" si="0"/>
        <v>18</v>
      </c>
      <c r="S6" s="6">
        <f t="shared" si="0"/>
        <v>19</v>
      </c>
      <c r="T6" s="6">
        <f t="shared" si="0"/>
        <v>20</v>
      </c>
      <c r="U6" s="6">
        <f t="shared" si="0"/>
        <v>21</v>
      </c>
      <c r="V6" s="6">
        <f t="shared" si="0"/>
        <v>22</v>
      </c>
      <c r="W6" s="6">
        <f t="shared" si="0"/>
        <v>23</v>
      </c>
      <c r="X6" s="6">
        <f t="shared" si="0"/>
        <v>24</v>
      </c>
      <c r="Y6" s="6">
        <f t="shared" si="0"/>
        <v>25</v>
      </c>
      <c r="Z6" s="6">
        <f t="shared" si="0"/>
        <v>26</v>
      </c>
      <c r="AA6" s="6">
        <f t="shared" si="0"/>
        <v>27</v>
      </c>
      <c r="AB6" s="6">
        <f t="shared" si="0"/>
        <v>28</v>
      </c>
      <c r="AC6" s="6">
        <f t="shared" si="0"/>
        <v>29</v>
      </c>
    </row>
    <row r="7" spans="1:35" ht="90" x14ac:dyDescent="0.2">
      <c r="A7" s="48" t="s">
        <v>33</v>
      </c>
      <c r="B7" s="48" t="s">
        <v>34</v>
      </c>
      <c r="C7" s="48" t="s">
        <v>35</v>
      </c>
      <c r="D7" s="48" t="s">
        <v>36</v>
      </c>
      <c r="E7" s="48" t="s">
        <v>37</v>
      </c>
      <c r="F7" s="48" t="s">
        <v>38</v>
      </c>
      <c r="G7" s="48" t="s">
        <v>39</v>
      </c>
      <c r="H7" s="48" t="s">
        <v>40</v>
      </c>
      <c r="I7" s="48" t="s">
        <v>41</v>
      </c>
      <c r="J7" s="48" t="s">
        <v>42</v>
      </c>
      <c r="K7" s="48" t="s">
        <v>43</v>
      </c>
      <c r="L7" s="48" t="s">
        <v>44</v>
      </c>
      <c r="M7" s="48" t="s">
        <v>45</v>
      </c>
      <c r="N7" s="48" t="s">
        <v>46</v>
      </c>
      <c r="O7" s="48" t="s">
        <v>47</v>
      </c>
      <c r="P7" s="48" t="s">
        <v>48</v>
      </c>
      <c r="Q7" s="48" t="s">
        <v>49</v>
      </c>
      <c r="R7" s="48" t="s">
        <v>50</v>
      </c>
      <c r="S7" s="48" t="s">
        <v>51</v>
      </c>
      <c r="T7" s="48" t="s">
        <v>52</v>
      </c>
      <c r="U7" s="48" t="s">
        <v>53</v>
      </c>
      <c r="V7" s="48" t="s">
        <v>54</v>
      </c>
      <c r="W7" s="48" t="s">
        <v>55</v>
      </c>
      <c r="X7" s="48" t="s">
        <v>56</v>
      </c>
      <c r="Y7" s="48" t="s">
        <v>57</v>
      </c>
      <c r="Z7" s="48" t="s">
        <v>58</v>
      </c>
      <c r="AA7" s="48" t="s">
        <v>59</v>
      </c>
      <c r="AB7" s="48" t="s">
        <v>60</v>
      </c>
      <c r="AC7" s="48"/>
    </row>
    <row r="8" spans="1:35" x14ac:dyDescent="0.2">
      <c r="A8" s="13" t="s">
        <v>61</v>
      </c>
      <c r="B8" s="14">
        <v>44682</v>
      </c>
      <c r="C8" s="15">
        <v>34.200000000000003</v>
      </c>
      <c r="D8" s="16">
        <v>100118.17</v>
      </c>
      <c r="E8" s="17">
        <v>2908.09</v>
      </c>
      <c r="F8" s="18"/>
      <c r="G8" s="18"/>
      <c r="H8" s="14">
        <f t="shared" ref="H8:H19" si="1">DATE(
    YEAR(B8),
    MONTH(B8) +
        IF(
            ((YEAR($B$4)-YEAR(B8))*12 + (MONTH($B$4)-MONTH(B8)) - --(DAY($B$4)&lt;DAY(B8))) = 0,
            1,
            (YEAR($B$4)-YEAR(B8))*12 + (MONTH($B$4)-MONTH(B8)) - --(DAY($B$4)&lt;DAY(B8))
        ),
    DAY(B8)
)</f>
        <v>45658</v>
      </c>
      <c r="I8" s="19" t="str">
        <f t="shared" ref="I8:I19" si="2">IF(F8="","",DAY(F8-1))</f>
        <v/>
      </c>
      <c r="J8" s="19" t="str">
        <f t="shared" ref="J8:J15" si="3">IFERROR(DAY(G8-1),"")</f>
        <v/>
      </c>
      <c r="K8" s="20" t="str">
        <f t="shared" ref="K8:K19" si="4">IFERROR(DAY($B$4)-J8,"")</f>
        <v/>
      </c>
      <c r="L8" s="19">
        <f t="shared" ref="L8:L19" si="5">IF((H8-$B$3)-1&gt;31,($B$4-B8)+1,(H8-$B$3)-1)</f>
        <v>0</v>
      </c>
      <c r="M8" s="19">
        <f t="shared" ref="M8:M19" si="6">IF((H8-$B$3)-1&gt;31,"",IF(F8&lt;&gt;"",IF(I8&gt;L8,ABS(L8-I8)-1,0),$B$4-H8)+1)</f>
        <v>31</v>
      </c>
      <c r="N8" s="19" t="str">
        <f t="shared" ref="N8:N15" si="7">IFERROR(J8-L8,"")</f>
        <v/>
      </c>
      <c r="O8" s="19">
        <f t="shared" ref="O8:O19" si="8">C8/36500</f>
        <v>9.369863013698631E-4</v>
      </c>
      <c r="P8" s="21">
        <f t="shared" ref="P8:P19" si="9">(O8*D8)*MIN(L8,I8)</f>
        <v>0</v>
      </c>
      <c r="Q8" s="22">
        <f t="shared" ref="Q8:Q19" si="10">IF(OR(L8&gt;I8,(H8-$B$3)-1&gt;31),0,(E8+P8))</f>
        <v>2908.09</v>
      </c>
      <c r="R8" s="23">
        <f t="shared" ref="R8:R19" si="11">IF(L8&gt;I8,0,(D8+Q8))</f>
        <v>103026.26</v>
      </c>
      <c r="S8" s="24">
        <v>0</v>
      </c>
      <c r="T8" s="22">
        <f t="shared" ref="T8:T19" si="12">IFERROR(IF(G8="",(R8*O8)*M8,((R8*O8)*N8)+(((R8-S8)*O8)*K8)),)</f>
        <v>2992.5600233424657</v>
      </c>
      <c r="U8" s="22">
        <f>P8+T8</f>
        <v>2992.5600233424657</v>
      </c>
      <c r="V8" s="25">
        <v>0</v>
      </c>
      <c r="W8" s="25">
        <v>0</v>
      </c>
      <c r="X8" s="26">
        <v>0</v>
      </c>
      <c r="Y8" s="26">
        <f>W8+X8</f>
        <v>0</v>
      </c>
      <c r="Z8" s="26">
        <f t="shared" ref="Z8:Z19" si="13">IF(W8=0,0,-(E8+U8-Q8-W8))</f>
        <v>0</v>
      </c>
      <c r="AA8" s="26">
        <f t="shared" ref="AA8:AA19" si="14">D8-S8+Q8-(V8-W8)</f>
        <v>103026.26</v>
      </c>
      <c r="AB8" s="26">
        <f t="shared" ref="AB8:AB19" si="15">E8+U8-Q8-W8+Z8</f>
        <v>2992.5600233424657</v>
      </c>
      <c r="AC8" s="22">
        <v>0</v>
      </c>
      <c r="AE8" s="27"/>
      <c r="AF8" s="27"/>
      <c r="AH8" s="11"/>
      <c r="AI8" s="11"/>
    </row>
    <row r="9" spans="1:35" x14ac:dyDescent="0.2">
      <c r="A9" s="13" t="s">
        <v>62</v>
      </c>
      <c r="B9" s="14">
        <v>44682</v>
      </c>
      <c r="C9" s="15">
        <v>34.200000000000003</v>
      </c>
      <c r="D9" s="16">
        <v>26698.39</v>
      </c>
      <c r="E9" s="17">
        <v>775.5</v>
      </c>
      <c r="F9" s="18"/>
      <c r="G9" s="18"/>
      <c r="H9" s="14">
        <f t="shared" si="1"/>
        <v>45658</v>
      </c>
      <c r="I9" s="19" t="str">
        <f t="shared" si="2"/>
        <v/>
      </c>
      <c r="J9" s="19" t="str">
        <f t="shared" si="3"/>
        <v/>
      </c>
      <c r="K9" s="20" t="str">
        <f t="shared" si="4"/>
        <v/>
      </c>
      <c r="L9" s="19">
        <f t="shared" si="5"/>
        <v>0</v>
      </c>
      <c r="M9" s="19">
        <f t="shared" si="6"/>
        <v>31</v>
      </c>
      <c r="N9" s="19" t="str">
        <f t="shared" si="7"/>
        <v/>
      </c>
      <c r="O9" s="19">
        <f t="shared" si="8"/>
        <v>9.369863013698631E-4</v>
      </c>
      <c r="P9" s="21">
        <f t="shared" si="9"/>
        <v>0</v>
      </c>
      <c r="Q9" s="22">
        <f t="shared" si="10"/>
        <v>775.5</v>
      </c>
      <c r="R9" s="23">
        <f t="shared" si="11"/>
        <v>27473.89</v>
      </c>
      <c r="S9" s="24">
        <v>0</v>
      </c>
      <c r="T9" s="22">
        <f t="shared" si="12"/>
        <v>798.02241583561647</v>
      </c>
      <c r="U9" s="22">
        <f t="shared" ref="U9:U19" si="16">P9+T9</f>
        <v>798.02241583561647</v>
      </c>
      <c r="V9" s="25">
        <v>0</v>
      </c>
      <c r="W9" s="25">
        <v>0</v>
      </c>
      <c r="X9" s="26">
        <v>0</v>
      </c>
      <c r="Y9" s="26">
        <f t="shared" ref="Y9:Y19" si="17">W9+X9</f>
        <v>0</v>
      </c>
      <c r="Z9" s="26">
        <f t="shared" si="13"/>
        <v>0</v>
      </c>
      <c r="AA9" s="26">
        <f t="shared" si="14"/>
        <v>27473.89</v>
      </c>
      <c r="AB9" s="26">
        <f t="shared" si="15"/>
        <v>798.02241583561636</v>
      </c>
      <c r="AC9" s="22">
        <v>0</v>
      </c>
      <c r="AE9" s="27"/>
      <c r="AF9" s="27"/>
    </row>
    <row r="10" spans="1:35" x14ac:dyDescent="0.2">
      <c r="A10" s="13" t="s">
        <v>63</v>
      </c>
      <c r="B10" s="14">
        <v>44698</v>
      </c>
      <c r="C10" s="15">
        <v>34.200000000000003</v>
      </c>
      <c r="D10" s="16">
        <v>194342.22</v>
      </c>
      <c r="E10" s="17">
        <v>2731.44</v>
      </c>
      <c r="F10" s="18"/>
      <c r="G10" s="18"/>
      <c r="H10" s="14">
        <f t="shared" si="1"/>
        <v>45674</v>
      </c>
      <c r="I10" s="19" t="str">
        <f t="shared" si="2"/>
        <v/>
      </c>
      <c r="J10" s="19" t="str">
        <f t="shared" si="3"/>
        <v/>
      </c>
      <c r="K10" s="20" t="str">
        <f t="shared" si="4"/>
        <v/>
      </c>
      <c r="L10" s="19">
        <f t="shared" si="5"/>
        <v>16</v>
      </c>
      <c r="M10" s="19">
        <f t="shared" si="6"/>
        <v>15</v>
      </c>
      <c r="N10" s="19" t="str">
        <f t="shared" si="7"/>
        <v/>
      </c>
      <c r="O10" s="19">
        <f t="shared" si="8"/>
        <v>9.369863013698631E-4</v>
      </c>
      <c r="P10" s="21">
        <f t="shared" si="9"/>
        <v>2913.5359666849317</v>
      </c>
      <c r="Q10" s="22">
        <f t="shared" si="10"/>
        <v>5644.9759666849313</v>
      </c>
      <c r="R10" s="23">
        <f t="shared" si="11"/>
        <v>199987.19596668493</v>
      </c>
      <c r="S10" s="24">
        <v>0</v>
      </c>
      <c r="T10" s="22">
        <f t="shared" si="12"/>
        <v>2810.7789460523118</v>
      </c>
      <c r="U10" s="22">
        <f t="shared" si="16"/>
        <v>5724.3149127372435</v>
      </c>
      <c r="V10" s="25">
        <v>0</v>
      </c>
      <c r="W10" s="25">
        <v>0</v>
      </c>
      <c r="X10" s="26">
        <v>0</v>
      </c>
      <c r="Y10" s="26">
        <f t="shared" si="17"/>
        <v>0</v>
      </c>
      <c r="Z10" s="26">
        <f t="shared" si="13"/>
        <v>0</v>
      </c>
      <c r="AA10" s="26">
        <f t="shared" si="14"/>
        <v>199987.19596668493</v>
      </c>
      <c r="AB10" s="26">
        <f t="shared" si="15"/>
        <v>2810.7789460523127</v>
      </c>
      <c r="AC10" s="22">
        <v>0</v>
      </c>
      <c r="AE10" s="27"/>
      <c r="AF10" s="27"/>
    </row>
    <row r="11" spans="1:35" x14ac:dyDescent="0.2">
      <c r="A11" s="13" t="s">
        <v>64</v>
      </c>
      <c r="B11" s="14">
        <v>44692</v>
      </c>
      <c r="C11" s="15">
        <v>34.200000000000003</v>
      </c>
      <c r="D11" s="16">
        <v>29927.08</v>
      </c>
      <c r="E11" s="17">
        <v>588.87</v>
      </c>
      <c r="F11" s="18"/>
      <c r="G11" s="18"/>
      <c r="H11" s="14">
        <f t="shared" si="1"/>
        <v>45668</v>
      </c>
      <c r="I11" s="19" t="str">
        <f t="shared" si="2"/>
        <v/>
      </c>
      <c r="J11" s="19" t="str">
        <f t="shared" si="3"/>
        <v/>
      </c>
      <c r="K11" s="20" t="str">
        <f t="shared" si="4"/>
        <v/>
      </c>
      <c r="L11" s="19">
        <f t="shared" si="5"/>
        <v>10</v>
      </c>
      <c r="M11" s="19">
        <f t="shared" si="6"/>
        <v>21</v>
      </c>
      <c r="N11" s="19" t="str">
        <f t="shared" si="7"/>
        <v/>
      </c>
      <c r="O11" s="19">
        <f t="shared" si="8"/>
        <v>9.369863013698631E-4</v>
      </c>
      <c r="P11" s="21">
        <f t="shared" si="9"/>
        <v>280.41264000000007</v>
      </c>
      <c r="Q11" s="22">
        <f t="shared" si="10"/>
        <v>869.28264000000013</v>
      </c>
      <c r="R11" s="23">
        <f t="shared" si="11"/>
        <v>30796.362640000003</v>
      </c>
      <c r="S11" s="24">
        <v>0</v>
      </c>
      <c r="T11" s="22">
        <f t="shared" si="12"/>
        <v>605.97116843967137</v>
      </c>
      <c r="U11" s="22">
        <f t="shared" si="16"/>
        <v>886.38380843967138</v>
      </c>
      <c r="V11" s="25">
        <v>0</v>
      </c>
      <c r="W11" s="25">
        <v>0</v>
      </c>
      <c r="X11" s="26">
        <v>0</v>
      </c>
      <c r="Y11" s="26">
        <f t="shared" si="17"/>
        <v>0</v>
      </c>
      <c r="Z11" s="26">
        <f t="shared" si="13"/>
        <v>0</v>
      </c>
      <c r="AA11" s="26">
        <f t="shared" si="14"/>
        <v>30796.362640000003</v>
      </c>
      <c r="AB11" s="26">
        <f t="shared" si="15"/>
        <v>605.97116843967137</v>
      </c>
      <c r="AC11" s="22">
        <v>0</v>
      </c>
      <c r="AE11" s="27"/>
      <c r="AF11" s="27"/>
    </row>
    <row r="12" spans="1:35" x14ac:dyDescent="0.2">
      <c r="A12" s="13" t="s">
        <v>65</v>
      </c>
      <c r="B12" s="14">
        <v>44692</v>
      </c>
      <c r="C12" s="15">
        <v>34.200000000000003</v>
      </c>
      <c r="D12" s="16">
        <v>23941.68</v>
      </c>
      <c r="E12" s="17">
        <v>471.09</v>
      </c>
      <c r="F12" s="18"/>
      <c r="G12" s="18"/>
      <c r="H12" s="14">
        <f t="shared" si="1"/>
        <v>45668</v>
      </c>
      <c r="I12" s="19" t="str">
        <f t="shared" si="2"/>
        <v/>
      </c>
      <c r="J12" s="19" t="str">
        <f t="shared" si="3"/>
        <v/>
      </c>
      <c r="K12" s="20" t="str">
        <f t="shared" si="4"/>
        <v/>
      </c>
      <c r="L12" s="19">
        <f t="shared" si="5"/>
        <v>10</v>
      </c>
      <c r="M12" s="19">
        <f t="shared" si="6"/>
        <v>21</v>
      </c>
      <c r="N12" s="19" t="str">
        <f t="shared" si="7"/>
        <v/>
      </c>
      <c r="O12" s="19">
        <f t="shared" si="8"/>
        <v>9.369863013698631E-4</v>
      </c>
      <c r="P12" s="21">
        <f t="shared" si="9"/>
        <v>224.33026191780826</v>
      </c>
      <c r="Q12" s="22">
        <f t="shared" si="10"/>
        <v>695.42026191780826</v>
      </c>
      <c r="R12" s="23">
        <f t="shared" si="11"/>
        <v>24637.100261917807</v>
      </c>
      <c r="S12" s="24">
        <v>0</v>
      </c>
      <c r="T12" s="22">
        <f t="shared" si="12"/>
        <v>484.77713446874986</v>
      </c>
      <c r="U12" s="22">
        <f t="shared" si="16"/>
        <v>709.10739638655809</v>
      </c>
      <c r="V12" s="25">
        <v>0</v>
      </c>
      <c r="W12" s="25">
        <v>0</v>
      </c>
      <c r="X12" s="26">
        <v>0</v>
      </c>
      <c r="Y12" s="26">
        <f t="shared" si="17"/>
        <v>0</v>
      </c>
      <c r="Z12" s="26">
        <f t="shared" si="13"/>
        <v>0</v>
      </c>
      <c r="AA12" s="26">
        <f t="shared" si="14"/>
        <v>24637.100261917807</v>
      </c>
      <c r="AB12" s="26">
        <f t="shared" si="15"/>
        <v>484.77713446874975</v>
      </c>
      <c r="AC12" s="22">
        <v>0</v>
      </c>
      <c r="AE12" s="27"/>
      <c r="AF12" s="27"/>
    </row>
    <row r="13" spans="1:35" x14ac:dyDescent="0.2">
      <c r="A13" s="13" t="s">
        <v>66</v>
      </c>
      <c r="B13" s="14">
        <v>44693</v>
      </c>
      <c r="C13" s="15">
        <v>34.200000000000003</v>
      </c>
      <c r="D13" s="16">
        <v>48930.259999999995</v>
      </c>
      <c r="E13" s="17">
        <v>916.94</v>
      </c>
      <c r="F13" s="18"/>
      <c r="G13" s="18"/>
      <c r="H13" s="14">
        <f t="shared" si="1"/>
        <v>45669</v>
      </c>
      <c r="I13" s="19" t="str">
        <f t="shared" si="2"/>
        <v/>
      </c>
      <c r="J13" s="19" t="str">
        <f t="shared" si="3"/>
        <v/>
      </c>
      <c r="K13" s="20" t="str">
        <f t="shared" si="4"/>
        <v/>
      </c>
      <c r="L13" s="19">
        <f t="shared" si="5"/>
        <v>11</v>
      </c>
      <c r="M13" s="19">
        <f t="shared" si="6"/>
        <v>20</v>
      </c>
      <c r="N13" s="19" t="str">
        <f t="shared" si="7"/>
        <v/>
      </c>
      <c r="O13" s="19">
        <f t="shared" si="8"/>
        <v>9.369863013698631E-4</v>
      </c>
      <c r="P13" s="21">
        <f t="shared" si="9"/>
        <v>504.31681676712333</v>
      </c>
      <c r="Q13" s="22">
        <f t="shared" si="10"/>
        <v>1421.2568167671234</v>
      </c>
      <c r="R13" s="23">
        <f t="shared" si="11"/>
        <v>50351.516816767122</v>
      </c>
      <c r="S13" s="24">
        <v>0</v>
      </c>
      <c r="T13" s="22">
        <f t="shared" si="12"/>
        <v>943.57363021010178</v>
      </c>
      <c r="U13" s="22">
        <f t="shared" si="16"/>
        <v>1447.8904469772251</v>
      </c>
      <c r="V13" s="25">
        <v>0</v>
      </c>
      <c r="W13" s="25">
        <v>0</v>
      </c>
      <c r="X13" s="26">
        <v>0</v>
      </c>
      <c r="Y13" s="26">
        <f t="shared" si="17"/>
        <v>0</v>
      </c>
      <c r="Z13" s="26">
        <f t="shared" si="13"/>
        <v>0</v>
      </c>
      <c r="AA13" s="26">
        <f t="shared" si="14"/>
        <v>50351.516816767122</v>
      </c>
      <c r="AB13" s="26">
        <f t="shared" si="15"/>
        <v>943.57363021010178</v>
      </c>
      <c r="AC13" s="22">
        <v>0</v>
      </c>
      <c r="AE13" s="27"/>
      <c r="AF13" s="27"/>
    </row>
    <row r="14" spans="1:35" x14ac:dyDescent="0.2">
      <c r="A14" s="13" t="s">
        <v>67</v>
      </c>
      <c r="B14" s="14">
        <v>44979</v>
      </c>
      <c r="C14" s="15">
        <v>34.200000000000003</v>
      </c>
      <c r="D14" s="16">
        <v>18184.289999999997</v>
      </c>
      <c r="E14" s="17">
        <v>170.38</v>
      </c>
      <c r="F14" s="14">
        <v>45674</v>
      </c>
      <c r="G14" s="14"/>
      <c r="H14" s="14">
        <f t="shared" si="1"/>
        <v>45679</v>
      </c>
      <c r="I14" s="19">
        <f t="shared" si="2"/>
        <v>16</v>
      </c>
      <c r="J14" s="19" t="str">
        <f t="shared" si="3"/>
        <v/>
      </c>
      <c r="K14" s="20" t="str">
        <f t="shared" si="4"/>
        <v/>
      </c>
      <c r="L14" s="19">
        <f t="shared" si="5"/>
        <v>21</v>
      </c>
      <c r="M14" s="19">
        <f t="shared" si="6"/>
        <v>1</v>
      </c>
      <c r="N14" s="19" t="str">
        <f t="shared" si="7"/>
        <v/>
      </c>
      <c r="O14" s="19">
        <f t="shared" si="8"/>
        <v>9.369863013698631E-4</v>
      </c>
      <c r="P14" s="21">
        <f t="shared" si="9"/>
        <v>272.61489008219178</v>
      </c>
      <c r="Q14" s="22">
        <f t="shared" si="10"/>
        <v>0</v>
      </c>
      <c r="R14" s="23">
        <f t="shared" si="11"/>
        <v>0</v>
      </c>
      <c r="S14" s="24">
        <v>0</v>
      </c>
      <c r="T14" s="22">
        <f t="shared" si="12"/>
        <v>0</v>
      </c>
      <c r="U14" s="22">
        <f t="shared" si="16"/>
        <v>272.61489008219178</v>
      </c>
      <c r="V14" s="25">
        <v>18780.5</v>
      </c>
      <c r="W14" s="25">
        <v>596.21000000000276</v>
      </c>
      <c r="X14" s="26">
        <v>0</v>
      </c>
      <c r="Y14" s="26">
        <f t="shared" si="17"/>
        <v>596.21000000000276</v>
      </c>
      <c r="Z14" s="26">
        <f t="shared" si="13"/>
        <v>153.21510991781099</v>
      </c>
      <c r="AA14" s="26">
        <f t="shared" si="14"/>
        <v>0</v>
      </c>
      <c r="AB14" s="26">
        <f t="shared" si="15"/>
        <v>0</v>
      </c>
      <c r="AC14" s="22">
        <v>0</v>
      </c>
      <c r="AE14" s="27"/>
      <c r="AF14" s="27"/>
    </row>
    <row r="15" spans="1:35" x14ac:dyDescent="0.2">
      <c r="A15" s="13" t="s">
        <v>68</v>
      </c>
      <c r="B15" s="14">
        <v>44979</v>
      </c>
      <c r="C15" s="15">
        <v>34.200000000000003</v>
      </c>
      <c r="D15" s="16">
        <v>18184.289999999997</v>
      </c>
      <c r="E15" s="17">
        <v>170.38</v>
      </c>
      <c r="F15" s="14">
        <v>45682</v>
      </c>
      <c r="G15" s="14"/>
      <c r="H15" s="14">
        <f t="shared" si="1"/>
        <v>45679</v>
      </c>
      <c r="I15" s="19">
        <f t="shared" si="2"/>
        <v>24</v>
      </c>
      <c r="J15" s="19" t="str">
        <f t="shared" si="3"/>
        <v/>
      </c>
      <c r="K15" s="20" t="str">
        <f t="shared" si="4"/>
        <v/>
      </c>
      <c r="L15" s="19">
        <f t="shared" si="5"/>
        <v>21</v>
      </c>
      <c r="M15" s="19">
        <f t="shared" si="6"/>
        <v>3</v>
      </c>
      <c r="N15" s="19" t="str">
        <f t="shared" si="7"/>
        <v/>
      </c>
      <c r="O15" s="19">
        <f t="shared" si="8"/>
        <v>9.369863013698631E-4</v>
      </c>
      <c r="P15" s="21">
        <f t="shared" si="9"/>
        <v>357.80704323287671</v>
      </c>
      <c r="Q15" s="22">
        <f t="shared" si="10"/>
        <v>528.1870432328767</v>
      </c>
      <c r="R15" s="23">
        <f t="shared" si="11"/>
        <v>18712.477043232873</v>
      </c>
      <c r="S15" s="24">
        <v>0</v>
      </c>
      <c r="T15" s="22">
        <f t="shared" si="12"/>
        <v>52.600003962621727</v>
      </c>
      <c r="U15" s="22">
        <f t="shared" si="16"/>
        <v>410.40704719549842</v>
      </c>
      <c r="V15" s="25">
        <v>18742.477043232873</v>
      </c>
      <c r="W15" s="25">
        <v>30</v>
      </c>
      <c r="X15" s="26">
        <v>0</v>
      </c>
      <c r="Y15" s="26">
        <f t="shared" si="17"/>
        <v>30</v>
      </c>
      <c r="Z15" s="26">
        <f t="shared" si="13"/>
        <v>-22.600003962621713</v>
      </c>
      <c r="AA15" s="26">
        <f t="shared" si="14"/>
        <v>0</v>
      </c>
      <c r="AB15" s="26">
        <f t="shared" si="15"/>
        <v>0</v>
      </c>
      <c r="AC15" s="22">
        <v>0</v>
      </c>
      <c r="AE15" s="27"/>
      <c r="AF15" s="27"/>
    </row>
    <row r="16" spans="1:35" x14ac:dyDescent="0.2">
      <c r="A16" s="13" t="s">
        <v>69</v>
      </c>
      <c r="B16" s="14">
        <v>45387</v>
      </c>
      <c r="C16" s="15">
        <v>39.11999999999999</v>
      </c>
      <c r="D16" s="16">
        <v>65296.259999999995</v>
      </c>
      <c r="E16" s="17">
        <v>1891.53</v>
      </c>
      <c r="F16" s="18"/>
      <c r="G16" s="14">
        <v>45681</v>
      </c>
      <c r="H16" s="14">
        <f t="shared" si="1"/>
        <v>45662</v>
      </c>
      <c r="I16" s="19" t="str">
        <f t="shared" si="2"/>
        <v/>
      </c>
      <c r="J16" s="19">
        <f>IFERROR(DAY(G16-1),"")</f>
        <v>23</v>
      </c>
      <c r="K16" s="20">
        <f t="shared" si="4"/>
        <v>8</v>
      </c>
      <c r="L16" s="19">
        <f t="shared" si="5"/>
        <v>4</v>
      </c>
      <c r="M16" s="19">
        <f t="shared" si="6"/>
        <v>27</v>
      </c>
      <c r="N16" s="19">
        <f>IFERROR(J16-L16,"")</f>
        <v>19</v>
      </c>
      <c r="O16" s="19">
        <f t="shared" si="8"/>
        <v>1.0717808219178079E-3</v>
      </c>
      <c r="P16" s="21">
        <f t="shared" si="9"/>
        <v>279.93311684383553</v>
      </c>
      <c r="Q16" s="22">
        <f t="shared" si="10"/>
        <v>2171.4631168438355</v>
      </c>
      <c r="R16" s="23">
        <f t="shared" si="11"/>
        <v>67467.72311684383</v>
      </c>
      <c r="S16" s="25">
        <v>6330.72</v>
      </c>
      <c r="T16" s="22">
        <f t="shared" si="12"/>
        <v>1898.1053625680852</v>
      </c>
      <c r="U16" s="22">
        <f t="shared" si="16"/>
        <v>2178.0384794119209</v>
      </c>
      <c r="V16" s="24">
        <v>0</v>
      </c>
      <c r="W16" s="25">
        <v>0</v>
      </c>
      <c r="X16" s="26">
        <v>0</v>
      </c>
      <c r="Y16" s="26">
        <f t="shared" si="17"/>
        <v>0</v>
      </c>
      <c r="Z16" s="26">
        <f t="shared" si="13"/>
        <v>0</v>
      </c>
      <c r="AA16" s="26">
        <f t="shared" si="14"/>
        <v>61137.003116843829</v>
      </c>
      <c r="AB16" s="26">
        <f t="shared" si="15"/>
        <v>1898.1053625680852</v>
      </c>
      <c r="AC16" s="28">
        <v>0</v>
      </c>
      <c r="AE16" s="27"/>
      <c r="AF16" s="27"/>
    </row>
    <row r="17" spans="1:35" x14ac:dyDescent="0.2">
      <c r="A17" s="13" t="s">
        <v>70</v>
      </c>
      <c r="B17" s="14">
        <v>45519</v>
      </c>
      <c r="C17" s="15">
        <v>14.0703</v>
      </c>
      <c r="D17" s="16">
        <v>31064.739999999998</v>
      </c>
      <c r="E17" s="17">
        <v>203.58</v>
      </c>
      <c r="F17" s="18"/>
      <c r="G17" s="14">
        <v>45313</v>
      </c>
      <c r="H17" s="14">
        <f t="shared" si="1"/>
        <v>45672</v>
      </c>
      <c r="I17" s="19" t="str">
        <f t="shared" si="2"/>
        <v/>
      </c>
      <c r="J17" s="19">
        <f t="shared" ref="J17:J19" si="18">IFERROR(DAY(G17-1),"")</f>
        <v>21</v>
      </c>
      <c r="K17" s="20">
        <f t="shared" si="4"/>
        <v>10</v>
      </c>
      <c r="L17" s="19">
        <f t="shared" si="5"/>
        <v>14</v>
      </c>
      <c r="M17" s="19">
        <f t="shared" si="6"/>
        <v>17</v>
      </c>
      <c r="N17" s="19">
        <f t="shared" ref="N17:N19" si="19">IFERROR(J17-L17,"")</f>
        <v>7</v>
      </c>
      <c r="O17" s="19">
        <f t="shared" si="8"/>
        <v>3.8548767123287669E-4</v>
      </c>
      <c r="P17" s="21">
        <f t="shared" si="9"/>
        <v>167.65103992076709</v>
      </c>
      <c r="Q17" s="22">
        <f t="shared" si="10"/>
        <v>371.2310399207671</v>
      </c>
      <c r="R17" s="23">
        <f t="shared" si="11"/>
        <v>31435.971039920765</v>
      </c>
      <c r="S17" s="25">
        <v>6000</v>
      </c>
      <c r="T17" s="22">
        <f t="shared" si="12"/>
        <v>182.87978730112195</v>
      </c>
      <c r="U17" s="22">
        <f t="shared" si="16"/>
        <v>350.53082722188901</v>
      </c>
      <c r="V17" s="24">
        <v>0</v>
      </c>
      <c r="W17" s="25">
        <v>0</v>
      </c>
      <c r="X17" s="26">
        <v>0</v>
      </c>
      <c r="Y17" s="26">
        <f t="shared" si="17"/>
        <v>0</v>
      </c>
      <c r="Z17" s="26">
        <f t="shared" si="13"/>
        <v>0</v>
      </c>
      <c r="AA17" s="26">
        <f t="shared" si="14"/>
        <v>25435.971039920765</v>
      </c>
      <c r="AB17" s="26">
        <f t="shared" si="15"/>
        <v>182.87978730112195</v>
      </c>
      <c r="AC17" s="28">
        <v>0</v>
      </c>
      <c r="AE17" s="27"/>
      <c r="AF17" s="27"/>
    </row>
    <row r="18" spans="1:35" x14ac:dyDescent="0.2">
      <c r="A18" s="13" t="s">
        <v>71</v>
      </c>
      <c r="B18" s="29">
        <v>45659</v>
      </c>
      <c r="C18" s="15">
        <v>8.8800000000000008</v>
      </c>
      <c r="D18" s="17">
        <v>870</v>
      </c>
      <c r="E18" s="13"/>
      <c r="F18" s="18"/>
      <c r="G18" s="18"/>
      <c r="H18" s="14">
        <f t="shared" si="1"/>
        <v>45690</v>
      </c>
      <c r="I18" s="19" t="str">
        <f t="shared" si="2"/>
        <v/>
      </c>
      <c r="J18" s="19" t="str">
        <f t="shared" si="18"/>
        <v/>
      </c>
      <c r="K18" s="20" t="str">
        <f t="shared" si="4"/>
        <v/>
      </c>
      <c r="L18" s="19">
        <f t="shared" si="5"/>
        <v>30</v>
      </c>
      <c r="M18" s="19" t="str">
        <f t="shared" si="6"/>
        <v/>
      </c>
      <c r="N18" s="19" t="str">
        <f t="shared" si="19"/>
        <v/>
      </c>
      <c r="O18" s="19">
        <f t="shared" si="8"/>
        <v>2.4328767123287673E-4</v>
      </c>
      <c r="P18" s="21">
        <f t="shared" si="9"/>
        <v>6.3498082191780831</v>
      </c>
      <c r="Q18" s="22">
        <f t="shared" si="10"/>
        <v>0</v>
      </c>
      <c r="R18" s="23">
        <f t="shared" si="11"/>
        <v>870</v>
      </c>
      <c r="S18" s="24">
        <v>0</v>
      </c>
      <c r="T18" s="22">
        <f t="shared" si="12"/>
        <v>0</v>
      </c>
      <c r="U18" s="22">
        <f t="shared" si="16"/>
        <v>6.3498082191780831</v>
      </c>
      <c r="V18" s="30">
        <v>0</v>
      </c>
      <c r="W18" s="30">
        <v>0</v>
      </c>
      <c r="X18" s="26">
        <v>0</v>
      </c>
      <c r="Y18" s="26">
        <f t="shared" si="17"/>
        <v>0</v>
      </c>
      <c r="Z18" s="26">
        <f t="shared" si="13"/>
        <v>0</v>
      </c>
      <c r="AA18" s="26">
        <f t="shared" si="14"/>
        <v>870</v>
      </c>
      <c r="AB18" s="26">
        <f t="shared" si="15"/>
        <v>6.3498082191780831</v>
      </c>
      <c r="AC18" s="26">
        <v>0</v>
      </c>
      <c r="AE18" s="27"/>
      <c r="AF18" s="27"/>
    </row>
    <row r="19" spans="1:35" x14ac:dyDescent="0.2">
      <c r="A19" s="18" t="s">
        <v>72</v>
      </c>
      <c r="B19" s="29">
        <v>45672</v>
      </c>
      <c r="C19" s="15">
        <v>8.8800000000000008</v>
      </c>
      <c r="D19" s="17">
        <v>1427.27</v>
      </c>
      <c r="E19" s="13"/>
      <c r="F19" s="18"/>
      <c r="G19" s="18"/>
      <c r="H19" s="14">
        <f t="shared" si="1"/>
        <v>45703</v>
      </c>
      <c r="I19" s="19" t="str">
        <f t="shared" si="2"/>
        <v/>
      </c>
      <c r="J19" s="19" t="str">
        <f t="shared" si="18"/>
        <v/>
      </c>
      <c r="K19" s="20" t="str">
        <f t="shared" si="4"/>
        <v/>
      </c>
      <c r="L19" s="19">
        <f t="shared" si="5"/>
        <v>17</v>
      </c>
      <c r="M19" s="19" t="str">
        <f t="shared" si="6"/>
        <v/>
      </c>
      <c r="N19" s="19" t="str">
        <f t="shared" si="19"/>
        <v/>
      </c>
      <c r="O19" s="19">
        <f t="shared" si="8"/>
        <v>2.4328767123287673E-4</v>
      </c>
      <c r="P19" s="21">
        <f t="shared" si="9"/>
        <v>5.9030323068493153</v>
      </c>
      <c r="Q19" s="22">
        <f t="shared" si="10"/>
        <v>0</v>
      </c>
      <c r="R19" s="23">
        <f t="shared" si="11"/>
        <v>1427.27</v>
      </c>
      <c r="S19" s="24">
        <v>0</v>
      </c>
      <c r="T19" s="22">
        <f t="shared" si="12"/>
        <v>0</v>
      </c>
      <c r="U19" s="22">
        <f t="shared" si="16"/>
        <v>5.9030323068493153</v>
      </c>
      <c r="V19" s="30">
        <v>0</v>
      </c>
      <c r="W19" s="30">
        <v>0</v>
      </c>
      <c r="X19" s="26">
        <v>0</v>
      </c>
      <c r="Y19" s="26">
        <f t="shared" si="17"/>
        <v>0</v>
      </c>
      <c r="Z19" s="26">
        <f t="shared" si="13"/>
        <v>0</v>
      </c>
      <c r="AA19" s="26">
        <f t="shared" si="14"/>
        <v>1427.27</v>
      </c>
      <c r="AB19" s="26">
        <f t="shared" si="15"/>
        <v>5.9030323068493153</v>
      </c>
      <c r="AC19" s="26">
        <v>0</v>
      </c>
      <c r="AE19" s="27"/>
      <c r="AF19" s="27"/>
    </row>
    <row r="21" spans="1:35" ht="15" x14ac:dyDescent="0.25">
      <c r="A21" s="8" t="s">
        <v>28</v>
      </c>
      <c r="B21" s="9">
        <f>EOMONTH(B22,-1)</f>
        <v>45657</v>
      </c>
    </row>
    <row r="22" spans="1:35" ht="15" x14ac:dyDescent="0.25">
      <c r="A22" s="8" t="s">
        <v>30</v>
      </c>
      <c r="B22" s="9">
        <v>45688</v>
      </c>
    </row>
    <row r="23" spans="1:35" ht="15" x14ac:dyDescent="0.25">
      <c r="A23" s="8" t="s">
        <v>31</v>
      </c>
      <c r="B23" s="32" t="s">
        <v>74</v>
      </c>
      <c r="T23" s="33"/>
    </row>
    <row r="24" spans="1:35" x14ac:dyDescent="0.2">
      <c r="A24" s="6">
        <f>COLUMN(A25)</f>
        <v>1</v>
      </c>
      <c r="B24" s="6">
        <f t="shared" ref="B24:AA24" si="20">COLUMN(B25)</f>
        <v>2</v>
      </c>
      <c r="C24" s="6">
        <f t="shared" si="20"/>
        <v>3</v>
      </c>
      <c r="D24" s="6">
        <f t="shared" si="20"/>
        <v>4</v>
      </c>
      <c r="E24" s="6">
        <f t="shared" si="20"/>
        <v>5</v>
      </c>
      <c r="F24" s="6">
        <f t="shared" si="20"/>
        <v>6</v>
      </c>
      <c r="G24" s="6">
        <f t="shared" si="20"/>
        <v>7</v>
      </c>
      <c r="H24" s="6">
        <f t="shared" si="20"/>
        <v>8</v>
      </c>
      <c r="I24" s="6">
        <f t="shared" si="20"/>
        <v>9</v>
      </c>
      <c r="J24" s="6">
        <f t="shared" si="20"/>
        <v>10</v>
      </c>
      <c r="K24" s="6">
        <f t="shared" si="20"/>
        <v>11</v>
      </c>
      <c r="L24" s="6">
        <f t="shared" si="20"/>
        <v>12</v>
      </c>
      <c r="M24" s="6">
        <f t="shared" si="20"/>
        <v>13</v>
      </c>
      <c r="N24" s="6">
        <f t="shared" si="20"/>
        <v>14</v>
      </c>
      <c r="O24" s="6">
        <f t="shared" si="20"/>
        <v>15</v>
      </c>
      <c r="P24" s="6">
        <f t="shared" si="20"/>
        <v>16</v>
      </c>
      <c r="Q24" s="6">
        <f t="shared" si="20"/>
        <v>17</v>
      </c>
      <c r="R24" s="6">
        <f t="shared" si="20"/>
        <v>18</v>
      </c>
      <c r="S24" s="6">
        <f t="shared" si="20"/>
        <v>19</v>
      </c>
      <c r="T24" s="6">
        <f t="shared" si="20"/>
        <v>20</v>
      </c>
      <c r="U24" s="6">
        <f t="shared" si="20"/>
        <v>21</v>
      </c>
      <c r="V24" s="6">
        <f t="shared" si="20"/>
        <v>22</v>
      </c>
      <c r="W24" s="6">
        <f t="shared" si="20"/>
        <v>23</v>
      </c>
      <c r="X24" s="6">
        <f t="shared" si="20"/>
        <v>24</v>
      </c>
      <c r="Y24" s="6">
        <f t="shared" si="20"/>
        <v>25</v>
      </c>
      <c r="Z24" s="6">
        <f t="shared" si="20"/>
        <v>26</v>
      </c>
      <c r="AA24" s="6">
        <f t="shared" si="20"/>
        <v>27</v>
      </c>
    </row>
    <row r="25" spans="1:35" ht="75" x14ac:dyDescent="0.2">
      <c r="A25" s="48" t="s">
        <v>33</v>
      </c>
      <c r="B25" s="48" t="s">
        <v>34</v>
      </c>
      <c r="C25" s="48" t="s">
        <v>35</v>
      </c>
      <c r="D25" s="48" t="s">
        <v>36</v>
      </c>
      <c r="E25" s="48" t="s">
        <v>37</v>
      </c>
      <c r="F25" s="49" t="s">
        <v>75</v>
      </c>
      <c r="G25" s="48" t="s">
        <v>76</v>
      </c>
      <c r="H25" s="48" t="s">
        <v>77</v>
      </c>
      <c r="I25" s="48" t="s">
        <v>78</v>
      </c>
      <c r="J25" s="48" t="s">
        <v>79</v>
      </c>
      <c r="K25" s="48" t="s">
        <v>39</v>
      </c>
      <c r="L25" s="48" t="s">
        <v>38</v>
      </c>
      <c r="M25" s="48" t="s">
        <v>80</v>
      </c>
      <c r="N25" s="48" t="s">
        <v>81</v>
      </c>
      <c r="O25" s="48" t="s">
        <v>82</v>
      </c>
      <c r="P25" s="48" t="s">
        <v>83</v>
      </c>
      <c r="Q25" s="48" t="s">
        <v>84</v>
      </c>
      <c r="R25" s="48" t="s">
        <v>85</v>
      </c>
      <c r="S25" s="48" t="s">
        <v>51</v>
      </c>
      <c r="T25" s="48" t="s">
        <v>86</v>
      </c>
      <c r="U25" s="48" t="s">
        <v>55</v>
      </c>
      <c r="V25" s="48" t="s">
        <v>56</v>
      </c>
      <c r="W25" s="48" t="s">
        <v>57</v>
      </c>
      <c r="X25" s="48" t="s">
        <v>58</v>
      </c>
      <c r="Y25" s="48" t="s">
        <v>87</v>
      </c>
      <c r="Z25" s="48" t="s">
        <v>59</v>
      </c>
      <c r="AA25" s="48" t="s">
        <v>88</v>
      </c>
    </row>
    <row r="26" spans="1:35" x14ac:dyDescent="0.2">
      <c r="A26" s="13" t="s">
        <v>89</v>
      </c>
      <c r="B26" s="14">
        <v>44687</v>
      </c>
      <c r="C26" s="15">
        <v>24</v>
      </c>
      <c r="D26" s="34">
        <v>675</v>
      </c>
      <c r="E26" s="35">
        <v>471.46</v>
      </c>
      <c r="F26" s="35">
        <f t="shared" ref="F26:F35" si="21">DAY($B$22)</f>
        <v>31</v>
      </c>
      <c r="G26" s="19">
        <f t="shared" ref="G26:G35" si="22">IF(L26="",0,(L26-$B$21)-1)</f>
        <v>0</v>
      </c>
      <c r="H26" s="19">
        <f t="shared" ref="H26:H35" si="23">IF(K26="",0,(K26-$B$21)-1)</f>
        <v>0</v>
      </c>
      <c r="I26" s="19">
        <f>IF(
    ((YEAR($B$22)-YEAR(B26))*12 + (MONTH($B$22)-MONTH(B26)) - --(DAY($B$22)&lt;DAY(B26))) = 0,
    $B$22 - B26 + 1,
    0
)</f>
        <v>0</v>
      </c>
      <c r="J26" s="19">
        <f t="shared" ref="J26:J35" si="24">C26/36500</f>
        <v>6.5753424657534248E-4</v>
      </c>
      <c r="K26" s="18"/>
      <c r="L26" s="18"/>
      <c r="M26" s="36">
        <f t="shared" ref="M26:M35" si="25">IF(
    AND(
        L26="",
        K26="",
        ((YEAR($B$22)-YEAR(B26))*12 + (MONTH($B$22)-MONTH(B26)) - --(DAY($B$22)&lt;DAY(B26)))&lt;&gt;0
    ),
    ((J26-S26)*D26)*F26,
    0
)</f>
        <v>13.758904109589041</v>
      </c>
      <c r="N26" s="37">
        <f t="shared" ref="N26:N35" si="26">((J26*D26)*G26)</f>
        <v>0</v>
      </c>
      <c r="O26" s="37">
        <f t="shared" ref="O26:O35" si="27">IF(K26="",0,((D26*J26)*H26)+(((D26-S26)*J26)*(F26-H26)))</f>
        <v>0</v>
      </c>
      <c r="P26" s="37">
        <f>IF(
    ((YEAR($B$22)-YEAR(B26))*12 + (MONTH($B$22)-MONTH(B26)) - --(DAY($B$22)&lt;DAY(B26)))=0,
    (D26*J26)*I26,
    0
)</f>
        <v>0</v>
      </c>
      <c r="Q26" s="37">
        <f t="shared" ref="Q26:Q35" si="28">M26+N26+O26+P26</f>
        <v>13.758904109589041</v>
      </c>
      <c r="R26" s="36">
        <v>0</v>
      </c>
      <c r="S26" s="37">
        <v>0</v>
      </c>
      <c r="T26" s="38">
        <v>0</v>
      </c>
      <c r="U26" s="38">
        <v>0</v>
      </c>
      <c r="V26" s="38">
        <v>0</v>
      </c>
      <c r="W26" s="38">
        <f t="shared" ref="W26:W35" si="29">U26+V26</f>
        <v>0</v>
      </c>
      <c r="X26" s="38">
        <f t="shared" ref="X26:X35" si="30">IF(W26=0,0,-(E26+Q26-W26))</f>
        <v>0</v>
      </c>
      <c r="Y26" s="38">
        <f t="shared" ref="Y26:Y35" si="31">X26+Q26</f>
        <v>13.758904109589041</v>
      </c>
      <c r="Z26" s="38">
        <f t="shared" ref="Z26:Z35" si="32">D26-S26-(T26-U26)</f>
        <v>675</v>
      </c>
      <c r="AA26" s="38">
        <f t="shared" ref="AA26:AA35" si="33">E26+Q26-W26+X26</f>
        <v>485.218904109589</v>
      </c>
      <c r="AE26" s="27"/>
      <c r="AF26" s="27"/>
      <c r="AG26" s="11"/>
      <c r="AH26" s="11"/>
      <c r="AI26" s="11"/>
    </row>
    <row r="27" spans="1:35" x14ac:dyDescent="0.2">
      <c r="A27" s="13" t="s">
        <v>90</v>
      </c>
      <c r="B27" s="14">
        <v>44687</v>
      </c>
      <c r="C27" s="15">
        <v>24</v>
      </c>
      <c r="D27" s="34">
        <v>7587.83</v>
      </c>
      <c r="E27" s="35">
        <v>5299.84</v>
      </c>
      <c r="F27" s="35">
        <f t="shared" si="21"/>
        <v>31</v>
      </c>
      <c r="G27" s="19">
        <f t="shared" si="22"/>
        <v>0</v>
      </c>
      <c r="H27" s="19">
        <f t="shared" si="23"/>
        <v>0</v>
      </c>
      <c r="I27" s="19">
        <f t="shared" ref="I27:I35" si="34">IF(
    ((YEAR($B$22)-YEAR(B27))*12 + (MONTH($B$22)-MONTH(B27)) - --(DAY($B$22)&lt;DAY(B27))) = 0,
    $B$22 - B27 + 1,
    0
)</f>
        <v>0</v>
      </c>
      <c r="J27" s="19">
        <f t="shared" si="24"/>
        <v>6.5753424657534248E-4</v>
      </c>
      <c r="K27" s="18"/>
      <c r="L27" s="18"/>
      <c r="M27" s="36">
        <f t="shared" si="25"/>
        <v>154.66700054794521</v>
      </c>
      <c r="N27" s="37">
        <f t="shared" si="26"/>
        <v>0</v>
      </c>
      <c r="O27" s="37">
        <f t="shared" si="27"/>
        <v>0</v>
      </c>
      <c r="P27" s="37">
        <f t="shared" ref="P27:P35" si="35">IF(
    ((YEAR($B$22)-YEAR(B27))*12 + (MONTH($B$22)-MONTH(B27)) - --(DAY($B$22)&lt;DAY(B27)))=0,
    (D27*J27)*I27,
    0
)</f>
        <v>0</v>
      </c>
      <c r="Q27" s="37">
        <f t="shared" si="28"/>
        <v>154.66700054794521</v>
      </c>
      <c r="R27" s="36">
        <v>0</v>
      </c>
      <c r="S27" s="37">
        <v>0</v>
      </c>
      <c r="T27" s="38">
        <v>0</v>
      </c>
      <c r="U27" s="38">
        <v>0</v>
      </c>
      <c r="V27" s="38">
        <v>0</v>
      </c>
      <c r="W27" s="38">
        <f t="shared" si="29"/>
        <v>0</v>
      </c>
      <c r="X27" s="38">
        <f t="shared" si="30"/>
        <v>0</v>
      </c>
      <c r="Y27" s="38">
        <f t="shared" si="31"/>
        <v>154.66700054794521</v>
      </c>
      <c r="Z27" s="38">
        <f t="shared" si="32"/>
        <v>7587.83</v>
      </c>
      <c r="AA27" s="38">
        <f t="shared" si="33"/>
        <v>5454.5070005479456</v>
      </c>
      <c r="AE27" s="27"/>
      <c r="AF27" s="27"/>
      <c r="AG27" s="11"/>
      <c r="AH27" s="11"/>
      <c r="AI27" s="11"/>
    </row>
    <row r="28" spans="1:35" x14ac:dyDescent="0.2">
      <c r="A28" s="13" t="s">
        <v>91</v>
      </c>
      <c r="B28" s="14">
        <v>44687</v>
      </c>
      <c r="C28" s="15">
        <v>24</v>
      </c>
      <c r="D28" s="34">
        <v>6000.0000000000009</v>
      </c>
      <c r="E28" s="35">
        <v>4190.79</v>
      </c>
      <c r="F28" s="35">
        <f t="shared" si="21"/>
        <v>31</v>
      </c>
      <c r="G28" s="19">
        <f t="shared" si="22"/>
        <v>0</v>
      </c>
      <c r="H28" s="19">
        <f t="shared" si="23"/>
        <v>0</v>
      </c>
      <c r="I28" s="19">
        <f t="shared" si="34"/>
        <v>0</v>
      </c>
      <c r="J28" s="19">
        <f t="shared" si="24"/>
        <v>6.5753424657534248E-4</v>
      </c>
      <c r="K28" s="18"/>
      <c r="L28" s="18"/>
      <c r="M28" s="36">
        <f t="shared" si="25"/>
        <v>122.30136986301372</v>
      </c>
      <c r="N28" s="37">
        <f t="shared" si="26"/>
        <v>0</v>
      </c>
      <c r="O28" s="37">
        <f t="shared" si="27"/>
        <v>0</v>
      </c>
      <c r="P28" s="37">
        <f t="shared" si="35"/>
        <v>0</v>
      </c>
      <c r="Q28" s="37">
        <f t="shared" si="28"/>
        <v>122.30136986301372</v>
      </c>
      <c r="R28" s="36">
        <v>0</v>
      </c>
      <c r="S28" s="37">
        <v>0</v>
      </c>
      <c r="T28" s="38">
        <v>0</v>
      </c>
      <c r="U28" s="38">
        <v>0</v>
      </c>
      <c r="V28" s="38">
        <v>0</v>
      </c>
      <c r="W28" s="38">
        <f t="shared" si="29"/>
        <v>0</v>
      </c>
      <c r="X28" s="38">
        <f t="shared" si="30"/>
        <v>0</v>
      </c>
      <c r="Y28" s="38">
        <f t="shared" si="31"/>
        <v>122.30136986301372</v>
      </c>
      <c r="Z28" s="38">
        <f t="shared" si="32"/>
        <v>6000.0000000000009</v>
      </c>
      <c r="AA28" s="38">
        <f t="shared" si="33"/>
        <v>4313.0913698630138</v>
      </c>
      <c r="AE28" s="27"/>
      <c r="AF28" s="27"/>
      <c r="AG28" s="11"/>
      <c r="AH28" s="11"/>
    </row>
    <row r="29" spans="1:35" x14ac:dyDescent="0.2">
      <c r="A29" s="13" t="s">
        <v>92</v>
      </c>
      <c r="B29" s="14">
        <v>44687</v>
      </c>
      <c r="C29" s="15">
        <v>24</v>
      </c>
      <c r="D29" s="34">
        <v>34048.19</v>
      </c>
      <c r="E29" s="35">
        <v>23781.49</v>
      </c>
      <c r="F29" s="35">
        <f t="shared" si="21"/>
        <v>31</v>
      </c>
      <c r="G29" s="19">
        <f t="shared" si="22"/>
        <v>0</v>
      </c>
      <c r="H29" s="19">
        <f t="shared" si="23"/>
        <v>0</v>
      </c>
      <c r="I29" s="19">
        <f t="shared" si="34"/>
        <v>0</v>
      </c>
      <c r="J29" s="19">
        <f t="shared" si="24"/>
        <v>6.5753424657534248E-4</v>
      </c>
      <c r="K29" s="18"/>
      <c r="L29" s="18"/>
      <c r="M29" s="36">
        <f t="shared" si="25"/>
        <v>694.02337972602743</v>
      </c>
      <c r="N29" s="37">
        <f t="shared" si="26"/>
        <v>0</v>
      </c>
      <c r="O29" s="37">
        <f t="shared" si="27"/>
        <v>0</v>
      </c>
      <c r="P29" s="37">
        <f t="shared" si="35"/>
        <v>0</v>
      </c>
      <c r="Q29" s="37">
        <f t="shared" si="28"/>
        <v>694.02337972602743</v>
      </c>
      <c r="R29" s="36">
        <v>0</v>
      </c>
      <c r="S29" s="37">
        <v>0</v>
      </c>
      <c r="T29" s="38">
        <v>0</v>
      </c>
      <c r="U29" s="38">
        <v>0</v>
      </c>
      <c r="V29" s="38">
        <v>0</v>
      </c>
      <c r="W29" s="38">
        <f t="shared" si="29"/>
        <v>0</v>
      </c>
      <c r="X29" s="38">
        <f t="shared" si="30"/>
        <v>0</v>
      </c>
      <c r="Y29" s="38">
        <f t="shared" si="31"/>
        <v>694.02337972602743</v>
      </c>
      <c r="Z29" s="38">
        <f t="shared" si="32"/>
        <v>34048.19</v>
      </c>
      <c r="AA29" s="38">
        <f t="shared" si="33"/>
        <v>24475.513379726028</v>
      </c>
      <c r="AE29" s="27"/>
      <c r="AF29" s="27"/>
      <c r="AG29" s="11"/>
      <c r="AH29" s="11"/>
    </row>
    <row r="30" spans="1:35" x14ac:dyDescent="0.2">
      <c r="A30" s="13" t="s">
        <v>93</v>
      </c>
      <c r="B30" s="14">
        <v>44708</v>
      </c>
      <c r="C30" s="15">
        <v>24</v>
      </c>
      <c r="D30" s="34">
        <v>693</v>
      </c>
      <c r="E30" s="35">
        <v>474.47</v>
      </c>
      <c r="F30" s="35">
        <f t="shared" si="21"/>
        <v>31</v>
      </c>
      <c r="G30" s="19">
        <f t="shared" si="22"/>
        <v>0</v>
      </c>
      <c r="H30" s="19">
        <f t="shared" si="23"/>
        <v>0</v>
      </c>
      <c r="I30" s="19">
        <f t="shared" si="34"/>
        <v>0</v>
      </c>
      <c r="J30" s="19">
        <f t="shared" si="24"/>
        <v>6.5753424657534248E-4</v>
      </c>
      <c r="K30" s="18"/>
      <c r="L30" s="18"/>
      <c r="M30" s="36">
        <f t="shared" si="25"/>
        <v>14.125808219178083</v>
      </c>
      <c r="N30" s="37">
        <f t="shared" si="26"/>
        <v>0</v>
      </c>
      <c r="O30" s="37">
        <f t="shared" si="27"/>
        <v>0</v>
      </c>
      <c r="P30" s="37">
        <f t="shared" si="35"/>
        <v>0</v>
      </c>
      <c r="Q30" s="37">
        <f t="shared" si="28"/>
        <v>14.125808219178083</v>
      </c>
      <c r="R30" s="36">
        <v>0</v>
      </c>
      <c r="S30" s="37">
        <v>0</v>
      </c>
      <c r="T30" s="38">
        <v>0</v>
      </c>
      <c r="U30" s="38">
        <v>0</v>
      </c>
      <c r="V30" s="38">
        <v>0</v>
      </c>
      <c r="W30" s="38">
        <f t="shared" si="29"/>
        <v>0</v>
      </c>
      <c r="X30" s="38">
        <f t="shared" si="30"/>
        <v>0</v>
      </c>
      <c r="Y30" s="38">
        <f t="shared" si="31"/>
        <v>14.125808219178083</v>
      </c>
      <c r="Z30" s="38">
        <f t="shared" si="32"/>
        <v>693</v>
      </c>
      <c r="AA30" s="38">
        <f t="shared" si="33"/>
        <v>488.59580821917814</v>
      </c>
      <c r="AE30" s="27"/>
      <c r="AF30" s="27"/>
      <c r="AG30" s="11"/>
      <c r="AH30" s="11"/>
    </row>
    <row r="31" spans="1:35" x14ac:dyDescent="0.2">
      <c r="A31" s="39" t="s">
        <v>94</v>
      </c>
      <c r="B31" s="40">
        <v>44722</v>
      </c>
      <c r="C31" s="41">
        <v>24</v>
      </c>
      <c r="D31" s="42">
        <v>9555.2599999999984</v>
      </c>
      <c r="E31" s="43">
        <v>6454.12</v>
      </c>
      <c r="F31" s="43">
        <f t="shared" si="21"/>
        <v>31</v>
      </c>
      <c r="G31" s="31">
        <f t="shared" si="22"/>
        <v>12</v>
      </c>
      <c r="H31" s="31">
        <f t="shared" si="23"/>
        <v>0</v>
      </c>
      <c r="I31" s="19">
        <f t="shared" si="34"/>
        <v>0</v>
      </c>
      <c r="J31" s="31">
        <f t="shared" si="24"/>
        <v>6.5753424657534248E-4</v>
      </c>
      <c r="K31" s="39"/>
      <c r="L31" s="40">
        <v>45670</v>
      </c>
      <c r="M31" s="36">
        <f t="shared" si="25"/>
        <v>0</v>
      </c>
      <c r="N31" s="44">
        <f t="shared" si="26"/>
        <v>75.39492821917807</v>
      </c>
      <c r="O31" s="44">
        <f t="shared" si="27"/>
        <v>0</v>
      </c>
      <c r="P31" s="37">
        <f t="shared" si="35"/>
        <v>0</v>
      </c>
      <c r="Q31" s="44">
        <f t="shared" si="28"/>
        <v>75.39492821917807</v>
      </c>
      <c r="R31" s="45">
        <v>0</v>
      </c>
      <c r="S31" s="44">
        <v>0</v>
      </c>
      <c r="T31" s="46">
        <v>17597.07</v>
      </c>
      <c r="U31" s="46">
        <v>8041.8100000000013</v>
      </c>
      <c r="V31" s="46">
        <v>0</v>
      </c>
      <c r="W31" s="46">
        <f t="shared" si="29"/>
        <v>8041.8100000000013</v>
      </c>
      <c r="X31" s="46">
        <f t="shared" si="30"/>
        <v>1512.2950717808235</v>
      </c>
      <c r="Y31" s="46">
        <f t="shared" si="31"/>
        <v>1587.6900000000016</v>
      </c>
      <c r="Z31" s="46">
        <f t="shared" si="32"/>
        <v>0</v>
      </c>
      <c r="AA31" s="46">
        <f t="shared" si="33"/>
        <v>0</v>
      </c>
      <c r="AE31" s="27"/>
      <c r="AF31" s="27"/>
    </row>
    <row r="32" spans="1:35" x14ac:dyDescent="0.2">
      <c r="A32" s="13" t="s">
        <v>95</v>
      </c>
      <c r="B32" s="14">
        <v>44729</v>
      </c>
      <c r="C32" s="15">
        <v>24</v>
      </c>
      <c r="D32" s="34">
        <v>1120</v>
      </c>
      <c r="E32" s="35">
        <v>751.35</v>
      </c>
      <c r="F32" s="35">
        <f t="shared" si="21"/>
        <v>31</v>
      </c>
      <c r="G32" s="19">
        <f t="shared" si="22"/>
        <v>12</v>
      </c>
      <c r="H32" s="19">
        <f t="shared" si="23"/>
        <v>0</v>
      </c>
      <c r="I32" s="19">
        <f t="shared" si="34"/>
        <v>0</v>
      </c>
      <c r="J32" s="19">
        <f t="shared" si="24"/>
        <v>6.5753424657534248E-4</v>
      </c>
      <c r="K32" s="18"/>
      <c r="L32" s="14">
        <v>45670</v>
      </c>
      <c r="M32" s="36">
        <f t="shared" si="25"/>
        <v>0</v>
      </c>
      <c r="N32" s="37">
        <f t="shared" si="26"/>
        <v>8.8372602739726034</v>
      </c>
      <c r="O32" s="37">
        <f t="shared" si="27"/>
        <v>0</v>
      </c>
      <c r="P32" s="37">
        <f t="shared" si="35"/>
        <v>0</v>
      </c>
      <c r="Q32" s="37">
        <f t="shared" si="28"/>
        <v>8.8372602739726034</v>
      </c>
      <c r="R32" s="36">
        <v>0</v>
      </c>
      <c r="S32" s="37">
        <v>0</v>
      </c>
      <c r="T32" s="38">
        <v>2033.13</v>
      </c>
      <c r="U32" s="38">
        <v>913.13000000000011</v>
      </c>
      <c r="V32" s="38">
        <v>0</v>
      </c>
      <c r="W32" s="38">
        <f t="shared" si="29"/>
        <v>913.13000000000011</v>
      </c>
      <c r="X32" s="38">
        <f t="shared" si="30"/>
        <v>152.94273972602753</v>
      </c>
      <c r="Y32" s="38">
        <f t="shared" si="31"/>
        <v>161.78000000000014</v>
      </c>
      <c r="Z32" s="38">
        <f t="shared" si="32"/>
        <v>0</v>
      </c>
      <c r="AA32" s="38">
        <f t="shared" si="33"/>
        <v>0</v>
      </c>
      <c r="AE32" s="27"/>
      <c r="AF32" s="27"/>
    </row>
    <row r="33" spans="1:32" x14ac:dyDescent="0.2">
      <c r="A33" s="13" t="s">
        <v>96</v>
      </c>
      <c r="B33" s="14">
        <v>44729</v>
      </c>
      <c r="C33" s="15">
        <v>24</v>
      </c>
      <c r="D33" s="34">
        <v>35564.009999999995</v>
      </c>
      <c r="E33" s="35">
        <v>23858.09</v>
      </c>
      <c r="F33" s="35">
        <f t="shared" si="21"/>
        <v>31</v>
      </c>
      <c r="G33" s="19">
        <f t="shared" si="22"/>
        <v>12</v>
      </c>
      <c r="H33" s="19">
        <f t="shared" si="23"/>
        <v>0</v>
      </c>
      <c r="I33" s="19">
        <f t="shared" si="34"/>
        <v>0</v>
      </c>
      <c r="J33" s="19">
        <f t="shared" si="24"/>
        <v>6.5753424657534248E-4</v>
      </c>
      <c r="K33" s="18"/>
      <c r="L33" s="14">
        <v>45670</v>
      </c>
      <c r="M33" s="36">
        <f t="shared" si="25"/>
        <v>0</v>
      </c>
      <c r="N33" s="37">
        <f t="shared" si="26"/>
        <v>280.61465424657536</v>
      </c>
      <c r="O33" s="37">
        <f t="shared" si="27"/>
        <v>0</v>
      </c>
      <c r="P33" s="37">
        <f t="shared" si="35"/>
        <v>0</v>
      </c>
      <c r="Q33" s="37">
        <f t="shared" si="28"/>
        <v>280.61465424657536</v>
      </c>
      <c r="R33" s="36">
        <v>0</v>
      </c>
      <c r="S33" s="37">
        <v>0</v>
      </c>
      <c r="T33" s="38">
        <v>64559.43</v>
      </c>
      <c r="U33" s="38">
        <v>28995.420000000006</v>
      </c>
      <c r="V33" s="38">
        <v>0</v>
      </c>
      <c r="W33" s="38">
        <f t="shared" si="29"/>
        <v>28995.420000000006</v>
      </c>
      <c r="X33" s="38">
        <f t="shared" si="30"/>
        <v>4856.7153457534296</v>
      </c>
      <c r="Y33" s="38">
        <f t="shared" si="31"/>
        <v>5137.3300000000054</v>
      </c>
      <c r="Z33" s="38">
        <f t="shared" si="32"/>
        <v>0</v>
      </c>
      <c r="AA33" s="38">
        <f t="shared" si="33"/>
        <v>0</v>
      </c>
      <c r="AE33" s="27"/>
      <c r="AF33" s="27"/>
    </row>
    <row r="34" spans="1:32" x14ac:dyDescent="0.2">
      <c r="A34" s="13" t="s">
        <v>97</v>
      </c>
      <c r="B34" s="14">
        <v>45387</v>
      </c>
      <c r="C34" s="15">
        <v>39.11999999999999</v>
      </c>
      <c r="D34" s="34">
        <v>65296.259999999995</v>
      </c>
      <c r="E34" s="35">
        <v>1891.53</v>
      </c>
      <c r="F34" s="35">
        <f t="shared" si="21"/>
        <v>31</v>
      </c>
      <c r="G34" s="19">
        <f t="shared" si="22"/>
        <v>0</v>
      </c>
      <c r="H34" s="19">
        <f t="shared" si="23"/>
        <v>23</v>
      </c>
      <c r="I34" s="19">
        <f t="shared" si="34"/>
        <v>0</v>
      </c>
      <c r="J34" s="19">
        <f t="shared" si="24"/>
        <v>1.0717808219178079E-3</v>
      </c>
      <c r="K34" s="14">
        <v>45681</v>
      </c>
      <c r="L34" s="14"/>
      <c r="M34" s="36">
        <f t="shared" si="25"/>
        <v>0</v>
      </c>
      <c r="N34" s="37">
        <f t="shared" si="26"/>
        <v>0</v>
      </c>
      <c r="O34" s="37">
        <f t="shared" si="27"/>
        <v>2115.2005012602735</v>
      </c>
      <c r="P34" s="37">
        <f t="shared" si="35"/>
        <v>0</v>
      </c>
      <c r="Q34" s="37">
        <f t="shared" si="28"/>
        <v>2115.2005012602735</v>
      </c>
      <c r="R34" s="47">
        <v>0</v>
      </c>
      <c r="S34" s="38">
        <v>6330.72</v>
      </c>
      <c r="T34" s="38">
        <v>0</v>
      </c>
      <c r="U34" s="38">
        <v>0</v>
      </c>
      <c r="V34" s="38">
        <v>0</v>
      </c>
      <c r="W34" s="38">
        <f t="shared" si="29"/>
        <v>0</v>
      </c>
      <c r="X34" s="38">
        <f t="shared" si="30"/>
        <v>0</v>
      </c>
      <c r="Y34" s="38">
        <f t="shared" si="31"/>
        <v>2115.2005012602735</v>
      </c>
      <c r="Z34" s="38">
        <f t="shared" si="32"/>
        <v>58965.539999999994</v>
      </c>
      <c r="AA34" s="38">
        <f t="shared" si="33"/>
        <v>4006.7305012602737</v>
      </c>
      <c r="AE34" s="27"/>
      <c r="AF34" s="27"/>
    </row>
    <row r="35" spans="1:32" x14ac:dyDescent="0.2">
      <c r="A35" s="18" t="s">
        <v>73</v>
      </c>
      <c r="B35" s="29">
        <v>45672</v>
      </c>
      <c r="C35" s="15">
        <v>8.8800000000000008</v>
      </c>
      <c r="D35" s="35">
        <v>1427.27</v>
      </c>
      <c r="E35" s="18"/>
      <c r="F35" s="35">
        <f t="shared" si="21"/>
        <v>31</v>
      </c>
      <c r="G35" s="19">
        <f t="shared" si="22"/>
        <v>0</v>
      </c>
      <c r="H35" s="19">
        <f t="shared" si="23"/>
        <v>0</v>
      </c>
      <c r="I35" s="19">
        <f t="shared" si="34"/>
        <v>17</v>
      </c>
      <c r="J35" s="19">
        <f t="shared" si="24"/>
        <v>2.4328767123287673E-4</v>
      </c>
      <c r="K35" s="18"/>
      <c r="L35" s="18"/>
      <c r="M35" s="36">
        <f t="shared" si="25"/>
        <v>0</v>
      </c>
      <c r="N35" s="37">
        <f t="shared" si="26"/>
        <v>0</v>
      </c>
      <c r="O35" s="37">
        <f t="shared" si="27"/>
        <v>0</v>
      </c>
      <c r="P35" s="37">
        <f t="shared" si="35"/>
        <v>5.9030323068493153</v>
      </c>
      <c r="Q35" s="37">
        <f t="shared" si="28"/>
        <v>5.9030323068493153</v>
      </c>
      <c r="R35" s="38">
        <v>1427.27</v>
      </c>
      <c r="S35" s="37">
        <v>0</v>
      </c>
      <c r="T35" s="47">
        <v>0</v>
      </c>
      <c r="U35" s="47">
        <v>0</v>
      </c>
      <c r="V35" s="47">
        <v>0</v>
      </c>
      <c r="W35" s="38">
        <f t="shared" si="29"/>
        <v>0</v>
      </c>
      <c r="X35" s="38">
        <f t="shared" si="30"/>
        <v>0</v>
      </c>
      <c r="Y35" s="38">
        <f t="shared" si="31"/>
        <v>5.9030323068493153</v>
      </c>
      <c r="Z35" s="38">
        <f t="shared" si="32"/>
        <v>1427.27</v>
      </c>
      <c r="AA35" s="38">
        <f t="shared" si="33"/>
        <v>5.9030323068493153</v>
      </c>
      <c r="AE35" s="27"/>
      <c r="AF35" s="27"/>
    </row>
    <row r="36" spans="1:32" x14ac:dyDescent="0.2">
      <c r="AE36" s="27"/>
      <c r="AF36" s="27"/>
    </row>
    <row r="37" spans="1:32" ht="15" x14ac:dyDescent="0.25">
      <c r="A37" s="8" t="s">
        <v>99</v>
      </c>
      <c r="B37" s="8" t="s">
        <v>98</v>
      </c>
      <c r="AE37" s="27"/>
      <c r="AF37" s="27"/>
    </row>
    <row r="38" spans="1:32" x14ac:dyDescent="0.2">
      <c r="A38" s="19" t="s">
        <v>26</v>
      </c>
      <c r="B38" s="50">
        <f>ROUND(SUM(E8:E19)+SUM(E26:E35),4)</f>
        <v>78000.94</v>
      </c>
    </row>
    <row r="39" spans="1:32" x14ac:dyDescent="0.2">
      <c r="A39" s="19" t="s">
        <v>27</v>
      </c>
      <c r="B39" s="50">
        <f>ROUND(SUM(D8:D19)+SUM(D26:D35),4)</f>
        <v>720951.47</v>
      </c>
    </row>
    <row r="40" spans="1:32" x14ac:dyDescent="0.2">
      <c r="A40" s="19" t="s">
        <v>21</v>
      </c>
      <c r="B40" s="23">
        <f>ROUND(SUM(AB8:AB19)+SUM(AA26:AA35),4)-0.0001</f>
        <v>49958.481200000002</v>
      </c>
      <c r="C40" s="23"/>
    </row>
    <row r="41" spans="1:32" x14ac:dyDescent="0.2">
      <c r="A41" s="19" t="s">
        <v>22</v>
      </c>
      <c r="B41" s="23">
        <f>ROUND(SUM(AA8:AA19)+SUM(Z26:Z35),4)</f>
        <v>634539.39980000001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O_Metric</vt:lpstr>
      <vt:lpstr>Expected_Calculation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146</cp:revision>
  <dcterms:created xsi:type="dcterms:W3CDTF">2025-06-10T09:23:35Z</dcterms:created>
  <dcterms:modified xsi:type="dcterms:W3CDTF">2025-12-13T15:09:32Z</dcterms:modified>
  <dc:language>en-US</dc:language>
</cp:coreProperties>
</file>