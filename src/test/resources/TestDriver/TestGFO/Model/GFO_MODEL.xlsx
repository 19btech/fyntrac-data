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GFO\TestGFO\"/>
    </mc:Choice>
  </mc:AlternateContent>
  <xr:revisionPtr revIDLastSave="0" documentId="13_ncr:1_{C9451E6C-58B9-4653-8135-7FC6012EC822}" xr6:coauthVersionLast="47" xr6:coauthVersionMax="47" xr10:uidLastSave="{00000000-0000-0000-0000-000000000000}"/>
  <bookViews>
    <workbookView xWindow="-120" yWindow="-120" windowWidth="29040" windowHeight="17520" activeTab="3" xr2:uid="{BB024743-E9E1-4B1C-B6C6-502616E14BEF}"/>
  </bookViews>
  <sheets>
    <sheet name="PO" sheetId="13" r:id="rId1"/>
    <sheet name="PMT" sheetId="14" r:id="rId2"/>
    <sheet name="EOD" sheetId="15" r:id="rId3"/>
    <sheet name="Calculation" sheetId="10" r:id="rId4"/>
    <sheet name="o_Transaction" sheetId="12" r:id="rId5"/>
  </sheets>
  <definedNames>
    <definedName name="_xlnm._FilterDatabase" localSheetId="3" hidden="1">Calculation!$A$15:$AF$16</definedName>
    <definedName name="Fund1">#REF!</definedName>
    <definedName name="Payme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/>
  <c r="E3" i="10"/>
  <c r="E2" i="10"/>
  <c r="B11" i="10"/>
  <c r="P35" i="10"/>
  <c r="H16" i="10"/>
  <c r="M35" i="10"/>
  <c r="I35" i="10"/>
  <c r="L22" i="10"/>
  <c r="G16" i="10"/>
  <c r="F16" i="10"/>
  <c r="L35" i="10"/>
  <c r="K35" i="10"/>
  <c r="D42" i="10"/>
  <c r="D41" i="10"/>
  <c r="D40" i="10"/>
  <c r="D39" i="10"/>
  <c r="G4" i="10"/>
  <c r="G3" i="10"/>
  <c r="G2" i="10"/>
  <c r="B7" i="10" l="1"/>
  <c r="F40" i="10" s="1"/>
  <c r="F3" i="12" s="1"/>
  <c r="B8" i="10"/>
  <c r="B6" i="10"/>
  <c r="B5" i="10"/>
  <c r="B4" i="10"/>
  <c r="B3" i="10"/>
  <c r="B2" i="10"/>
  <c r="D5" i="12"/>
  <c r="D4" i="12"/>
  <c r="D3" i="12"/>
  <c r="D2" i="12"/>
  <c r="C42" i="10"/>
  <c r="C5" i="12" s="1"/>
  <c r="C41" i="10"/>
  <c r="C4" i="12" s="1"/>
  <c r="C40" i="10"/>
  <c r="C3" i="12" s="1"/>
  <c r="F39" i="10"/>
  <c r="F2" i="12" s="1"/>
  <c r="F42" i="10"/>
  <c r="F5" i="12" s="1"/>
  <c r="F41" i="10"/>
  <c r="F4" i="12" s="1"/>
  <c r="A39" i="10" l="1"/>
  <c r="B39" i="10" s="1"/>
  <c r="B2" i="12" s="1"/>
  <c r="A40" i="10"/>
  <c r="A3" i="12" s="1"/>
  <c r="A41" i="10"/>
  <c r="A4" i="12" s="1"/>
  <c r="A42" i="10"/>
  <c r="A5" i="12" s="1"/>
  <c r="C39" i="10"/>
  <c r="C2" i="12" s="1"/>
  <c r="B40" i="10"/>
  <c r="B3" i="12" s="1"/>
  <c r="B41" i="10"/>
  <c r="B4" i="12" s="1"/>
  <c r="B42" i="10"/>
  <c r="B5" i="12" s="1"/>
  <c r="A2" i="12" l="1"/>
  <c r="B30" i="10" l="1"/>
  <c r="B31" i="10"/>
  <c r="B32" i="10"/>
  <c r="V35" i="10" s="1"/>
  <c r="B13" i="10"/>
  <c r="AC14" i="10"/>
  <c r="D4" i="10"/>
  <c r="D3" i="10"/>
  <c r="D2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J35" i="10" l="1"/>
  <c r="G35" i="10"/>
  <c r="W35" i="10"/>
  <c r="X35" i="10"/>
  <c r="Y35" i="10"/>
  <c r="Z35" i="10"/>
  <c r="Q35" i="10"/>
  <c r="AA35" i="10"/>
  <c r="A35" i="10"/>
  <c r="L18" i="10" s="1"/>
  <c r="N35" i="10"/>
  <c r="B35" i="10"/>
  <c r="O35" i="10"/>
  <c r="C35" i="10"/>
  <c r="D35" i="10"/>
  <c r="S35" i="10"/>
  <c r="E35" i="10"/>
  <c r="T35" i="10"/>
  <c r="F35" i="10"/>
  <c r="U35" i="10"/>
  <c r="H35" i="10"/>
  <c r="E16" i="10"/>
  <c r="V16" i="10"/>
  <c r="W16" i="10"/>
  <c r="Z16" i="10" s="1"/>
  <c r="I16" i="10"/>
  <c r="J16" i="10"/>
  <c r="K16" i="10" s="1"/>
  <c r="S16" i="10"/>
  <c r="X16" i="10"/>
  <c r="A16" i="10"/>
  <c r="D18" i="10" s="1"/>
  <c r="Y16" i="10"/>
  <c r="B16" i="10"/>
  <c r="C16" i="10"/>
  <c r="O16" i="10" s="1"/>
  <c r="D16" i="10"/>
  <c r="D20" i="10" l="1"/>
  <c r="L20" i="10"/>
  <c r="L25" i="10"/>
  <c r="L23" i="10"/>
  <c r="O24" i="10"/>
  <c r="L24" i="10"/>
  <c r="L19" i="10"/>
  <c r="M16" i="10"/>
  <c r="L16" i="10"/>
  <c r="N16" i="10" s="1"/>
  <c r="P16" i="10"/>
  <c r="D27" i="10"/>
  <c r="D23" i="10"/>
  <c r="D22" i="10"/>
  <c r="D19" i="10"/>
  <c r="O23" i="10" l="1"/>
  <c r="O25" i="10" s="1"/>
  <c r="P24" i="10"/>
  <c r="Q16" i="10"/>
  <c r="L21" i="10"/>
  <c r="P23" i="10" s="1"/>
  <c r="P25" i="10" l="1"/>
  <c r="AA16" i="10"/>
  <c r="G24" i="10" s="1"/>
  <c r="D25" i="10"/>
  <c r="E41" i="10" s="1"/>
  <c r="E4" i="12" s="1"/>
  <c r="R16" i="10"/>
  <c r="T16" i="10" s="1"/>
  <c r="U16" i="10" s="1"/>
  <c r="AB16" i="10" s="1"/>
  <c r="D26" i="10"/>
  <c r="G23" i="10" l="1"/>
  <c r="G25" i="10" s="1"/>
  <c r="E42" i="10"/>
  <c r="E5" i="12" s="1"/>
  <c r="D21" i="10"/>
  <c r="E39" i="10" s="1"/>
  <c r="E2" i="12" s="1"/>
  <c r="D24" i="10"/>
  <c r="E40" i="10" s="1"/>
  <c r="E3" i="12" s="1"/>
  <c r="H23" i="10" l="1"/>
  <c r="H24" i="10"/>
  <c r="H25" i="10" l="1"/>
</calcChain>
</file>

<file path=xl/sharedStrings.xml><?xml version="1.0" encoding="utf-8"?>
<sst xmlns="http://schemas.openxmlformats.org/spreadsheetml/2006/main" count="134" uniqueCount="86">
  <si>
    <t>Loan</t>
  </si>
  <si>
    <t>Settlement Date</t>
  </si>
  <si>
    <t>Interest Rate</t>
  </si>
  <si>
    <t>Prin Bal 12/31</t>
  </si>
  <si>
    <t>Int Accru Bal 12/31</t>
  </si>
  <si>
    <t>Payoff Date</t>
  </si>
  <si>
    <t>Additional Jan Interest Accrued (Before PIK)</t>
  </si>
  <si>
    <t>Additional Jan Interest Accrued (After PIK)</t>
  </si>
  <si>
    <t xml:space="preserve">Total Additional Jan Interest Accrued </t>
  </si>
  <si>
    <t>Jan Interest Capitalized</t>
  </si>
  <si>
    <t>Principal Disbursement</t>
  </si>
  <si>
    <t>Interest paid allocated from prin pymt</t>
  </si>
  <si>
    <t>Interest paid in Jan</t>
  </si>
  <si>
    <t>Total Interest Received</t>
  </si>
  <si>
    <t>Interest Adjustment</t>
  </si>
  <si>
    <t>Total Interest Earned</t>
  </si>
  <si>
    <t>Prin Bal 1/31</t>
  </si>
  <si>
    <t>Int Accru Bal 1/31</t>
  </si>
  <si>
    <t>Principal Paydown</t>
  </si>
  <si>
    <t>PayOff-UPB</t>
  </si>
  <si>
    <t>PayOff-Interest</t>
  </si>
  <si>
    <t>Payment-Principal</t>
  </si>
  <si>
    <t>InstrumentId</t>
  </si>
  <si>
    <t>InterestRate</t>
  </si>
  <si>
    <t>Capitalization Date</t>
  </si>
  <si>
    <t>ExecutionDate</t>
  </si>
  <si>
    <t>PriorExecutionDate</t>
  </si>
  <si>
    <t>Days before Capitalization</t>
  </si>
  <si>
    <t>Per Day Interest Rate</t>
  </si>
  <si>
    <t>Principal Balance After Capitalization</t>
  </si>
  <si>
    <t>Days After Capitalization/Payoff</t>
  </si>
  <si>
    <t>PayOff Day</t>
  </si>
  <si>
    <t>Paydown Date</t>
  </si>
  <si>
    <t>Days Before Paydpwn</t>
  </si>
  <si>
    <t>Days After Paydown</t>
  </si>
  <si>
    <t>Days After Capitalization &amp; Before Paydown</t>
  </si>
  <si>
    <t>UPB</t>
  </si>
  <si>
    <t>Interest</t>
  </si>
  <si>
    <t>Int Bal 1/31</t>
  </si>
  <si>
    <t>Loanid</t>
  </si>
  <si>
    <t>Balance Checker</t>
  </si>
  <si>
    <t>Month End days</t>
  </si>
  <si>
    <t>Days Before Payoff</t>
  </si>
  <si>
    <t>Per day Interest rate</t>
  </si>
  <si>
    <t>Total Payoff</t>
  </si>
  <si>
    <t>Days Before Paydown</t>
  </si>
  <si>
    <t>Total Jan Interest Accrued Plain</t>
  </si>
  <si>
    <t>Total Jan Interest Accrued Payoff</t>
  </si>
  <si>
    <t>Total Jan Interest Accrued Paydown</t>
  </si>
  <si>
    <t>Total Jan Interest Accrued Boarding</t>
  </si>
  <si>
    <t>Days On Boarding</t>
  </si>
  <si>
    <t>Total Accrued Interest</t>
  </si>
  <si>
    <t>Method</t>
  </si>
  <si>
    <t>Accrual Method</t>
  </si>
  <si>
    <t>Balance</t>
  </si>
  <si>
    <t>Amount</t>
  </si>
  <si>
    <t>PostingDate</t>
  </si>
  <si>
    <t>EffectiveDate</t>
  </si>
  <si>
    <t>TransactionName</t>
  </si>
  <si>
    <t>Origination Date</t>
  </si>
  <si>
    <t>LoanId</t>
  </si>
  <si>
    <t xml:space="preserve">Total Payoff </t>
  </si>
  <si>
    <t>TRANSACTIONS</t>
  </si>
  <si>
    <t>TransactionDate</t>
  </si>
  <si>
    <t>Transactiontype</t>
  </si>
  <si>
    <t>AttributeId</t>
  </si>
  <si>
    <t>Attributeid</t>
  </si>
  <si>
    <t>Conversion_Principal</t>
  </si>
  <si>
    <t>Conversion_Interest</t>
  </si>
  <si>
    <t>Interest_Accrual</t>
  </si>
  <si>
    <t>PayOff_UPB</t>
  </si>
  <si>
    <t>PayOff_Interest</t>
  </si>
  <si>
    <t>PayOff_InterestAdj</t>
  </si>
  <si>
    <t>Capitalized_Interest</t>
  </si>
  <si>
    <t>Capitalized_Principal</t>
  </si>
  <si>
    <t>Payment_Principal</t>
  </si>
  <si>
    <t>TRANSACTIONS_AMOUNT_PAYMENT_PRINCIPAL</t>
  </si>
  <si>
    <t>TRANSACTIONS_AMOUNT_PAYOFF_UPB</t>
  </si>
  <si>
    <t>TRANSACTIONS_AMOUNT_PAYOFF_INTEREST</t>
  </si>
  <si>
    <t>UPB Balance</t>
  </si>
  <si>
    <t>AIR Balance</t>
  </si>
  <si>
    <t>BALANCES_ENDINGBALANCE_UPB</t>
  </si>
  <si>
    <t>BALANCES_ENDINGBALANCE_AIR</t>
  </si>
  <si>
    <t>ATTRIBUTE_ORIGINATION_DATE_CURRENT</t>
  </si>
  <si>
    <t>ATTRIBUTE_ACCRUAL_METHOD_CURRENT</t>
  </si>
  <si>
    <t>ATTRIBUTE_INTEREST_RATE_CURRENT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</si>
</sst>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[Red]\(#,##0.0000\)"/>
    <numFmt numFmtId="165" formatCode="0.0000_);[Red]\(0.0000\)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92D050"/>
        <bgColor rgb="FFC5E0B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5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3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4" borderId="2" xfId="0" applyFill="1" applyBorder="1"/>
    <xf numFmtId="0" fontId="0" fillId="0" borderId="2" xfId="0" applyBorder="1"/>
    <xf numFmtId="2" fontId="0" fillId="0" borderId="2" xfId="0" applyNumberFormat="1" applyBorder="1"/>
    <xf numFmtId="43" fontId="0" fillId="5" borderId="2" xfId="3" applyFont="1" applyFill="1" applyBorder="1" applyAlignment="1">
      <alignment vertical="center"/>
    </xf>
    <xf numFmtId="0" fontId="0" fillId="3" borderId="2" xfId="0" applyFill="1" applyBorder="1"/>
    <xf numFmtId="0" fontId="2" fillId="0" borderId="2" xfId="0" applyFont="1" applyBorder="1"/>
    <xf numFmtId="0" fontId="0" fillId="0" borderId="2" xfId="0" applyFill="1" applyBorder="1" applyAlignment="1">
      <alignment vertical="center"/>
    </xf>
    <xf numFmtId="43" fontId="0" fillId="0" borderId="2" xfId="3" applyFont="1" applyFill="1" applyBorder="1" applyAlignment="1">
      <alignment vertical="center"/>
    </xf>
    <xf numFmtId="0" fontId="0" fillId="0" borderId="2" xfId="0" applyFill="1" applyBorder="1"/>
    <xf numFmtId="2" fontId="0" fillId="0" borderId="2" xfId="0" applyNumberFormat="1" applyFill="1" applyBorder="1"/>
    <xf numFmtId="0" fontId="0" fillId="5" borderId="2" xfId="0" applyFill="1" applyBorder="1"/>
    <xf numFmtId="14" fontId="0" fillId="0" borderId="2" xfId="0" applyNumberFormat="1" applyBorder="1"/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Fill="1" applyBorder="1" applyAlignment="1">
      <alignment horizontal="left"/>
    </xf>
    <xf numFmtId="164" fontId="4" fillId="0" borderId="2" xfId="3" applyNumberFormat="1" applyFont="1" applyFill="1" applyBorder="1" applyAlignment="1">
      <alignment vertical="center"/>
    </xf>
    <xf numFmtId="164" fontId="0" fillId="0" borderId="2" xfId="0" applyNumberFormat="1" applyFill="1" applyBorder="1"/>
    <xf numFmtId="164" fontId="0" fillId="0" borderId="2" xfId="3" applyNumberFormat="1" applyFont="1" applyFill="1" applyBorder="1" applyAlignment="1">
      <alignment vertical="center"/>
    </xf>
    <xf numFmtId="14" fontId="0" fillId="0" borderId="2" xfId="0" applyNumberFormat="1" applyBorder="1" applyAlignment="1">
      <alignment horizontal="center"/>
    </xf>
    <xf numFmtId="165" fontId="4" fillId="0" borderId="2" xfId="3" applyNumberFormat="1" applyFont="1" applyFill="1" applyBorder="1" applyAlignment="1">
      <alignment vertical="center"/>
    </xf>
    <xf numFmtId="165" fontId="0" fillId="0" borderId="2" xfId="0" applyNumberFormat="1" applyFill="1" applyBorder="1"/>
    <xf numFmtId="165" fontId="0" fillId="0" borderId="2" xfId="3" applyNumberFormat="1" applyFont="1" applyFill="1" applyBorder="1" applyAlignment="1">
      <alignment vertical="center"/>
    </xf>
    <xf numFmtId="43" fontId="0" fillId="5" borderId="2" xfId="0" applyNumberFormat="1" applyFill="1" applyBorder="1"/>
    <xf numFmtId="0" fontId="0" fillId="5" borderId="2" xfId="0" applyFill="1" applyBorder="1" applyAlignment="1">
      <alignment vertical="center"/>
    </xf>
    <xf numFmtId="164" fontId="0" fillId="5" borderId="2" xfId="3" applyNumberFormat="1" applyFont="1" applyFill="1" applyBorder="1" applyAlignment="1">
      <alignment vertical="center"/>
    </xf>
    <xf numFmtId="164" fontId="0" fillId="5" borderId="2" xfId="0" applyNumberFormat="1" applyFill="1" applyBorder="1"/>
    <xf numFmtId="0" fontId="2" fillId="0" borderId="2" xfId="0" applyFont="1" applyFill="1" applyBorder="1"/>
    <xf numFmtId="0" fontId="0" fillId="0" borderId="2" xfId="0" applyFont="1" applyBorder="1"/>
    <xf numFmtId="14" fontId="0" fillId="5" borderId="2" xfId="0" applyNumberFormat="1" applyFill="1" applyBorder="1" applyAlignment="1">
      <alignment vertical="center"/>
    </xf>
    <xf numFmtId="2" fontId="0" fillId="5" borderId="2" xfId="4" applyNumberFormat="1" applyFont="1" applyFill="1" applyBorder="1" applyAlignment="1">
      <alignment vertical="center"/>
    </xf>
    <xf numFmtId="165" fontId="0" fillId="5" borderId="2" xfId="0" applyNumberFormat="1" applyFill="1" applyBorder="1"/>
    <xf numFmtId="165" fontId="0" fillId="5" borderId="2" xfId="3" applyNumberFormat="1" applyFont="1" applyFill="1" applyBorder="1" applyAlignment="1">
      <alignment vertical="center"/>
    </xf>
    <xf numFmtId="0" fontId="8" fillId="7" borderId="5" xfId="1" applyFont="1" applyFill="1" applyBorder="1"/>
    <xf numFmtId="166" fontId="0" fillId="0" borderId="2" xfId="0" applyNumberFormat="1" applyBorder="1"/>
    <xf numFmtId="0" fontId="8" fillId="0" borderId="0" xfId="1" applyFont="1"/>
    <xf numFmtId="0" fontId="8" fillId="5" borderId="0" xfId="1" applyFont="1" applyFill="1"/>
    <xf numFmtId="0" fontId="8" fillId="8" borderId="0" xfId="1" applyFont="1" applyFill="1"/>
    <xf numFmtId="0" fontId="2" fillId="8" borderId="0" xfId="1" applyFont="1" applyFill="1"/>
    <xf numFmtId="14" fontId="8" fillId="0" borderId="0" xfId="1" applyNumberFormat="1" applyFont="1"/>
    <xf numFmtId="14" fontId="8" fillId="0" borderId="0" xfId="0" applyNumberFormat="1" applyFont="1"/>
    <xf numFmtId="14" fontId="8" fillId="8" borderId="0" xfId="1" applyNumberFormat="1" applyFont="1" applyFill="1"/>
    <xf numFmtId="165" fontId="0" fillId="0" borderId="2" xfId="0" applyNumberFormat="1" applyBorder="1"/>
    <xf numFmtId="14" fontId="0" fillId="0" borderId="2" xfId="0" applyNumberForma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6" borderId="3" xfId="1" applyFont="1" applyFill="1" applyBorder="1" applyAlignment="1">
      <alignment horizontal="center"/>
    </xf>
  </cellXfs>
  <cellStyles count="11">
    <cellStyle name="Comma" xfId="3" builtinId="3"/>
    <cellStyle name="Comma 2" xfId="8" xr:uid="{46B1E347-EB89-4B07-B756-D78AA9289C16}"/>
    <cellStyle name="Comma 3" xfId="2" xr:uid="{419525BE-A468-4838-8CB0-B56D37DB4BFA}"/>
    <cellStyle name="Comma 4" xfId="10" xr:uid="{FA226D6E-D77E-496B-98FE-41BBD7B90BCE}"/>
    <cellStyle name="Currency 2" xfId="9" xr:uid="{0F7B21C7-7F6E-42F6-9894-1EC3455A07D1}"/>
    <cellStyle name="Normal" xfId="0" builtinId="0"/>
    <cellStyle name="Normal 2" xfId="1" xr:uid="{3FC0D67E-8C24-4F6E-9052-AC58125E6438}"/>
    <cellStyle name="Normal 2 2" xfId="6" xr:uid="{E77CFD41-9AF9-483C-B5BE-D0D6E8E33AA7}"/>
    <cellStyle name="Normal 3" xfId="7" xr:uid="{66885972-3B74-4FD0-AEBD-C2C6977895E0}"/>
    <cellStyle name="Normal 3 2" xfId="5" xr:uid="{10DC4AF8-EBF4-4F59-A13A-1CBCC411612B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926-88C7-4D22-B35E-FFC808026D01}">
  <sheetPr>
    <tabColor rgb="FFFFC000"/>
  </sheetPr>
  <dimension ref="A1:F1"/>
  <sheetViews>
    <sheetView workbookViewId="0">
      <selection activeCell="F1" sqref="F1"/>
    </sheetView>
  </sheetViews>
  <sheetFormatPr defaultRowHeight="15" x14ac:dyDescent="0.25"/>
  <cols>
    <col min="1" max="1" width="17.85546875" style="3" customWidth="1"/>
    <col min="2" max="2" width="17.5703125" style="3" customWidth="1"/>
    <col min="3" max="3" width="20.5703125" customWidth="1"/>
    <col min="4" max="4" width="22.5703125" customWidth="1"/>
    <col min="5" max="5" width="55.42578125" customWidth="1"/>
    <col min="6" max="6" width="61.28515625" customWidth="1"/>
  </cols>
  <sheetData>
    <row r="1" spans="1:6" x14ac:dyDescent="0.25">
      <c r="A1" s="43" t="s">
        <v>56</v>
      </c>
      <c r="B1" s="44" t="s">
        <v>57</v>
      </c>
      <c r="C1" s="39" t="s">
        <v>22</v>
      </c>
      <c r="D1" s="39" t="s">
        <v>65</v>
      </c>
      <c r="E1" s="40" t="s">
        <v>77</v>
      </c>
      <c r="F1" s="4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11D8-E2CB-429C-B3E5-CF6AE2D673CD}">
  <sheetPr>
    <tabColor rgb="FFFFC000"/>
  </sheetPr>
  <dimension ref="A1:E1"/>
  <sheetViews>
    <sheetView workbookViewId="0">
      <selection activeCell="F5" sqref="F5"/>
    </sheetView>
  </sheetViews>
  <sheetFormatPr defaultRowHeight="15" x14ac:dyDescent="0.25"/>
  <cols>
    <col min="1" max="1" width="11.7109375" style="3" bestFit="1" customWidth="1"/>
    <col min="2" max="2" width="13.140625" style="3" bestFit="1" customWidth="1"/>
    <col min="3" max="3" width="12.5703125" bestFit="1" customWidth="1"/>
    <col min="4" max="4" width="10.85546875" bestFit="1" customWidth="1"/>
    <col min="5" max="5" width="38.42578125" bestFit="1" customWidth="1"/>
  </cols>
  <sheetData>
    <row r="1" spans="1:5" x14ac:dyDescent="0.25">
      <c r="A1" s="43" t="s">
        <v>56</v>
      </c>
      <c r="B1" s="44" t="s">
        <v>57</v>
      </c>
      <c r="C1" s="39" t="s">
        <v>22</v>
      </c>
      <c r="D1" s="39" t="s">
        <v>65</v>
      </c>
      <c r="E1" s="40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9CA9-AF7F-4393-846F-7FACEE10833C}">
  <sheetPr>
    <tabColor rgb="FFFFC000"/>
  </sheetPr>
  <dimension ref="A1:I1"/>
  <sheetViews>
    <sheetView workbookViewId="0">
      <selection activeCell="A4" sqref="A4"/>
    </sheetView>
  </sheetViews>
  <sheetFormatPr defaultRowHeight="15" x14ac:dyDescent="0.25"/>
  <cols>
    <col min="1" max="1" width="11.7109375" style="3" bestFit="1" customWidth="1"/>
    <col min="2" max="2" width="13.140625" style="3" bestFit="1" customWidth="1"/>
    <col min="3" max="3" width="12.5703125" bestFit="1" customWidth="1"/>
    <col min="4" max="4" width="10.85546875" bestFit="1" customWidth="1"/>
    <col min="5" max="5" width="31.5703125" bestFit="1" customWidth="1"/>
    <col min="6" max="6" width="31" bestFit="1" customWidth="1"/>
    <col min="7" max="7" width="39.7109375" style="3" bestFit="1" customWidth="1"/>
    <col min="8" max="8" width="39" bestFit="1" customWidth="1"/>
    <col min="9" max="9" width="35.28515625" bestFit="1" customWidth="1"/>
  </cols>
  <sheetData>
    <row r="1" spans="1:9" x14ac:dyDescent="0.25">
      <c r="A1" s="43" t="s">
        <v>56</v>
      </c>
      <c r="B1" s="44" t="s">
        <v>57</v>
      </c>
      <c r="C1" s="39" t="s">
        <v>22</v>
      </c>
      <c r="D1" s="39" t="s">
        <v>65</v>
      </c>
      <c r="E1" s="42" t="s">
        <v>81</v>
      </c>
      <c r="F1" s="42" t="s">
        <v>82</v>
      </c>
      <c r="G1" s="45" t="s">
        <v>83</v>
      </c>
      <c r="H1" s="41" t="s">
        <v>84</v>
      </c>
      <c r="I1" s="41" t="s">
        <v>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DDF4-C12A-4ACE-BA12-8BE66B2EFB7B}">
  <sheetPr>
    <tabColor rgb="FFFFFF00"/>
  </sheetPr>
  <dimension ref="A1:AH42"/>
  <sheetViews>
    <sheetView tabSelected="1" workbookViewId="0">
      <selection activeCell="G3" sqref="G3"/>
    </sheetView>
  </sheetViews>
  <sheetFormatPr defaultRowHeight="15" x14ac:dyDescent="0.25"/>
  <cols>
    <col min="1" max="1" width="19.42578125" customWidth="1"/>
    <col min="2" max="2" width="15.5703125" customWidth="1"/>
    <col min="3" max="3" width="25.85546875" customWidth="1"/>
    <col min="4" max="4" width="23.42578125" customWidth="1"/>
    <col min="5" max="5" width="18" customWidth="1"/>
    <col min="6" max="6" width="22.140625" customWidth="1"/>
    <col min="7" max="7" width="26.140625" customWidth="1"/>
    <col min="8" max="8" width="10.85546875" bestFit="1" customWidth="1"/>
    <col min="9" max="9" width="10.7109375" bestFit="1" customWidth="1"/>
    <col min="10" max="10" width="11.5703125" bestFit="1" customWidth="1"/>
    <col min="11" max="11" width="19.7109375" bestFit="1" customWidth="1"/>
    <col min="12" max="12" width="12" bestFit="1" customWidth="1"/>
    <col min="13" max="13" width="10.28515625" bestFit="1" customWidth="1"/>
    <col min="14" max="14" width="11" bestFit="1" customWidth="1"/>
    <col min="15" max="15" width="12.140625" bestFit="1" customWidth="1"/>
    <col min="16" max="16" width="11.85546875" bestFit="1" customWidth="1"/>
    <col min="17" max="17" width="11" bestFit="1" customWidth="1"/>
    <col min="18" max="18" width="22" bestFit="1" customWidth="1"/>
    <col min="19" max="19" width="11" bestFit="1" customWidth="1"/>
    <col min="20" max="20" width="11.28515625" bestFit="1" customWidth="1"/>
    <col min="21" max="21" width="11.85546875" bestFit="1" customWidth="1"/>
    <col min="22" max="22" width="12.140625" bestFit="1" customWidth="1"/>
    <col min="23" max="23" width="11.28515625" bestFit="1" customWidth="1"/>
    <col min="24" max="24" width="14.5703125" bestFit="1" customWidth="1"/>
    <col min="25" max="25" width="15.140625" bestFit="1" customWidth="1"/>
    <col min="26" max="26" width="22.42578125" bestFit="1" customWidth="1"/>
    <col min="27" max="27" width="13" bestFit="1" customWidth="1"/>
    <col min="28" max="28" width="11.5703125" customWidth="1"/>
    <col min="29" max="29" width="11.140625" bestFit="1" customWidth="1"/>
    <col min="30" max="30" width="13.85546875" customWidth="1"/>
    <col min="32" max="32" width="10.5703125" bestFit="1" customWidth="1"/>
  </cols>
  <sheetData>
    <row r="1" spans="1:29" x14ac:dyDescent="0.25">
      <c r="A1" s="10" t="s">
        <v>54</v>
      </c>
      <c r="B1" s="10" t="s">
        <v>55</v>
      </c>
      <c r="D1" s="10" t="s">
        <v>56</v>
      </c>
      <c r="E1" s="10" t="s">
        <v>57</v>
      </c>
      <c r="F1" s="10" t="s">
        <v>58</v>
      </c>
      <c r="G1" s="10" t="s">
        <v>55</v>
      </c>
    </row>
    <row r="2" spans="1:29" x14ac:dyDescent="0.25">
      <c r="A2" s="10" t="s">
        <v>79</v>
      </c>
      <c r="B2" s="6">
        <f>EOD!E2</f>
        <v>0</v>
      </c>
      <c r="D2" s="16">
        <f>$B$12</f>
        <v>45688</v>
      </c>
      <c r="E2" s="16" t="str">
        <f>IF(PO!E2="","",PO!B2)</f>
        <v/>
      </c>
      <c r="F2" s="32" t="s">
        <v>19</v>
      </c>
      <c r="G2" s="6">
        <f>-PO!E2</f>
        <v>0</v>
      </c>
    </row>
    <row r="3" spans="1:29" x14ac:dyDescent="0.25">
      <c r="A3" s="10" t="s">
        <v>80</v>
      </c>
      <c r="B3" s="6">
        <f>EOD!F2</f>
        <v>0</v>
      </c>
      <c r="D3" s="16">
        <f>$B$12</f>
        <v>45688</v>
      </c>
      <c r="E3" s="16" t="str">
        <f>IF(PO!E2="","",PO!B2)</f>
        <v/>
      </c>
      <c r="F3" s="32" t="s">
        <v>20</v>
      </c>
      <c r="G3" s="6">
        <f>-PO!F2</f>
        <v>0</v>
      </c>
    </row>
    <row r="4" spans="1:29" x14ac:dyDescent="0.25">
      <c r="A4" s="31" t="s">
        <v>59</v>
      </c>
      <c r="B4" s="16">
        <f>EOD!G2</f>
        <v>0</v>
      </c>
      <c r="D4" s="16">
        <f>$B$12</f>
        <v>45688</v>
      </c>
      <c r="E4" s="16" t="str">
        <f>IF(PMT!E2="","",PMT!B2)</f>
        <v/>
      </c>
      <c r="F4" s="32" t="s">
        <v>21</v>
      </c>
      <c r="G4" s="6">
        <f>-PMT!E2</f>
        <v>0</v>
      </c>
    </row>
    <row r="5" spans="1:29" x14ac:dyDescent="0.25">
      <c r="A5" s="31" t="s">
        <v>53</v>
      </c>
      <c r="B5" s="6">
        <f>EOD!H2</f>
        <v>0</v>
      </c>
    </row>
    <row r="6" spans="1:29" x14ac:dyDescent="0.25">
      <c r="A6" s="31" t="s">
        <v>23</v>
      </c>
      <c r="B6" s="6">
        <f>EOD!I2</f>
        <v>0</v>
      </c>
    </row>
    <row r="7" spans="1:29" x14ac:dyDescent="0.25">
      <c r="A7" s="31" t="s">
        <v>60</v>
      </c>
      <c r="B7" s="6" t="str">
        <f>IF(EOD!C2="","",EOD!C2)</f>
        <v/>
      </c>
    </row>
    <row r="8" spans="1:29" x14ac:dyDescent="0.25">
      <c r="A8" s="31" t="s">
        <v>66</v>
      </c>
      <c r="B8" s="6">
        <f>EOD!D2</f>
        <v>0</v>
      </c>
    </row>
    <row r="10" spans="1:29" x14ac:dyDescent="0.25">
      <c r="O10" s="4"/>
    </row>
    <row r="11" spans="1:29" x14ac:dyDescent="0.25">
      <c r="A11" s="10" t="s">
        <v>26</v>
      </c>
      <c r="B11" s="16">
        <f>DATE(YEAR(B12), MONTH(B12), 0)</f>
        <v>45657</v>
      </c>
    </row>
    <row r="12" spans="1:29" x14ac:dyDescent="0.25">
      <c r="A12" s="10" t="s">
        <v>25</v>
      </c>
      <c r="B12" s="16">
        <v>45688</v>
      </c>
      <c r="Q12" s="2"/>
      <c r="R12" s="2"/>
    </row>
    <row r="13" spans="1:29" x14ac:dyDescent="0.25">
      <c r="A13" s="10" t="s">
        <v>52</v>
      </c>
      <c r="B13" s="23" t="str">
        <f>IF(B5="PIK",B5,"")</f>
        <v/>
      </c>
      <c r="Q13" s="2"/>
      <c r="R13" s="2"/>
    </row>
    <row r="14" spans="1:29" x14ac:dyDescent="0.25">
      <c r="A14">
        <f t="shared" ref="A14:AC14" si="0">COLUMN(A15)</f>
        <v>1</v>
      </c>
      <c r="B14">
        <f t="shared" si="0"/>
        <v>2</v>
      </c>
      <c r="C14">
        <f t="shared" si="0"/>
        <v>3</v>
      </c>
      <c r="D14">
        <f t="shared" si="0"/>
        <v>4</v>
      </c>
      <c r="E14">
        <f t="shared" si="0"/>
        <v>5</v>
      </c>
      <c r="F14">
        <f t="shared" si="0"/>
        <v>6</v>
      </c>
      <c r="G14">
        <f t="shared" si="0"/>
        <v>7</v>
      </c>
      <c r="H14">
        <f t="shared" si="0"/>
        <v>8</v>
      </c>
      <c r="I14">
        <f t="shared" si="0"/>
        <v>9</v>
      </c>
      <c r="J14">
        <f t="shared" si="0"/>
        <v>10</v>
      </c>
      <c r="K14">
        <f t="shared" si="0"/>
        <v>11</v>
      </c>
      <c r="L14">
        <f t="shared" si="0"/>
        <v>12</v>
      </c>
      <c r="M14">
        <f t="shared" si="0"/>
        <v>13</v>
      </c>
      <c r="N14">
        <f t="shared" si="0"/>
        <v>14</v>
      </c>
      <c r="O14">
        <f t="shared" si="0"/>
        <v>15</v>
      </c>
      <c r="P14">
        <f t="shared" si="0"/>
        <v>16</v>
      </c>
      <c r="Q14">
        <f t="shared" si="0"/>
        <v>17</v>
      </c>
      <c r="R14">
        <f t="shared" si="0"/>
        <v>18</v>
      </c>
      <c r="S14">
        <f t="shared" si="0"/>
        <v>19</v>
      </c>
      <c r="T14">
        <f t="shared" si="0"/>
        <v>20</v>
      </c>
      <c r="U14">
        <f t="shared" si="0"/>
        <v>21</v>
      </c>
      <c r="V14">
        <f t="shared" si="0"/>
        <v>22</v>
      </c>
      <c r="W14">
        <f t="shared" si="0"/>
        <v>23</v>
      </c>
      <c r="X14">
        <f t="shared" si="0"/>
        <v>24</v>
      </c>
      <c r="Y14">
        <f t="shared" si="0"/>
        <v>25</v>
      </c>
      <c r="Z14">
        <f t="shared" si="0"/>
        <v>26</v>
      </c>
      <c r="AA14">
        <f t="shared" si="0"/>
        <v>27</v>
      </c>
      <c r="AB14">
        <f t="shared" si="0"/>
        <v>28</v>
      </c>
      <c r="AC14">
        <f t="shared" si="0"/>
        <v>29</v>
      </c>
    </row>
    <row r="15" spans="1:29" ht="7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32</v>
      </c>
      <c r="H15" s="1" t="s">
        <v>24</v>
      </c>
      <c r="I15" s="1" t="s">
        <v>31</v>
      </c>
      <c r="J15" s="1" t="s">
        <v>33</v>
      </c>
      <c r="K15" s="1" t="s">
        <v>34</v>
      </c>
      <c r="L15" s="1" t="s">
        <v>27</v>
      </c>
      <c r="M15" s="1" t="s">
        <v>30</v>
      </c>
      <c r="N15" s="1" t="s">
        <v>35</v>
      </c>
      <c r="O15" s="1" t="s">
        <v>28</v>
      </c>
      <c r="P15" s="1" t="s">
        <v>6</v>
      </c>
      <c r="Q15" s="1" t="s">
        <v>9</v>
      </c>
      <c r="R15" s="1" t="s">
        <v>29</v>
      </c>
      <c r="S15" s="1" t="s">
        <v>18</v>
      </c>
      <c r="T15" s="1" t="s">
        <v>7</v>
      </c>
      <c r="U15" s="1" t="s">
        <v>8</v>
      </c>
      <c r="V15" s="1" t="s">
        <v>61</v>
      </c>
      <c r="W15" s="1" t="s">
        <v>11</v>
      </c>
      <c r="X15" s="1" t="s">
        <v>12</v>
      </c>
      <c r="Y15" s="1" t="s">
        <v>13</v>
      </c>
      <c r="Z15" s="1" t="s">
        <v>14</v>
      </c>
      <c r="AA15" s="1" t="s">
        <v>16</v>
      </c>
      <c r="AB15" s="1" t="s">
        <v>38</v>
      </c>
    </row>
    <row r="16" spans="1:29" x14ac:dyDescent="0.25">
      <c r="A16" s="28" t="str">
        <f>IF(B13&lt;&gt;"PIK","",B7)</f>
        <v/>
      </c>
      <c r="B16" s="33" t="str">
        <f>IF(B13&lt;&gt;"PIK","",B4)</f>
        <v/>
      </c>
      <c r="C16" s="34" t="str">
        <f>IF(B13&lt;&gt;"PIK","",B6)</f>
        <v/>
      </c>
      <c r="D16" s="27" t="str">
        <f>IF(B13&lt;&gt;"PIK","",B2)</f>
        <v/>
      </c>
      <c r="E16" s="8" t="str">
        <f>IF(B13&lt;&gt;"PIK","",B3)</f>
        <v/>
      </c>
      <c r="F16" s="28" t="str">
        <f>IF(B13&lt;&gt;"PIK","",IF(E2=0,"",E2))</f>
        <v/>
      </c>
      <c r="G16" s="28" t="str">
        <f>IF(B13&lt;&gt;"PIK","",IF(E4=0,"",E4))</f>
        <v/>
      </c>
      <c r="H16" s="47" t="str">
        <f>IF(B13&lt;&gt;"PIK","",DATE(
YEAR(B16),
MONTH(B16)+
IF(
((YEAR($B$12)-YEAR(B16))*12+(MONTH($B$12)-MONTH(B16))---(DAY($B$12)&lt;DAY(B16)))=0,
1,
(YEAR($B$12)-YEAR(B16))*12+(MONTH($B$12)-MONTH(B16))---(DAY($B$12)&lt;DAY(B16))
),
DAY(B16)
))</f>
        <v/>
      </c>
      <c r="I16" s="13" t="str">
        <f>IF(B13&lt;&gt;"PIK","",IF(F16="","",DAY(F16-1)))</f>
        <v/>
      </c>
      <c r="J16" s="13" t="str">
        <f>IF(B13&lt;&gt;"PIK","",IFERROR(DAY(G16-1),""))</f>
        <v/>
      </c>
      <c r="K16" s="14" t="str">
        <f>IF(B13&lt;&gt;"PIK","",IFERROR(DAY($B$12)-J16,""))</f>
        <v/>
      </c>
      <c r="L16" s="13" t="str">
        <f>IF(B13&lt;&gt;"PIK","",IF((H16-$B$11)-1&gt;31,($B$12-B16)+1,(H16-$B$11)-1))</f>
        <v/>
      </c>
      <c r="M16" s="13" t="str">
        <f>IF(B13&lt;&gt;"PIK","",IF((H16-$B$11)-1&gt;31,"",IF(F16&lt;&gt;"",IF(I16&gt;L16,ABS(L16-I16)-1,0),$B$12-H16)+1))</f>
        <v/>
      </c>
      <c r="N16" s="13" t="str">
        <f>IF(B13&lt;&gt;"PIK","",IFERROR(J16-L16,""))</f>
        <v/>
      </c>
      <c r="O16" s="13" t="str">
        <f>IF(B13&lt;&gt;"PIK","",C16/36500)</f>
        <v/>
      </c>
      <c r="P16" s="19" t="str">
        <f>IF(B13&lt;&gt;"PIK","",(O16*D16)*MIN(L16,I16))</f>
        <v/>
      </c>
      <c r="Q16" s="20" t="str">
        <f>IF(B13&lt;&gt;"PIK","",IF(OR(L16&gt;I16,(H16-$B$11)-1&gt;31),0,(E16+P16)))</f>
        <v/>
      </c>
      <c r="R16" s="21" t="str">
        <f>IF(B13&lt;&gt;"PIK","",IF(L16&gt;I16,0,(D16+Q16)))</f>
        <v/>
      </c>
      <c r="S16" s="30" t="str">
        <f>IF(B13&lt;&gt;"PIK","",G4)</f>
        <v/>
      </c>
      <c r="T16" s="20" t="str">
        <f>IF(B13&lt;&gt;"PIK","",IFERROR(IF(G16="",(R16*O16)*M16,((R16*O16)*N16)+(((R16-S16)*O16)*K16)),))</f>
        <v/>
      </c>
      <c r="U16" s="20" t="str">
        <f>IF(B13&lt;&gt;"PIK","",P16+T16)</f>
        <v/>
      </c>
      <c r="V16" s="29" t="str">
        <f>IF(B13&lt;&gt;"PIK","",G2+G3)</f>
        <v/>
      </c>
      <c r="W16" s="29" t="str">
        <f>IF(B13&lt;&gt;"PIK","",G3)</f>
        <v/>
      </c>
      <c r="X16" s="22" t="str">
        <f>IF(B13&lt;&gt;"PIK","",0)</f>
        <v/>
      </c>
      <c r="Y16" s="22" t="str">
        <f>IF(B13&lt;&gt;"PIK","",W16+X16)</f>
        <v/>
      </c>
      <c r="Z16" s="22" t="str">
        <f>IF(B13&lt;&gt;"PIK","",IF(W16=0,0,-(E16+U16-Q16-W16)))</f>
        <v/>
      </c>
      <c r="AA16" s="22" t="str">
        <f>IF(B13&lt;&gt;"PIK","",D16-S16+Q16-(V16-W16))</f>
        <v/>
      </c>
      <c r="AB16" s="22" t="str">
        <f>IF(B13&lt;&gt;"PIK","",E16+U16-Q16-W16+Z16)</f>
        <v/>
      </c>
    </row>
    <row r="18" spans="1:28" x14ac:dyDescent="0.25">
      <c r="C18" s="10" t="s">
        <v>39</v>
      </c>
      <c r="D18" s="11" t="str">
        <f>A16</f>
        <v/>
      </c>
      <c r="K18" s="10" t="s">
        <v>39</v>
      </c>
      <c r="L18" s="11" t="str">
        <f>A35</f>
        <v/>
      </c>
    </row>
    <row r="19" spans="1:28" x14ac:dyDescent="0.25">
      <c r="C19" s="5" t="s">
        <v>67</v>
      </c>
      <c r="D19" s="15" t="str">
        <f>VLOOKUP($D$18,$A$16:$AB$16,D14,FALSE)</f>
        <v/>
      </c>
      <c r="K19" s="5" t="s">
        <v>67</v>
      </c>
      <c r="L19" s="15" t="str">
        <f>VLOOKUP($L$18,$A$35:$AC$35,D33,FALSE)</f>
        <v/>
      </c>
      <c r="V19" s="2"/>
      <c r="Z19" s="2"/>
      <c r="AB19" s="2"/>
    </row>
    <row r="20" spans="1:28" x14ac:dyDescent="0.25">
      <c r="C20" s="5" t="s">
        <v>68</v>
      </c>
      <c r="D20" s="15" t="str">
        <f>VLOOKUP($D$18,$A$16:$AB$16,E14,FALSE)</f>
        <v/>
      </c>
      <c r="F20" s="2"/>
      <c r="K20" s="5" t="s">
        <v>68</v>
      </c>
      <c r="L20" s="15" t="str">
        <f>VLOOKUP($L$18,$A$35:$AC$35,E33,FALSE)</f>
        <v/>
      </c>
      <c r="V20" s="2"/>
      <c r="Z20" s="2"/>
      <c r="AB20" s="2"/>
    </row>
    <row r="21" spans="1:28" x14ac:dyDescent="0.25">
      <c r="C21" s="5" t="s">
        <v>69</v>
      </c>
      <c r="D21" s="9" t="str">
        <f>VLOOKUP($D$18,$A$16:$AB$16,U14,FALSE)</f>
        <v/>
      </c>
      <c r="F21" s="2"/>
      <c r="G21" s="48" t="s">
        <v>40</v>
      </c>
      <c r="H21" s="48"/>
      <c r="K21" s="5" t="s">
        <v>69</v>
      </c>
      <c r="L21" s="9" t="str">
        <f>VLOOKUP($L$18,$A$35:$AC$35,Q33,FALSE)</f>
        <v/>
      </c>
      <c r="O21" s="49" t="s">
        <v>40</v>
      </c>
      <c r="P21" s="49"/>
      <c r="Z21" s="2"/>
      <c r="AB21" s="2"/>
    </row>
    <row r="22" spans="1:28" x14ac:dyDescent="0.25">
      <c r="C22" s="5" t="s">
        <v>70</v>
      </c>
      <c r="D22" s="15" t="str">
        <f>IFERROR(-(VLOOKUP($D$18,$A$16:$AB$16,V14,FALSE)-VLOOKUP($D$18,$A$16:$AB$16,W14,FALSE)),"")</f>
        <v/>
      </c>
      <c r="G22" s="10" t="s">
        <v>36</v>
      </c>
      <c r="H22" s="10" t="s">
        <v>37</v>
      </c>
      <c r="K22" s="5" t="s">
        <v>70</v>
      </c>
      <c r="L22" s="15" t="str">
        <f>IFERROR(-(VLOOKUP($L$18,$A$35:$AC$35,T14,FALSE)-VLOOKUP($L$18,$A$35:$AC$35,U14,FALSE)),"")</f>
        <v/>
      </c>
      <c r="O22" s="10" t="s">
        <v>36</v>
      </c>
      <c r="P22" s="10" t="s">
        <v>37</v>
      </c>
      <c r="Z22" s="2"/>
      <c r="AB22" s="2"/>
    </row>
    <row r="23" spans="1:28" x14ac:dyDescent="0.25">
      <c r="C23" s="5" t="s">
        <v>71</v>
      </c>
      <c r="D23" s="15" t="str">
        <f>IFERROR(-(VLOOKUP($D$18,$A$16:$AB$16,W14,FALSE)),"")</f>
        <v/>
      </c>
      <c r="G23" s="7" t="str">
        <f>IFERROR(D19+D22+D26+D27,"")</f>
        <v/>
      </c>
      <c r="H23" s="7" t="str">
        <f>IFERROR(D20+D21+D23+D24+D25,"")</f>
        <v/>
      </c>
      <c r="K23" s="5" t="s">
        <v>71</v>
      </c>
      <c r="L23" s="15" t="str">
        <f>IFERROR(-VLOOKUP($L$18,$A$35:$AC$35,U33,FALSE),"")</f>
        <v/>
      </c>
      <c r="O23" s="7" t="str">
        <f>IFERROR(L19+L22+L25,"")</f>
        <v/>
      </c>
      <c r="P23" s="7" t="str">
        <f>IFERROR(L20+L21+L23+L24,"")</f>
        <v/>
      </c>
    </row>
    <row r="24" spans="1:28" x14ac:dyDescent="0.25">
      <c r="C24" s="5" t="s">
        <v>72</v>
      </c>
      <c r="D24" s="9" t="str">
        <f>VLOOKUP($D$18,$A$16:$AB$16,Z14,FALSE)</f>
        <v/>
      </c>
      <c r="G24" s="7" t="str">
        <f>VLOOKUP($D$18,$A$16:$AB$16,AA14,FALSE)</f>
        <v/>
      </c>
      <c r="H24" s="7" t="str">
        <f>VLOOKUP($D$18,$A$16:$AB$16,AB14,FALSE)</f>
        <v/>
      </c>
      <c r="K24" s="5" t="s">
        <v>72</v>
      </c>
      <c r="L24" s="9" t="str">
        <f>VLOOKUP($L$18,$A$35:$AC$35,X33,FALSE)</f>
        <v/>
      </c>
      <c r="O24" s="7" t="str">
        <f>VLOOKUP($L$18,$A$35:$AC$35,Z33,FALSE)</f>
        <v/>
      </c>
      <c r="P24" s="7" t="str">
        <f>VLOOKUP($L$18,$A$35:$AC$35,AA33,FALSE)</f>
        <v/>
      </c>
    </row>
    <row r="25" spans="1:28" x14ac:dyDescent="0.25">
      <c r="C25" s="5" t="s">
        <v>73</v>
      </c>
      <c r="D25" s="9" t="str">
        <f>IFERROR(-(VLOOKUP($D$18,$A$16:$AB$16,Q14,FALSE)),"")</f>
        <v/>
      </c>
      <c r="G25" s="7" t="str">
        <f>IFERROR(G24-G23,"")</f>
        <v/>
      </c>
      <c r="H25" s="7" t="str">
        <f>IFERROR(H24-H23,"")</f>
        <v/>
      </c>
      <c r="K25" s="5" t="s">
        <v>75</v>
      </c>
      <c r="L25" s="15" t="str">
        <f>IFERROR(-VLOOKUP($L$18,$A$35:$AC$35,S33,FALSE),"")</f>
        <v/>
      </c>
      <c r="O25" s="7" t="str">
        <f>IFERROR(O24-O23,"")</f>
        <v/>
      </c>
      <c r="P25" s="7" t="str">
        <f>IFERROR(P24-P23,"")</f>
        <v/>
      </c>
    </row>
    <row r="26" spans="1:28" x14ac:dyDescent="0.25">
      <c r="C26" s="5" t="s">
        <v>74</v>
      </c>
      <c r="D26" s="9" t="str">
        <f>VLOOKUP($D$18,$A$16:$AB$16,Q14,FALSE)</f>
        <v/>
      </c>
      <c r="F26" s="2"/>
      <c r="G26" s="2"/>
    </row>
    <row r="27" spans="1:28" x14ac:dyDescent="0.25">
      <c r="C27" s="5" t="s">
        <v>75</v>
      </c>
      <c r="D27" s="15" t="str">
        <f>IFERROR(-VLOOKUP($D$18,$A$16:$AB$16,S14,FALSE),"")</f>
        <v/>
      </c>
    </row>
    <row r="30" spans="1:28" x14ac:dyDescent="0.25">
      <c r="A30" s="10" t="s">
        <v>26</v>
      </c>
      <c r="B30" s="16">
        <f>B11</f>
        <v>45657</v>
      </c>
    </row>
    <row r="31" spans="1:28" x14ac:dyDescent="0.25">
      <c r="A31" s="10" t="s">
        <v>25</v>
      </c>
      <c r="B31" s="16">
        <f>B12</f>
        <v>45688</v>
      </c>
    </row>
    <row r="32" spans="1:28" x14ac:dyDescent="0.25">
      <c r="A32" s="10" t="s">
        <v>52</v>
      </c>
      <c r="B32" s="18" t="str">
        <f>IF(B5="ACCRUAL",B5,"")</f>
        <v/>
      </c>
    </row>
    <row r="33" spans="1:34" x14ac:dyDescent="0.25">
      <c r="A33">
        <f>COLUMN(A34)</f>
        <v>1</v>
      </c>
      <c r="B33">
        <f t="shared" ref="B33:AA33" si="1">COLUMN(B34)</f>
        <v>2</v>
      </c>
      <c r="C33">
        <f t="shared" si="1"/>
        <v>3</v>
      </c>
      <c r="D33">
        <f t="shared" si="1"/>
        <v>4</v>
      </c>
      <c r="E33">
        <f t="shared" si="1"/>
        <v>5</v>
      </c>
      <c r="F33">
        <f t="shared" si="1"/>
        <v>6</v>
      </c>
      <c r="G33">
        <f t="shared" si="1"/>
        <v>7</v>
      </c>
      <c r="H33">
        <f t="shared" si="1"/>
        <v>8</v>
      </c>
      <c r="I33">
        <f t="shared" si="1"/>
        <v>9</v>
      </c>
      <c r="J33">
        <f t="shared" si="1"/>
        <v>10</v>
      </c>
      <c r="K33">
        <f t="shared" si="1"/>
        <v>11</v>
      </c>
      <c r="L33">
        <f t="shared" si="1"/>
        <v>12</v>
      </c>
      <c r="M33">
        <f t="shared" si="1"/>
        <v>13</v>
      </c>
      <c r="N33">
        <f t="shared" si="1"/>
        <v>14</v>
      </c>
      <c r="O33">
        <f t="shared" si="1"/>
        <v>15</v>
      </c>
      <c r="P33">
        <f t="shared" si="1"/>
        <v>16</v>
      </c>
      <c r="Q33">
        <f t="shared" si="1"/>
        <v>17</v>
      </c>
      <c r="R33">
        <f t="shared" si="1"/>
        <v>18</v>
      </c>
      <c r="S33">
        <f t="shared" si="1"/>
        <v>19</v>
      </c>
      <c r="T33">
        <f t="shared" si="1"/>
        <v>20</v>
      </c>
      <c r="U33">
        <f t="shared" si="1"/>
        <v>21</v>
      </c>
      <c r="V33">
        <f t="shared" si="1"/>
        <v>22</v>
      </c>
      <c r="W33">
        <f t="shared" si="1"/>
        <v>23</v>
      </c>
      <c r="X33">
        <f t="shared" si="1"/>
        <v>24</v>
      </c>
      <c r="Y33">
        <f t="shared" si="1"/>
        <v>25</v>
      </c>
      <c r="Z33">
        <f t="shared" si="1"/>
        <v>26</v>
      </c>
      <c r="AA33">
        <f t="shared" si="1"/>
        <v>27</v>
      </c>
    </row>
    <row r="34" spans="1:34" ht="75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7" t="s">
        <v>41</v>
      </c>
      <c r="G34" s="1" t="s">
        <v>42</v>
      </c>
      <c r="H34" s="1" t="s">
        <v>45</v>
      </c>
      <c r="I34" s="1" t="s">
        <v>50</v>
      </c>
      <c r="J34" s="1" t="s">
        <v>43</v>
      </c>
      <c r="K34" s="1" t="s">
        <v>32</v>
      </c>
      <c r="L34" s="1" t="s">
        <v>5</v>
      </c>
      <c r="M34" s="1" t="s">
        <v>46</v>
      </c>
      <c r="N34" s="1" t="s">
        <v>47</v>
      </c>
      <c r="O34" s="1" t="s">
        <v>48</v>
      </c>
      <c r="P34" s="1" t="s">
        <v>49</v>
      </c>
      <c r="Q34" s="1" t="s">
        <v>51</v>
      </c>
      <c r="R34" s="1" t="s">
        <v>10</v>
      </c>
      <c r="S34" s="1" t="s">
        <v>18</v>
      </c>
      <c r="T34" s="1" t="s">
        <v>44</v>
      </c>
      <c r="U34" s="1" t="s">
        <v>11</v>
      </c>
      <c r="V34" s="1" t="s">
        <v>12</v>
      </c>
      <c r="W34" s="1" t="s">
        <v>13</v>
      </c>
      <c r="X34" s="1" t="s">
        <v>14</v>
      </c>
      <c r="Y34" s="1" t="s">
        <v>15</v>
      </c>
      <c r="Z34" s="1" t="s">
        <v>16</v>
      </c>
      <c r="AA34" s="1" t="s">
        <v>17</v>
      </c>
    </row>
    <row r="35" spans="1:34" x14ac:dyDescent="0.25">
      <c r="A35" s="28" t="str">
        <f>IF(B32&lt;&gt;"ACCRUAL","",B7)</f>
        <v/>
      </c>
      <c r="B35" s="33" t="str">
        <f>IF(B32&lt;&gt;"ACCRUAL","",B4)</f>
        <v/>
      </c>
      <c r="C35" s="34" t="str">
        <f>IF(B32&lt;&gt;"ACCRUAL","",B6)</f>
        <v/>
      </c>
      <c r="D35" s="27" t="str">
        <f>IF(B32&lt;&gt;"ACCRUAL","",B2)</f>
        <v/>
      </c>
      <c r="E35" s="8" t="str">
        <f>IF(B32&lt;&gt;"ACCRUAL","",B3)</f>
        <v/>
      </c>
      <c r="F35" s="12" t="str">
        <f>IF(B32&lt;&gt;"ACCRUAL","",DAY($B$31))</f>
        <v/>
      </c>
      <c r="G35" s="13" t="str">
        <f>IF(B32&lt;&gt;"ACCRUAL","",IF(L35="",0,(L35-$B$30)-1))</f>
        <v/>
      </c>
      <c r="H35" s="13" t="str">
        <f>IF(B32&lt;&gt;"ACCRUAL","",IF(K35="",0,(K35-$B$30)-1))</f>
        <v/>
      </c>
      <c r="I35" s="6" t="str">
        <f>IF(B32&lt;&gt;"ACCRUAL","",IF(
((YEAR($B$31)-YEAR(B35))*12+(MONTH($B$31)-MONTH(B35))---(DAY($B$31)&lt;DAY(B35)))=0,
$B$31-B35+1,
0
))</f>
        <v/>
      </c>
      <c r="J35" s="13" t="str">
        <f>IF(B32&lt;&gt;"ACCRUAL","",C35/36500)</f>
        <v/>
      </c>
      <c r="K35" s="28" t="str">
        <f>IF(B32&lt;&gt;"ACCRUAL","",IF(E4=0,"",E4))</f>
        <v/>
      </c>
      <c r="L35" s="28" t="str">
        <f>IF(B32&lt;&gt;"ACCRUAL","",IF(E2=0,"",E2))</f>
        <v/>
      </c>
      <c r="M35" s="24" t="str">
        <f>IF(B32&lt;&gt;"ACCRUAL","",IF(
AND(
L35="",
K35="",
((YEAR($B$31)-YEAR(B35))*12+(MONTH($B$31)-MONTH(B35))---(DAY($B$31)&lt;DAY(B35)))&lt;&gt;0
),
((J35-S35)*D35)*F35,
0
))</f>
        <v/>
      </c>
      <c r="N35" s="25" t="str">
        <f>IF(B32&lt;&gt;"ACCRUAL","",((J35*D35)*G35))</f>
        <v/>
      </c>
      <c r="O35" s="25" t="str">
        <f>IF(B32&lt;&gt;"ACCRUAL","",IF(K35="",0,((D35*J35)*H35)+(((D35-S35)*J35)*(F35-H35))))</f>
        <v/>
      </c>
      <c r="P35" s="46" t="str">
        <f>IF(B32&lt;&gt;"ACCRUAL","",IF(
((YEAR($B$31)-YEAR(B35))*12+(MONTH($B$31)-MONTH(B35))---(DAY($B$31)&lt;DAY(B35)))=0,
(D35*J35)*I35,
0
))</f>
        <v/>
      </c>
      <c r="Q35" s="25" t="str">
        <f>IF(B32&lt;&gt;"ACCRUAL","",M35+N35+O35+P35)</f>
        <v/>
      </c>
      <c r="R35" s="24">
        <v>0</v>
      </c>
      <c r="S35" s="35" t="str">
        <f>IF(B32&lt;&gt;"ACCRUAL","",G4)</f>
        <v/>
      </c>
      <c r="T35" s="36" t="str">
        <f>IF(B32&lt;&gt;"ACCRUAL","",G2+G3)</f>
        <v/>
      </c>
      <c r="U35" s="36" t="str">
        <f>IF(B32&lt;&gt;"ACCRUAL","",G3)</f>
        <v/>
      </c>
      <c r="V35" s="26" t="str">
        <f>IF(B32&lt;&gt;"ACCRUAL","",0)</f>
        <v/>
      </c>
      <c r="W35" s="26" t="str">
        <f>IF(B32&lt;&gt;"ACCRUAL","",U35+V35)</f>
        <v/>
      </c>
      <c r="X35" s="26" t="str">
        <f>IF(B32&lt;&gt;"ACCRUAL","",IF(W35=0,0,-(E35+Q35-W35)))</f>
        <v/>
      </c>
      <c r="Y35" s="26" t="str">
        <f>IF(B32&lt;&gt;"ACCRUAL","",X35+Q35)</f>
        <v/>
      </c>
      <c r="Z35" s="26" t="str">
        <f>IF(B32&lt;&gt;"ACCRUAL","",D35-S35-(T35-U35))</f>
        <v/>
      </c>
      <c r="AA35" s="26" t="str">
        <f>IF(B32&lt;&gt;"ACCRUAL","",E35+Q35-W35+X35)</f>
        <v/>
      </c>
      <c r="AG35" s="2"/>
      <c r="AH35" s="2"/>
    </row>
    <row r="36" spans="1:34" ht="15.75" thickBot="1" x14ac:dyDescent="0.3"/>
    <row r="37" spans="1:34" ht="21.75" thickBot="1" x14ac:dyDescent="0.4">
      <c r="A37" s="50" t="s">
        <v>62</v>
      </c>
      <c r="B37" s="50"/>
      <c r="C37" s="50"/>
      <c r="D37" s="50"/>
      <c r="E37" s="50"/>
      <c r="F37" s="50"/>
      <c r="G37" s="50"/>
      <c r="H37" s="50"/>
    </row>
    <row r="38" spans="1:34" x14ac:dyDescent="0.25">
      <c r="A38" s="37" t="s">
        <v>56</v>
      </c>
      <c r="B38" s="37" t="s">
        <v>63</v>
      </c>
      <c r="C38" s="37" t="s">
        <v>22</v>
      </c>
      <c r="D38" s="37" t="s">
        <v>64</v>
      </c>
      <c r="E38" s="37" t="s">
        <v>55</v>
      </c>
      <c r="F38" s="37" t="s">
        <v>65</v>
      </c>
    </row>
    <row r="39" spans="1:34" x14ac:dyDescent="0.25">
      <c r="A39" s="16" t="str">
        <f>IF($B$7="","",$B$12)</f>
        <v/>
      </c>
      <c r="B39" s="16" t="str">
        <f>IF($B$7="","",$A$39)</f>
        <v/>
      </c>
      <c r="C39" s="6" t="str">
        <f>IF($B$7="","",$B$7)</f>
        <v/>
      </c>
      <c r="D39" s="5" t="str">
        <f>IF($B$7="","","INTEREST_ACCRUAL")</f>
        <v/>
      </c>
      <c r="E39" s="38" t="str">
        <f>IF($B$7="","",IF(B5="PIK",ROUND(D21,4),ROUND(L21,4)))</f>
        <v/>
      </c>
      <c r="F39" s="6" t="str">
        <f>IF($B$7="","",$B$8)</f>
        <v/>
      </c>
    </row>
    <row r="40" spans="1:34" x14ac:dyDescent="0.25">
      <c r="A40" s="16" t="str">
        <f t="shared" ref="A40:A42" si="2">IF($B$7="","",$B$12)</f>
        <v/>
      </c>
      <c r="B40" s="16" t="str">
        <f t="shared" ref="B40:B42" si="3">IF($B$7="","",$A$39)</f>
        <v/>
      </c>
      <c r="C40" s="6" t="str">
        <f t="shared" ref="C40:C42" si="4">IF($B$7="","",$B$7)</f>
        <v/>
      </c>
      <c r="D40" s="5" t="str">
        <f>IF($B$7="","","PAYOFF_INTERESTADJ")</f>
        <v/>
      </c>
      <c r="E40" s="38" t="str">
        <f>IF($B$7="","",IF(B5="PIK",ROUND(D24,4),ROUND(L24,4)))</f>
        <v/>
      </c>
      <c r="F40" s="6" t="str">
        <f t="shared" ref="F40:F42" si="5">IF($B$7="","",$B$8)</f>
        <v/>
      </c>
    </row>
    <row r="41" spans="1:34" x14ac:dyDescent="0.25">
      <c r="A41" s="16" t="str">
        <f t="shared" si="2"/>
        <v/>
      </c>
      <c r="B41" s="16" t="str">
        <f t="shared" si="3"/>
        <v/>
      </c>
      <c r="C41" s="6" t="str">
        <f t="shared" si="4"/>
        <v/>
      </c>
      <c r="D41" s="5" t="str">
        <f>IF($B$7="","","CAPITALIZED_INTEREST")</f>
        <v/>
      </c>
      <c r="E41" s="38" t="str">
        <f>IF($B$7="","",IF(B5="PIK",ROUND(D25,4),0))</f>
        <v/>
      </c>
      <c r="F41" s="6" t="str">
        <f t="shared" si="5"/>
        <v/>
      </c>
    </row>
    <row r="42" spans="1:34" x14ac:dyDescent="0.25">
      <c r="A42" s="16" t="str">
        <f t="shared" si="2"/>
        <v/>
      </c>
      <c r="B42" s="16" t="str">
        <f t="shared" si="3"/>
        <v/>
      </c>
      <c r="C42" s="6" t="str">
        <f t="shared" si="4"/>
        <v/>
      </c>
      <c r="D42" s="5" t="str">
        <f>IF($B$7="","","CAPITALIZED_PRINCIPAL")</f>
        <v/>
      </c>
      <c r="E42" s="38" t="str">
        <f>IF($B$7="","",IF(B5="PIK",ROUND(D26,4),0))</f>
        <v/>
      </c>
      <c r="F42" s="6" t="str">
        <f t="shared" si="5"/>
        <v/>
      </c>
    </row>
  </sheetData>
  <mergeCells count="3">
    <mergeCell ref="G21:H21"/>
    <mergeCell ref="O21:P21"/>
    <mergeCell ref="A37:H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A342-A347-47BB-A096-62D2DB0C58A0}">
  <sheetPr>
    <tabColor rgb="FF92D050"/>
  </sheetPr>
  <dimension ref="A1:F5"/>
  <sheetViews>
    <sheetView workbookViewId="0">
      <selection activeCell="H4" sqref="H4"/>
    </sheetView>
  </sheetViews>
  <sheetFormatPr defaultRowHeight="15" x14ac:dyDescent="0.25"/>
  <cols>
    <col min="1" max="1" width="11.7109375" style="3" bestFit="1" customWidth="1"/>
    <col min="2" max="2" width="15.42578125" style="3" bestFit="1" customWidth="1"/>
    <col min="3" max="3" width="12.5703125" bestFit="1" customWidth="1"/>
    <col min="4" max="4" width="16.5703125" bestFit="1" customWidth="1"/>
    <col min="5" max="5" width="8.140625" bestFit="1" customWidth="1"/>
    <col min="6" max="6" width="10.85546875" bestFit="1" customWidth="1"/>
  </cols>
  <sheetData>
    <row r="1" spans="1:6" x14ac:dyDescent="0.25">
      <c r="A1" s="43" t="s">
        <v>56</v>
      </c>
      <c r="B1" s="43" t="s">
        <v>63</v>
      </c>
      <c r="C1" s="39" t="s">
        <v>22</v>
      </c>
      <c r="D1" s="39" t="s">
        <v>58</v>
      </c>
      <c r="E1" s="39" t="s">
        <v>55</v>
      </c>
      <c r="F1" s="39" t="s">
        <v>65</v>
      </c>
    </row>
    <row r="2" spans="1:6" x14ac:dyDescent="0.25">
      <c r="A2" s="3" t="str">
        <f>Calculation!A39</f>
        <v/>
      </c>
      <c r="B2" s="3" t="str">
        <f>Calculation!B39</f>
        <v/>
      </c>
      <c r="C2" t="str">
        <f>Calculation!C39</f>
        <v/>
      </c>
      <c r="D2" t="str">
        <f>Calculation!D39</f>
        <v/>
      </c>
      <c r="E2" t="str">
        <f>Calculation!E39</f>
        <v/>
      </c>
      <c r="F2" t="str">
        <f>Calculation!F39</f>
        <v/>
      </c>
    </row>
    <row r="3" spans="1:6" x14ac:dyDescent="0.25">
      <c r="A3" s="3" t="str">
        <f>Calculation!A40</f>
        <v/>
      </c>
      <c r="B3" s="3" t="str">
        <f>Calculation!B40</f>
        <v/>
      </c>
      <c r="C3" t="str">
        <f>Calculation!C40</f>
        <v/>
      </c>
      <c r="D3" t="str">
        <f>Calculation!D40</f>
        <v/>
      </c>
      <c r="E3" t="str">
        <f>Calculation!E40</f>
        <v/>
      </c>
      <c r="F3" t="str">
        <f>Calculation!F40</f>
        <v/>
      </c>
    </row>
    <row r="4" spans="1:6" x14ac:dyDescent="0.25">
      <c r="A4" s="3" t="str">
        <f>Calculation!A41</f>
        <v/>
      </c>
      <c r="B4" s="3" t="str">
        <f>Calculation!B41</f>
        <v/>
      </c>
      <c r="C4" t="str">
        <f>Calculation!C41</f>
        <v/>
      </c>
      <c r="D4" t="str">
        <f>Calculation!D41</f>
        <v/>
      </c>
      <c r="E4" t="str">
        <f>Calculation!E41</f>
        <v/>
      </c>
      <c r="F4" t="str">
        <f>Calculation!F41</f>
        <v/>
      </c>
    </row>
    <row r="5" spans="1:6" x14ac:dyDescent="0.25">
      <c r="A5" s="3" t="str">
        <f>Calculation!A42</f>
        <v/>
      </c>
      <c r="B5" s="3" t="str">
        <f>Calculation!B42</f>
        <v/>
      </c>
      <c r="C5" t="str">
        <f>Calculation!C42</f>
        <v/>
      </c>
      <c r="D5" t="str">
        <f>Calculation!D42</f>
        <v/>
      </c>
      <c r="E5" t="str">
        <f>Calculation!E42</f>
        <v/>
      </c>
      <c r="F5" t="str">
        <f>Calculation!F42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toValley xmlns="5473e3af-2a01-4602-ae48-e408a4bd7dae">true</SenttoValley>
    <TaxCatchAll xmlns="8580efd2-8184-469e-9c71-58014ca3276e" xsi:nil="true"/>
    <lcf76f155ced4ddcb4097134ff3c332f xmlns="5473e3af-2a01-4602-ae48-e408a4bd7d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432B0E955F24AA0D41FCF01EE227F" ma:contentTypeVersion="16" ma:contentTypeDescription="Create a new document." ma:contentTypeScope="" ma:versionID="d07f073a6955c7336ba87148cc0eb23a">
  <xsd:schema xmlns:xsd="http://www.w3.org/2001/XMLSchema" xmlns:xs="http://www.w3.org/2001/XMLSchema" xmlns:p="http://schemas.microsoft.com/office/2006/metadata/properties" xmlns:ns2="5473e3af-2a01-4602-ae48-e408a4bd7dae" xmlns:ns3="4c6cca36-c6f2-4e5f-94ac-9f1b68c22470" xmlns:ns4="8580efd2-8184-469e-9c71-58014ca3276e" targetNamespace="http://schemas.microsoft.com/office/2006/metadata/properties" ma:root="true" ma:fieldsID="01e02218117e62831f8dc850c6006c19" ns2:_="" ns3:_="" ns4:_="">
    <xsd:import namespace="5473e3af-2a01-4602-ae48-e408a4bd7dae"/>
    <xsd:import namespace="4c6cca36-c6f2-4e5f-94ac-9f1b68c22470"/>
    <xsd:import namespace="8580efd2-8184-469e-9c71-58014ca32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enttoValle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3e3af-2a01-4602-ae48-e408a4bd7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73e62eb-4bee-4229-8ddd-ea4d82805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nttoValley" ma:index="23" nillable="true" ma:displayName="Sent to Valley" ma:default="1" ma:format="Dropdown" ma:internalName="SenttoValley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cca36-c6f2-4e5f-94ac-9f1b68c224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0efd2-8184-469e-9c71-58014ca327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795f368-80e6-454d-8706-7d0768a9016c}" ma:internalName="TaxCatchAll" ma:showField="CatchAllData" ma:web="4c6cca36-c6f2-4e5f-94ac-9f1b68c224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35CFEF-7BEE-4959-A36C-737CEF7227A3}">
  <ds:schemaRefs>
    <ds:schemaRef ds:uri="http://schemas.microsoft.com/office/2006/metadata/properties"/>
    <ds:schemaRef ds:uri="http://schemas.microsoft.com/office/infopath/2007/PartnerControls"/>
    <ds:schemaRef ds:uri="5473e3af-2a01-4602-ae48-e408a4bd7dae"/>
    <ds:schemaRef ds:uri="8580efd2-8184-469e-9c71-58014ca3276e"/>
  </ds:schemaRefs>
</ds:datastoreItem>
</file>

<file path=customXml/itemProps2.xml><?xml version="1.0" encoding="utf-8"?>
<ds:datastoreItem xmlns:ds="http://schemas.openxmlformats.org/officeDocument/2006/customXml" ds:itemID="{B44B57B0-B813-4FA9-94DC-13406D6273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2BD484-720F-44FD-BEBA-CB48F121A9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3e3af-2a01-4602-ae48-e408a4bd7dae"/>
    <ds:schemaRef ds:uri="4c6cca36-c6f2-4e5f-94ac-9f1b68c22470"/>
    <ds:schemaRef ds:uri="8580efd2-8184-469e-9c71-58014ca327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</vt:lpstr>
      <vt:lpstr>PMT</vt:lpstr>
      <vt:lpstr>EOD</vt:lpstr>
      <vt:lpstr>Calculation</vt:lpstr>
      <vt:lpstr>o_Transaction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T Hsiung</dc:creator>
  <cp:keywords/>
  <dc:description/>
  <cp:lastModifiedBy>Rafay Ahmed</cp:lastModifiedBy>
  <cp:revision/>
  <dcterms:created xsi:type="dcterms:W3CDTF">2025-06-25T15:24:25Z</dcterms:created>
  <dcterms:modified xsi:type="dcterms:W3CDTF">2025-12-13T06:53:48Z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0x010100034432B0E955F24AA0D41FCF01EE227F</vt:lpwstr>
  </property>
  <property fmtid="{D5CDD505-2E9C-101B-9397-08002B2CF9AE}" pid="3" name="MediaServiceImageTags">
    <vt:lpwstr/>
  </property>
</Properties>
</file>