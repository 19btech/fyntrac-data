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FA7C6646-8A1C-49FA-8B63-A26639C7BEAE}" xr6:coauthVersionLast="47" xr6:coauthVersionMax="47" xr10:uidLastSave="{00000000-0000-0000-0000-000000000000}"/>
  <bookViews>
    <workbookView xWindow="-120" yWindow="-120" windowWidth="29040" windowHeight="17520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0" l="1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12" i="10"/>
  <c r="B8" i="10"/>
  <c r="B6" i="10"/>
  <c r="B5" i="10"/>
  <c r="B4" i="10"/>
  <c r="B3" i="10"/>
  <c r="B2" i="10"/>
  <c r="D5" i="12"/>
  <c r="D4" i="12"/>
  <c r="D3" i="12"/>
  <c r="D2" i="12"/>
  <c r="B11" i="10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I35" i="10" l="1"/>
  <c r="J35" i="10"/>
  <c r="K35" i="10"/>
  <c r="L35" i="10"/>
  <c r="G35" i="10" s="1"/>
  <c r="W35" i="10"/>
  <c r="X35" i="10"/>
  <c r="Y35" i="10"/>
  <c r="Z35" i="10"/>
  <c r="M35" i="10"/>
  <c r="Q35" i="10" s="1"/>
  <c r="AA35" i="10"/>
  <c r="A35" i="10"/>
  <c r="L18" i="10" s="1"/>
  <c r="N35" i="10"/>
  <c r="B35" i="10"/>
  <c r="O35" i="10"/>
  <c r="C35" i="10"/>
  <c r="P35" i="10"/>
  <c r="D35" i="10"/>
  <c r="S35" i="10"/>
  <c r="E35" i="10"/>
  <c r="T35" i="10"/>
  <c r="F35" i="10"/>
  <c r="U35" i="10"/>
  <c r="H35" i="10"/>
  <c r="E16" i="10"/>
  <c r="V16" i="10"/>
  <c r="F16" i="10"/>
  <c r="W16" i="10"/>
  <c r="Z16" i="10" s="1"/>
  <c r="G16" i="10"/>
  <c r="I16" i="10"/>
  <c r="J16" i="10"/>
  <c r="K16" i="10" s="1"/>
  <c r="S16" i="10"/>
  <c r="X16" i="10"/>
  <c r="A16" i="10"/>
  <c r="D18" i="10" s="1"/>
  <c r="Y16" i="10"/>
  <c r="B16" i="10"/>
  <c r="H16" i="10" s="1"/>
  <c r="C16" i="10"/>
  <c r="O16" i="10" s="1"/>
  <c r="D16" i="10"/>
  <c r="D20" i="10" l="1"/>
  <c r="L20" i="10"/>
  <c r="L25" i="10"/>
  <c r="L23" i="10"/>
  <c r="L22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<sst xmlns="http://schemas.openxmlformats.org/spreadsheetml/2006/main" count="134" uniqueCount="86">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</sst>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50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14" fontId="0" fillId="0" borderId="2" xfId="0" applyNumberFormat="1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  <xf numFmtId="14" fontId="8" fillId="0" borderId="0" xfId="1" applyNumberFormat="1" applyFont="1"/>
    <xf numFmtId="14" fontId="8" fillId="0" borderId="0" xfId="0" applyNumberFormat="1" applyFont="1"/>
    <xf numFmtId="14" fontId="8" fillId="8" borderId="0" xfId="1" applyNumberFormat="1" applyFont="1" applyFill="1"/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tabSelected="1" workbookViewId="0">
      <selection activeCell="D8" sqref="D8"/>
    </sheetView>
  </sheetViews>
  <sheetFormatPr defaultRowHeight="15" x14ac:dyDescent="0.25"/>
  <cols>
    <col min="1" max="1" width="17.85546875" style="3" customWidth="1"/>
    <col min="2" max="2" width="17.5703125" style="3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7" t="s">
        <v>56</v>
      </c>
      <c r="B1" s="48" t="s">
        <v>57</v>
      </c>
      <c r="C1" s="40" t="s">
        <v>22</v>
      </c>
      <c r="D1" s="40" t="s">
        <v>65</v>
      </c>
      <c r="E1" s="41" t="s">
        <v>77</v>
      </c>
      <c r="F1" s="4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F5" sqref="F5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7" t="s">
        <v>56</v>
      </c>
      <c r="B1" s="48" t="s">
        <v>57</v>
      </c>
      <c r="C1" s="40" t="s">
        <v>22</v>
      </c>
      <c r="D1" s="40" t="s">
        <v>65</v>
      </c>
      <c r="E1" s="41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workbookViewId="0">
      <selection activeCell="A4" sqref="A4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style="3" bestFit="1" customWidth="1"/>
    <col min="8" max="8" width="39" bestFit="1" customWidth="1"/>
    <col min="9" max="9" width="35.28515625" bestFit="1" customWidth="1"/>
  </cols>
  <sheetData>
    <row r="1" spans="1:9" x14ac:dyDescent="0.25">
      <c r="A1" s="47" t="s">
        <v>56</v>
      </c>
      <c r="B1" s="48" t="s">
        <v>57</v>
      </c>
      <c r="C1" s="40" t="s">
        <v>22</v>
      </c>
      <c r="D1" s="40" t="s">
        <v>65</v>
      </c>
      <c r="E1" s="43" t="s">
        <v>81</v>
      </c>
      <c r="F1" s="43" t="s">
        <v>82</v>
      </c>
      <c r="G1" s="49" t="s">
        <v>83</v>
      </c>
      <c r="H1" s="42" t="s">
        <v>84</v>
      </c>
      <c r="I1" s="42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workbookViewId="0">
      <selection activeCell="F1" sqref="F1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7">
        <f>$B$12</f>
        <v>0</v>
      </c>
      <c r="E2" s="17">
        <f>PO!B2</f>
        <v>0</v>
      </c>
      <c r="F2" s="33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7">
        <f>$B$12</f>
        <v>0</v>
      </c>
      <c r="E3" s="17">
        <f>PO!B2</f>
        <v>0</v>
      </c>
      <c r="F3" s="33" t="s">
        <v>20</v>
      </c>
      <c r="G3" s="6">
        <f>-PO!F2</f>
        <v>0</v>
      </c>
    </row>
    <row r="4" spans="1:29" x14ac:dyDescent="0.25">
      <c r="A4" s="32" t="s">
        <v>59</v>
      </c>
      <c r="B4" s="17">
        <f>EOD!G2</f>
        <v>0</v>
      </c>
      <c r="D4" s="17">
        <f>$B$12</f>
        <v>0</v>
      </c>
      <c r="E4" s="17">
        <f>PMT!B2</f>
        <v>0</v>
      </c>
      <c r="F4" s="33" t="s">
        <v>21</v>
      </c>
      <c r="G4" s="6">
        <f>-PMT!E2</f>
        <v>0</v>
      </c>
    </row>
    <row r="5" spans="1:29" x14ac:dyDescent="0.25">
      <c r="A5" s="32" t="s">
        <v>53</v>
      </c>
      <c r="B5" s="6">
        <f>EOD!H2</f>
        <v>0</v>
      </c>
    </row>
    <row r="6" spans="1:29" x14ac:dyDescent="0.25">
      <c r="A6" s="32" t="s">
        <v>23</v>
      </c>
      <c r="B6" s="6">
        <f>EOD!I2</f>
        <v>0</v>
      </c>
    </row>
    <row r="7" spans="1:29" x14ac:dyDescent="0.25">
      <c r="A7" s="32" t="s">
        <v>60</v>
      </c>
      <c r="B7" s="6" t="str">
        <f>IF(EOD!C2="","",EOD!C2)</f>
        <v/>
      </c>
    </row>
    <row r="8" spans="1:29" x14ac:dyDescent="0.25">
      <c r="A8" s="32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7" t="str">
        <f>IFERROR(EOMONTH(B12,-1),"")</f>
        <v/>
      </c>
    </row>
    <row r="12" spans="1:29" x14ac:dyDescent="0.25">
      <c r="A12" s="10" t="s">
        <v>25</v>
      </c>
      <c r="B12" s="17">
        <f>EOD!A2</f>
        <v>0</v>
      </c>
      <c r="Q12" s="2"/>
      <c r="R12" s="2"/>
    </row>
    <row r="13" spans="1:29" x14ac:dyDescent="0.25">
      <c r="A13" s="10" t="s">
        <v>52</v>
      </c>
      <c r="B13" s="24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9" t="str">
        <f>IF(B13&lt;&gt;"PIK","",B7)</f>
        <v/>
      </c>
      <c r="B16" s="34" t="str">
        <f>IF(B13&lt;&gt;"PIK","",B4)</f>
        <v/>
      </c>
      <c r="C16" s="35" t="str">
        <f>IF(B13&lt;&gt;"PIK","",B6)</f>
        <v/>
      </c>
      <c r="D16" s="28" t="str">
        <f>IF(B13&lt;&gt;"PIK","",B2)</f>
        <v/>
      </c>
      <c r="E16" s="8" t="str">
        <f>IF(B13&lt;&gt;"PIK","",B3)</f>
        <v/>
      </c>
      <c r="F16" s="29" t="str">
        <f>IF(B13&lt;&gt;"PIK","",IF(E2="","",E2))</f>
        <v/>
      </c>
      <c r="G16" s="29" t="str">
        <f>IF(B13&lt;&gt;"PIK","",IF(E4="","",E4))</f>
        <v/>
      </c>
      <c r="H16" s="12" t="str">
        <f>IF(B13&lt;&gt;"PIK","",EDATE(B16,IF(DATEDIF(B16,$B$12,"m")=0,1,DATEDIF(B16,$B$12,"m"))))</f>
        <v/>
      </c>
      <c r="I16" s="14" t="str">
        <f>IF(B13&lt;&gt;"PIK","",IF(F16="","",DAY(F16-1)))</f>
        <v/>
      </c>
      <c r="J16" s="14" t="str">
        <f>IF(B13&lt;&gt;"PIK","",IFERROR(DAY(G16-1),""))</f>
        <v/>
      </c>
      <c r="K16" s="15" t="str">
        <f>IF(B13&lt;&gt;"PIK","",IFERROR(DAY($B$12)-J16,""))</f>
        <v/>
      </c>
      <c r="L16" s="14" t="str">
        <f>IF(B13&lt;&gt;"PIK","",IF((H16-$B$11)-1&gt;31,($B$12-B16)+1,(H16-$B$11)-1))</f>
        <v/>
      </c>
      <c r="M16" s="14" t="str">
        <f>IF(B13&lt;&gt;"PIK","",IF((H16-$B$11)-1&gt;31,"",IF(F16&lt;&gt;"",IF(I16&gt;L16,ABS(L16-I16)-1,0),$B$12-H16)+1))</f>
        <v/>
      </c>
      <c r="N16" s="14" t="str">
        <f>IF(B13&lt;&gt;"PIK","",IFERROR(J16-L16,""))</f>
        <v/>
      </c>
      <c r="O16" s="14" t="str">
        <f>IF(B13&lt;&gt;"PIK","",C16/36500)</f>
        <v/>
      </c>
      <c r="P16" s="20" t="str">
        <f>IF(B13&lt;&gt;"PIK","",(O16*D16)*MIN(L16,I16))</f>
        <v/>
      </c>
      <c r="Q16" s="21" t="str">
        <f>IF(B13&lt;&gt;"PIK","",IF(OR(L16&gt;I16,(H16-$B$11)-1&gt;31),0,(E16+P16)))</f>
        <v/>
      </c>
      <c r="R16" s="22" t="str">
        <f>IF(B13&lt;&gt;"PIK","",IF(L16&gt;I16,0,(D16+Q16)))</f>
        <v/>
      </c>
      <c r="S16" s="31" t="str">
        <f>IF(B13&lt;&gt;"PIK","",G4)</f>
        <v/>
      </c>
      <c r="T16" s="21" t="str">
        <f>IF(B13&lt;&gt;"PIK","",IFERROR(IF(G16="",(R16*O16)*M16,((R16*O16)*N16)+(((R16-S16)*O16)*K16)),))</f>
        <v/>
      </c>
      <c r="U16" s="21" t="str">
        <f>IF(B13&lt;&gt;"PIK","",P16+T16)</f>
        <v/>
      </c>
      <c r="V16" s="30" t="str">
        <f>IF(B13&lt;&gt;"PIK","",G2+G3)</f>
        <v/>
      </c>
      <c r="W16" s="30" t="str">
        <f>IF(B13&lt;&gt;"PIK","",G3)</f>
        <v/>
      </c>
      <c r="X16" s="23" t="str">
        <f>IF(B13&lt;&gt;"PIK","",0)</f>
        <v/>
      </c>
      <c r="Y16" s="23" t="str">
        <f>IF(B13&lt;&gt;"PIK","",W16+X16)</f>
        <v/>
      </c>
      <c r="Z16" s="23" t="str">
        <f>IF(B13&lt;&gt;"PIK","",IF(W16=0,0,-(E16+U16-Q16-W16)))</f>
        <v/>
      </c>
      <c r="AA16" s="23" t="str">
        <f>IF(B13&lt;&gt;"PIK","",D16-S16+Q16-(V16-W16))</f>
        <v/>
      </c>
      <c r="AB16" s="23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6" t="str">
        <f>VLOOKUP($D$18,$A$16:$AB$16,D14,FALSE)</f>
        <v/>
      </c>
      <c r="K19" s="5" t="s">
        <v>67</v>
      </c>
      <c r="L19" s="16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6" t="str">
        <f>VLOOKUP($D$18,$A$16:$AB$16,E14,FALSE)</f>
        <v/>
      </c>
      <c r="F20" s="2"/>
      <c r="K20" s="5" t="s">
        <v>68</v>
      </c>
      <c r="L20" s="16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4" t="s">
        <v>40</v>
      </c>
      <c r="H21" s="44"/>
      <c r="K21" s="5" t="s">
        <v>69</v>
      </c>
      <c r="L21" s="9" t="str">
        <f>VLOOKUP($L$18,$A$35:$AC$35,Q33,FALSE)</f>
        <v/>
      </c>
      <c r="O21" s="45" t="s">
        <v>40</v>
      </c>
      <c r="P21" s="45"/>
      <c r="Z21" s="2"/>
      <c r="AB21" s="2"/>
    </row>
    <row r="22" spans="1:28" x14ac:dyDescent="0.25">
      <c r="C22" s="5" t="s">
        <v>70</v>
      </c>
      <c r="D22" s="16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6" t="str">
        <f>IFERROR(-(VLOOKUP($L$18,$A$35:$AC$35,U14,FALSE)-VLOOKUP($L$18,$A$35:$AC$35,AC14,FALSE)),"")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6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6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6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6" t="str">
        <f>IFERROR(-VLOOKUP($D$18,$A$16:$AB$16,S14,FALSE),"")</f>
        <v/>
      </c>
    </row>
    <row r="30" spans="1:28" x14ac:dyDescent="0.25">
      <c r="A30" s="10" t="s">
        <v>26</v>
      </c>
      <c r="B30" s="17" t="str">
        <f>B11</f>
        <v/>
      </c>
    </row>
    <row r="31" spans="1:28" x14ac:dyDescent="0.25">
      <c r="A31" s="10" t="s">
        <v>25</v>
      </c>
      <c r="B31" s="17">
        <f>B12</f>
        <v>0</v>
      </c>
    </row>
    <row r="32" spans="1:28" x14ac:dyDescent="0.25">
      <c r="A32" s="10" t="s">
        <v>52</v>
      </c>
      <c r="B32" s="19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8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9" t="str">
        <f>IF(B32&lt;&gt;"ACCRUAL","",B7)</f>
        <v/>
      </c>
      <c r="B35" s="34" t="str">
        <f>IF(B32&lt;&gt;"ACCRUAL","",B4)</f>
        <v/>
      </c>
      <c r="C35" s="35" t="str">
        <f>IF(B32&lt;&gt;"ACCRUAL","",B6)</f>
        <v/>
      </c>
      <c r="D35" s="28" t="str">
        <f>IF(B32&lt;&gt;"ACCRUAL","",B2)</f>
        <v/>
      </c>
      <c r="E35" s="8" t="str">
        <f>IF(B32&lt;&gt;"ACCRUAL","",B3)</f>
        <v/>
      </c>
      <c r="F35" s="13" t="str">
        <f>IF(B32&lt;&gt;"ACCRUAL","",DAY($B$31))</f>
        <v/>
      </c>
      <c r="G35" s="14" t="str">
        <f>IF(B32&lt;&gt;"ACCRUAL","",IF(L35="",0,(L35-$B$30)-1))</f>
        <v/>
      </c>
      <c r="H35" s="14" t="str">
        <f>IF(B32&lt;&gt;"ACCRUAL","",IF(K35="",0,(K35-$B$30)-1))</f>
        <v/>
      </c>
      <c r="I35" s="14" t="str">
        <f>IF(B32&lt;&gt;"ACCRUAL","",IF(DATEDIF(B35,$B$31,"m")=0,$B$31-B35+1,0))</f>
        <v/>
      </c>
      <c r="J35" s="14" t="str">
        <f>IF(B32&lt;&gt;"ACCRUAL","",C35/36500)</f>
        <v/>
      </c>
      <c r="K35" s="29" t="str">
        <f>IF(B32&lt;&gt;"ACCRUAL","",IF(E4="","",E4))</f>
        <v/>
      </c>
      <c r="L35" s="29" t="str">
        <f>IF(B32&lt;&gt;"ACCRUAL","",IF(E2="","",E2))</f>
        <v/>
      </c>
      <c r="M35" s="25" t="str">
        <f>IF(B32&lt;&gt;"ACCRUAL","",IF(AND(L35="",K35="",DATEDIF(B35,$B$31,"m")&lt;&gt;0),((J35-S35)*D35)*F35,0))</f>
        <v/>
      </c>
      <c r="N35" s="26" t="str">
        <f>IF(B32&lt;&gt;"ACCRUAL","",((J35*D35)*G35))</f>
        <v/>
      </c>
      <c r="O35" s="26" t="str">
        <f>IF(B32&lt;&gt;"ACCRUAL","",IF(K35="",0,((D35*J35)*H35)+(((D35-S35)*J35)*(F35-H35))))</f>
        <v/>
      </c>
      <c r="P35" s="26" t="str">
        <f>IF(B32&lt;&gt;"ACCRUAL","",IF(DATEDIF(B35,$B$31,"m")=0,(D35*J35)*I35,0))</f>
        <v/>
      </c>
      <c r="Q35" s="26" t="str">
        <f>IF(B32&lt;&gt;"ACCRUAL","",M35+N35+O35+P35)</f>
        <v/>
      </c>
      <c r="R35" s="25">
        <v>0</v>
      </c>
      <c r="S35" s="36" t="str">
        <f>IF(B32&lt;&gt;"ACCRUAL","",G4)</f>
        <v/>
      </c>
      <c r="T35" s="37" t="str">
        <f>IF(B32&lt;&gt;"ACCRUAL","",G2+G3)</f>
        <v/>
      </c>
      <c r="U35" s="37" t="str">
        <f>IF(B32&lt;&gt;"ACCRUAL","",G3)</f>
        <v/>
      </c>
      <c r="V35" s="27" t="str">
        <f>IF(B32&lt;&gt;"ACCRUAL","",0)</f>
        <v/>
      </c>
      <c r="W35" s="27" t="str">
        <f>IF(B32&lt;&gt;"ACCRUAL","",U35+V35)</f>
        <v/>
      </c>
      <c r="X35" s="27" t="str">
        <f>IF(B32&lt;&gt;"ACCRUAL","",IF(W35=0,0,-(E35+Q35-W35)))</f>
        <v/>
      </c>
      <c r="Y35" s="27" t="str">
        <f>IF(B32&lt;&gt;"ACCRUAL","",X35+Q35)</f>
        <v/>
      </c>
      <c r="Z35" s="27" t="str">
        <f>IF(B32&lt;&gt;"ACCRUAL","",D35-S35-(T35-U35))</f>
        <v/>
      </c>
      <c r="AA35" s="27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46" t="s">
        <v>62</v>
      </c>
      <c r="B37" s="46"/>
      <c r="C37" s="46"/>
      <c r="D37" s="46"/>
      <c r="E37" s="46"/>
      <c r="F37" s="46"/>
      <c r="G37" s="46"/>
      <c r="H37" s="46"/>
    </row>
    <row r="38" spans="1:34" x14ac:dyDescent="0.25">
      <c r="A38" s="38" t="s">
        <v>56</v>
      </c>
      <c r="B38" s="38" t="s">
        <v>63</v>
      </c>
      <c r="C38" s="38" t="s">
        <v>22</v>
      </c>
      <c r="D38" s="38" t="s">
        <v>64</v>
      </c>
      <c r="E38" s="38" t="s">
        <v>55</v>
      </c>
      <c r="F38" s="38" t="s">
        <v>65</v>
      </c>
    </row>
    <row r="39" spans="1:34" x14ac:dyDescent="0.25">
      <c r="A39" s="17" t="str">
        <f>IF($B$7="","",$B$12)</f>
        <v/>
      </c>
      <c r="B39" s="17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9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7" t="str">
        <f t="shared" ref="A40:A42" si="2">IF($B$7="","",$B$12)</f>
        <v/>
      </c>
      <c r="B40" s="17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9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7" t="str">
        <f t="shared" si="2"/>
        <v/>
      </c>
      <c r="B41" s="17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9" t="str">
        <f>IF($B$7="","",IF(B5="PIK",ROUND(D25,4),0))</f>
        <v/>
      </c>
      <c r="F41" s="6" t="str">
        <f t="shared" si="5"/>
        <v/>
      </c>
    </row>
    <row r="42" spans="1:34" x14ac:dyDescent="0.25">
      <c r="A42" s="17" t="str">
        <f t="shared" si="2"/>
        <v/>
      </c>
      <c r="B42" s="17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9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H4" sqref="H4"/>
    </sheetView>
  </sheetViews>
  <sheetFormatPr defaultRowHeight="15" x14ac:dyDescent="0.25"/>
  <cols>
    <col min="1" max="1" width="11.7109375" style="3" bestFit="1" customWidth="1"/>
    <col min="2" max="2" width="15.42578125" style="3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7" t="s">
        <v>56</v>
      </c>
      <c r="B1" s="47" t="s">
        <v>63</v>
      </c>
      <c r="C1" s="40" t="s">
        <v>22</v>
      </c>
      <c r="D1" s="40" t="s">
        <v>58</v>
      </c>
      <c r="E1" s="40" t="s">
        <v>55</v>
      </c>
      <c r="F1" s="40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customXml/itemProps2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2025-12-11T22:10:55Z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