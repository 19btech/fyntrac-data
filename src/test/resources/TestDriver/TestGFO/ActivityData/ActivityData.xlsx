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GFO\ActivityData\"/>
    </mc:Choice>
  </mc:AlternateContent>
  <xr:revisionPtr revIDLastSave="0" documentId="13_ncr:1_{E5FAA413-71A1-4C05-ADF4-7BA5241B77F1}" xr6:coauthVersionLast="47" xr6:coauthVersionMax="47" xr10:uidLastSave="{00000000-0000-0000-0000-000000000000}"/>
  <bookViews>
    <workbookView xWindow="-120" yWindow="-120" windowWidth="29040" windowHeight="17520" tabRatio="500" activeTab="1" xr2:uid="{00000000-000D-0000-FFFF-FFFF00000000}"/>
  </bookViews>
  <sheets>
    <sheet name="InstrumentAttribute" sheetId="1" r:id="rId1"/>
    <sheet name="TransactionActivity" sheetId="12" r:id="rId2"/>
    <sheet name="xxTransactionActivity" sheetId="13" r:id="rId3"/>
    <sheet name="GLRule" sheetId="7" state="hidden" r:id="rId4"/>
    <sheet name="Sheet1" sheetId="8" state="hidden" r:id="rId5"/>
  </sheets>
  <definedNames>
    <definedName name="_xlnm._FilterDatabase" localSheetId="1" hidden="1">TransactionActivity!$A$1:$F$55</definedName>
    <definedName name="_xlnm._FilterDatabase" localSheetId="2" hidden="1">xxTransactionActivity!$A$1:$F$21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5" i="8" l="1"/>
  <c r="D25" i="8"/>
  <c r="C25" i="8"/>
  <c r="F24" i="8"/>
  <c r="F25" i="8" s="1"/>
  <c r="E24" i="8"/>
  <c r="D24" i="8"/>
  <c r="C24" i="8"/>
  <c r="D23" i="8"/>
  <c r="C23" i="8"/>
  <c r="D22" i="8"/>
  <c r="C22" i="8"/>
  <c r="G15" i="8"/>
  <c r="O12" i="8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J12" i="8"/>
  <c r="G12" i="8"/>
  <c r="G18" i="8" s="1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</calcChain>
</file>

<file path=xl/sharedStrings.xml><?xml version="1.0" encoding="utf-8"?>
<sst xmlns="http://schemas.openxmlformats.org/spreadsheetml/2006/main" count="312" uniqueCount="75">
  <si>
    <t>PostingDate</t>
  </si>
  <si>
    <t>EffectiveDate</t>
  </si>
  <si>
    <t>AttributeId</t>
  </si>
  <si>
    <t>INSTRUMENTID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</si>
  <si>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</si>
  <si>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</si>
  <si>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</si>
  <si>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</si>
  <si>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</si>
  <si>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</si>
  <si>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</si>
  <si>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</si>
  <si>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</si>
  <si>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</si>
  <si>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</si>
  <si>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</si>
  <si>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</si>
  <si>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</si>
  <si>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</si>
  <si>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</si>
  <si>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</si>
  <si>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</si>
  <si>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</si>
  <si>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</si>
  <si>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</si>
  <si>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</si>
  <si>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</si>
  <si>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</si>
  <si>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</si>
  <si>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</si>
  <si>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</si>
  <si>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</si>
  <si>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</si>
  <si>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</si>
  <si>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</si>
  <si>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</si>
  <si>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ORIGINATION_DATE</t>
  </si>
  <si>
    <t>L26978</t>
  </si>
  <si>
    <t>L26979</t>
  </si>
  <si>
    <t>L26980</t>
  </si>
  <si>
    <t>L26992</t>
  </si>
  <si>
    <t>L27176</t>
  </si>
  <si>
    <t>L27375</t>
  </si>
  <si>
    <t>L27376</t>
  </si>
  <si>
    <t>L27377</t>
  </si>
  <si>
    <t>L42541-2</t>
  </si>
  <si>
    <t>L49333</t>
  </si>
  <si>
    <t>L26951</t>
  </si>
  <si>
    <t>L26952</t>
  </si>
  <si>
    <t>L26975</t>
  </si>
  <si>
    <t>L27015</t>
  </si>
  <si>
    <t>L27016</t>
  </si>
  <si>
    <t>L27019</t>
  </si>
  <si>
    <t>L31725</t>
  </si>
  <si>
    <t>L31725-2</t>
  </si>
  <si>
    <t>L42541</t>
  </si>
  <si>
    <t>L45796</t>
  </si>
  <si>
    <t>L49332</t>
  </si>
  <si>
    <t>L49333-2</t>
  </si>
  <si>
    <t>ACCRUAL_METHOD</t>
  </si>
  <si>
    <t>INTEREST_RATE</t>
  </si>
  <si>
    <t>PIK</t>
  </si>
  <si>
    <t>ACCRUAL</t>
  </si>
  <si>
    <t>Postingdate</t>
  </si>
  <si>
    <t>TransactionDate</t>
  </si>
  <si>
    <t>InstrumentId</t>
  </si>
  <si>
    <t>TransactionType</t>
  </si>
  <si>
    <t>Amount</t>
  </si>
  <si>
    <t>AtrributeId</t>
  </si>
  <si>
    <t>CONVERSION_PRINCIPAL</t>
  </si>
  <si>
    <t>CONVERSION_INTEREST</t>
  </si>
  <si>
    <t>PAYOFF_UPB</t>
  </si>
  <si>
    <t>PAYOFF_INTEREST</t>
  </si>
  <si>
    <t>PAYMENT_PRINCIPAL</t>
  </si>
  <si>
    <t>TransactionName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</si>
</sst>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2" fontId="0" fillId="0" borderId="1" xfId="3" applyNumberFormat="1" applyFont="1" applyFill="1" applyBorder="1" applyAlignment="1">
      <alignment vertical="center"/>
    </xf>
    <xf numFmtId="2" fontId="0" fillId="0" borderId="1" xfId="2" applyNumberFormat="1" applyFont="1" applyFill="1" applyBorder="1" applyAlignment="1">
      <alignment vertical="center"/>
    </xf>
    <xf numFmtId="0" fontId="1" fillId="0" borderId="0" xfId="1" applyFont="1" applyFill="1" applyAlignment="1" applyProtection="1"/>
    <xf numFmtId="0" fontId="3" fillId="0" borderId="0" xfId="1" applyFont="1" applyFill="1"/>
    <xf numFmtId="14" fontId="0" fillId="0" borderId="0" xfId="1" applyNumberFormat="1" applyFont="1" applyFill="1" applyAlignment="1" applyProtection="1"/>
    <xf numFmtId="0" fontId="0" fillId="0" borderId="1" xfId="0" applyFill="1" applyBorder="1" applyAlignment="1">
      <alignment vertical="center"/>
    </xf>
    <xf numFmtId="0" fontId="0" fillId="0" borderId="0" xfId="1" applyFont="1" applyFill="1" applyAlignment="1" applyProtection="1"/>
    <xf numFmtId="14" fontId="0" fillId="0" borderId="1" xfId="0" applyNumberFormat="1" applyFill="1" applyBorder="1" applyAlignment="1">
      <alignment vertical="center"/>
    </xf>
    <xf numFmtId="0" fontId="0" fillId="0" borderId="0" xfId="0" applyFill="1"/>
    <xf numFmtId="14" fontId="0" fillId="0" borderId="1" xfId="0" applyNumberFormat="1" applyFill="1" applyBorder="1" applyAlignment="1">
      <alignment horizontal="right"/>
    </xf>
    <xf numFmtId="0" fontId="1" fillId="0" borderId="1" xfId="1" applyFont="1" applyFill="1" applyBorder="1"/>
    <xf numFmtId="14" fontId="0" fillId="0" borderId="1" xfId="0" applyNumberFormat="1" applyFill="1" applyBorder="1"/>
    <xf numFmtId="0" fontId="0" fillId="0" borderId="1" xfId="0" applyFill="1" applyBorder="1"/>
    <xf numFmtId="2" fontId="0" fillId="0" borderId="1" xfId="0" applyNumberFormat="1" applyFill="1" applyBorder="1"/>
    <xf numFmtId="14" fontId="0" fillId="3" borderId="1" xfId="0" applyNumberFormat="1" applyFill="1" applyBorder="1"/>
    <xf numFmtId="14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/>
    <xf numFmtId="2" fontId="0" fillId="3" borderId="1" xfId="0" applyNumberFormat="1" applyFill="1" applyBorder="1"/>
    <xf numFmtId="2" fontId="0" fillId="3" borderId="1" xfId="2" applyNumberFormat="1" applyFont="1" applyFill="1" applyBorder="1" applyAlignment="1">
      <alignment vertical="center"/>
    </xf>
  </cellXfs>
  <cellStyles count="4">
    <cellStyle name="Comma" xfId="2" builtinId="3"/>
    <cellStyle name="Normal" xfId="0" builtinId="0"/>
    <cellStyle name="Normal 2" xfId="1" xr:uid="{00000000-0005-0000-0000-000006000000}"/>
    <cellStyle name="Percent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G23"/>
  <sheetViews>
    <sheetView zoomScale="120" zoomScaleNormal="120" workbookViewId="0">
      <selection sqref="A1:G23"/>
    </sheetView>
  </sheetViews>
  <sheetFormatPr defaultColWidth="11.5703125" defaultRowHeight="15" customHeight="1" x14ac:dyDescent="0.25"/>
  <cols>
    <col min="1" max="1" width="12" bestFit="1" customWidth="1"/>
    <col min="2" max="2" width="13.140625" bestFit="1" customWidth="1"/>
    <col min="3" max="3" width="15.42578125" bestFit="1" customWidth="1"/>
    <col min="4" max="4" width="11" bestFit="1" customWidth="1"/>
    <col min="5" max="5" width="19.5703125" style="1" bestFit="1" customWidth="1"/>
    <col min="6" max="6" width="19.140625" bestFit="1" customWidth="1"/>
    <col min="7" max="7" width="15.5703125" bestFit="1" customWidth="1"/>
  </cols>
  <sheetData>
    <row r="1" spans="1:7" x14ac:dyDescent="0.25">
      <c r="A1" s="7" t="s">
        <v>0</v>
      </c>
      <c r="B1" s="7" t="s">
        <v>1</v>
      </c>
      <c r="C1" s="7" t="s">
        <v>3</v>
      </c>
      <c r="D1" s="7" t="s">
        <v>2</v>
      </c>
      <c r="E1" s="8" t="s">
        <v>36</v>
      </c>
      <c r="F1" s="8" t="s">
        <v>59</v>
      </c>
      <c r="G1" s="8" t="s">
        <v>60</v>
      </c>
    </row>
    <row r="2" spans="1:7" x14ac:dyDescent="0.25">
      <c r="A2" s="9">
        <v>45688</v>
      </c>
      <c r="B2" s="9">
        <v>45688</v>
      </c>
      <c r="C2" s="10" t="s">
        <v>47</v>
      </c>
      <c r="D2" s="11">
        <v>1</v>
      </c>
      <c r="E2" s="12">
        <v>44682</v>
      </c>
      <c r="F2" s="13" t="s">
        <v>61</v>
      </c>
      <c r="G2" s="5">
        <v>34.200000000000003</v>
      </c>
    </row>
    <row r="3" spans="1:7" ht="15" customHeight="1" x14ac:dyDescent="0.25">
      <c r="A3" s="9">
        <v>45688</v>
      </c>
      <c r="B3" s="9">
        <v>45688</v>
      </c>
      <c r="C3" s="10" t="s">
        <v>48</v>
      </c>
      <c r="D3" s="11">
        <v>1</v>
      </c>
      <c r="E3" s="12">
        <v>44682</v>
      </c>
      <c r="F3" s="13" t="s">
        <v>61</v>
      </c>
      <c r="G3" s="5">
        <v>34.200000000000003</v>
      </c>
    </row>
    <row r="4" spans="1:7" ht="15" customHeight="1" x14ac:dyDescent="0.25">
      <c r="A4" s="9">
        <v>45688</v>
      </c>
      <c r="B4" s="9">
        <v>45688</v>
      </c>
      <c r="C4" s="10" t="s">
        <v>49</v>
      </c>
      <c r="D4" s="11">
        <v>1</v>
      </c>
      <c r="E4" s="12">
        <v>44698</v>
      </c>
      <c r="F4" s="13" t="s">
        <v>61</v>
      </c>
      <c r="G4" s="5">
        <v>34.200000000000003</v>
      </c>
    </row>
    <row r="5" spans="1:7" ht="15" customHeight="1" x14ac:dyDescent="0.25">
      <c r="A5" s="9">
        <v>45688</v>
      </c>
      <c r="B5" s="9">
        <v>45688</v>
      </c>
      <c r="C5" s="10" t="s">
        <v>50</v>
      </c>
      <c r="D5" s="11">
        <v>1</v>
      </c>
      <c r="E5" s="12">
        <v>44692</v>
      </c>
      <c r="F5" s="13" t="s">
        <v>61</v>
      </c>
      <c r="G5" s="5">
        <v>34.200000000000003</v>
      </c>
    </row>
    <row r="6" spans="1:7" ht="15" customHeight="1" x14ac:dyDescent="0.25">
      <c r="A6" s="9">
        <v>45688</v>
      </c>
      <c r="B6" s="9">
        <v>45688</v>
      </c>
      <c r="C6" s="10" t="s">
        <v>51</v>
      </c>
      <c r="D6" s="11">
        <v>1</v>
      </c>
      <c r="E6" s="12">
        <v>44692</v>
      </c>
      <c r="F6" s="13" t="s">
        <v>61</v>
      </c>
      <c r="G6" s="5">
        <v>34.200000000000003</v>
      </c>
    </row>
    <row r="7" spans="1:7" ht="15" customHeight="1" x14ac:dyDescent="0.25">
      <c r="A7" s="9">
        <v>45688</v>
      </c>
      <c r="B7" s="9">
        <v>45688</v>
      </c>
      <c r="C7" s="10" t="s">
        <v>52</v>
      </c>
      <c r="D7" s="11">
        <v>1</v>
      </c>
      <c r="E7" s="12">
        <v>44693</v>
      </c>
      <c r="F7" s="13" t="s">
        <v>61</v>
      </c>
      <c r="G7" s="5">
        <v>34.200000000000003</v>
      </c>
    </row>
    <row r="8" spans="1:7" ht="15" customHeight="1" x14ac:dyDescent="0.25">
      <c r="A8" s="9">
        <v>45688</v>
      </c>
      <c r="B8" s="9">
        <v>45688</v>
      </c>
      <c r="C8" s="10" t="s">
        <v>53</v>
      </c>
      <c r="D8" s="11">
        <v>1</v>
      </c>
      <c r="E8" s="12">
        <v>44979</v>
      </c>
      <c r="F8" s="13" t="s">
        <v>61</v>
      </c>
      <c r="G8" s="5">
        <v>34.200000000000003</v>
      </c>
    </row>
    <row r="9" spans="1:7" ht="15" customHeight="1" x14ac:dyDescent="0.25">
      <c r="A9" s="9">
        <v>45688</v>
      </c>
      <c r="B9" s="9">
        <v>45688</v>
      </c>
      <c r="C9" s="10" t="s">
        <v>54</v>
      </c>
      <c r="D9" s="11">
        <v>1</v>
      </c>
      <c r="E9" s="12">
        <v>44979</v>
      </c>
      <c r="F9" s="13" t="s">
        <v>61</v>
      </c>
      <c r="G9" s="5">
        <v>34.200000000000003</v>
      </c>
    </row>
    <row r="10" spans="1:7" ht="15" customHeight="1" x14ac:dyDescent="0.25">
      <c r="A10" s="9">
        <v>45688</v>
      </c>
      <c r="B10" s="9">
        <v>45688</v>
      </c>
      <c r="C10" s="10" t="s">
        <v>55</v>
      </c>
      <c r="D10" s="11">
        <v>1</v>
      </c>
      <c r="E10" s="12">
        <v>45387</v>
      </c>
      <c r="F10" s="13" t="s">
        <v>61</v>
      </c>
      <c r="G10" s="5">
        <v>39.11999999999999</v>
      </c>
    </row>
    <row r="11" spans="1:7" ht="15" customHeight="1" x14ac:dyDescent="0.25">
      <c r="A11" s="9">
        <v>45688</v>
      </c>
      <c r="B11" s="9">
        <v>45688</v>
      </c>
      <c r="C11" s="10" t="s">
        <v>56</v>
      </c>
      <c r="D11" s="11">
        <v>1</v>
      </c>
      <c r="E11" s="12">
        <v>45519</v>
      </c>
      <c r="F11" s="13" t="s">
        <v>61</v>
      </c>
      <c r="G11" s="5">
        <v>14.0703</v>
      </c>
    </row>
    <row r="12" spans="1:7" ht="15" customHeight="1" x14ac:dyDescent="0.25">
      <c r="A12" s="9">
        <v>45688</v>
      </c>
      <c r="B12" s="9">
        <v>45688</v>
      </c>
      <c r="C12" s="10" t="s">
        <v>57</v>
      </c>
      <c r="D12" s="11">
        <v>1</v>
      </c>
      <c r="E12" s="14">
        <v>45659</v>
      </c>
      <c r="F12" s="13" t="s">
        <v>61</v>
      </c>
      <c r="G12" s="5">
        <v>8.8800000000000008</v>
      </c>
    </row>
    <row r="13" spans="1:7" ht="15" customHeight="1" x14ac:dyDescent="0.25">
      <c r="A13" s="9">
        <v>45688</v>
      </c>
      <c r="B13" s="9">
        <v>45688</v>
      </c>
      <c r="C13" s="10" t="s">
        <v>46</v>
      </c>
      <c r="D13" s="11">
        <v>1</v>
      </c>
      <c r="E13" s="14">
        <v>45672</v>
      </c>
      <c r="F13" s="13" t="s">
        <v>61</v>
      </c>
      <c r="G13" s="5">
        <v>8.8800000000000008</v>
      </c>
    </row>
    <row r="14" spans="1:7" ht="15" customHeight="1" x14ac:dyDescent="0.25">
      <c r="A14" s="9">
        <v>45688</v>
      </c>
      <c r="B14" s="9">
        <v>45688</v>
      </c>
      <c r="C14" s="10" t="s">
        <v>37</v>
      </c>
      <c r="D14" s="11">
        <v>1</v>
      </c>
      <c r="E14" s="12">
        <v>44687</v>
      </c>
      <c r="F14" s="13" t="s">
        <v>62</v>
      </c>
      <c r="G14" s="5">
        <v>24</v>
      </c>
    </row>
    <row r="15" spans="1:7" ht="15" customHeight="1" x14ac:dyDescent="0.25">
      <c r="A15" s="9">
        <v>45688</v>
      </c>
      <c r="B15" s="9">
        <v>45688</v>
      </c>
      <c r="C15" s="10" t="s">
        <v>38</v>
      </c>
      <c r="D15" s="11">
        <v>1</v>
      </c>
      <c r="E15" s="12">
        <v>44687</v>
      </c>
      <c r="F15" s="13" t="s">
        <v>62</v>
      </c>
      <c r="G15" s="5">
        <v>24</v>
      </c>
    </row>
    <row r="16" spans="1:7" ht="15" customHeight="1" x14ac:dyDescent="0.25">
      <c r="A16" s="9">
        <v>45688</v>
      </c>
      <c r="B16" s="9">
        <v>45688</v>
      </c>
      <c r="C16" s="10" t="s">
        <v>39</v>
      </c>
      <c r="D16" s="11">
        <v>1</v>
      </c>
      <c r="E16" s="12">
        <v>44687</v>
      </c>
      <c r="F16" s="13" t="s">
        <v>62</v>
      </c>
      <c r="G16" s="5">
        <v>24</v>
      </c>
    </row>
    <row r="17" spans="1:7" ht="15" customHeight="1" x14ac:dyDescent="0.25">
      <c r="A17" s="9">
        <v>45688</v>
      </c>
      <c r="B17" s="9">
        <v>45688</v>
      </c>
      <c r="C17" s="10" t="s">
        <v>40</v>
      </c>
      <c r="D17" s="11">
        <v>1</v>
      </c>
      <c r="E17" s="12">
        <v>44687</v>
      </c>
      <c r="F17" s="13" t="s">
        <v>62</v>
      </c>
      <c r="G17" s="5">
        <v>24</v>
      </c>
    </row>
    <row r="18" spans="1:7" ht="15" customHeight="1" x14ac:dyDescent="0.25">
      <c r="A18" s="9">
        <v>45688</v>
      </c>
      <c r="B18" s="9">
        <v>45688</v>
      </c>
      <c r="C18" s="10" t="s">
        <v>41</v>
      </c>
      <c r="D18" s="11">
        <v>1</v>
      </c>
      <c r="E18" s="12">
        <v>44708</v>
      </c>
      <c r="F18" s="13" t="s">
        <v>62</v>
      </c>
      <c r="G18" s="5">
        <v>24</v>
      </c>
    </row>
    <row r="19" spans="1:7" ht="15" customHeight="1" x14ac:dyDescent="0.25">
      <c r="A19" s="9">
        <v>45688</v>
      </c>
      <c r="B19" s="9">
        <v>45688</v>
      </c>
      <c r="C19" s="10" t="s">
        <v>42</v>
      </c>
      <c r="D19" s="11">
        <v>1</v>
      </c>
      <c r="E19" s="12">
        <v>44722</v>
      </c>
      <c r="F19" s="13" t="s">
        <v>62</v>
      </c>
      <c r="G19" s="5">
        <v>24</v>
      </c>
    </row>
    <row r="20" spans="1:7" ht="15" customHeight="1" x14ac:dyDescent="0.25">
      <c r="A20" s="9">
        <v>45688</v>
      </c>
      <c r="B20" s="9">
        <v>45688</v>
      </c>
      <c r="C20" s="10" t="s">
        <v>43</v>
      </c>
      <c r="D20" s="11">
        <v>1</v>
      </c>
      <c r="E20" s="12">
        <v>44729</v>
      </c>
      <c r="F20" s="13" t="s">
        <v>62</v>
      </c>
      <c r="G20" s="5">
        <v>24</v>
      </c>
    </row>
    <row r="21" spans="1:7" ht="15" customHeight="1" x14ac:dyDescent="0.25">
      <c r="A21" s="9">
        <v>45688</v>
      </c>
      <c r="B21" s="9">
        <v>45688</v>
      </c>
      <c r="C21" s="10" t="s">
        <v>44</v>
      </c>
      <c r="D21" s="11">
        <v>1</v>
      </c>
      <c r="E21" s="12">
        <v>44729</v>
      </c>
      <c r="F21" s="13" t="s">
        <v>62</v>
      </c>
      <c r="G21" s="5">
        <v>24</v>
      </c>
    </row>
    <row r="22" spans="1:7" ht="15" customHeight="1" x14ac:dyDescent="0.25">
      <c r="A22" s="9">
        <v>45688</v>
      </c>
      <c r="B22" s="9">
        <v>45688</v>
      </c>
      <c r="C22" s="10" t="s">
        <v>45</v>
      </c>
      <c r="D22" s="11">
        <v>1</v>
      </c>
      <c r="E22" s="12">
        <v>45387</v>
      </c>
      <c r="F22" s="13" t="s">
        <v>62</v>
      </c>
      <c r="G22" s="5">
        <v>39.11999999999999</v>
      </c>
    </row>
    <row r="23" spans="1:7" ht="15" customHeight="1" x14ac:dyDescent="0.25">
      <c r="A23" s="9">
        <v>45688</v>
      </c>
      <c r="B23" s="9">
        <v>45688</v>
      </c>
      <c r="C23" s="10" t="s">
        <v>58</v>
      </c>
      <c r="D23" s="11">
        <v>1</v>
      </c>
      <c r="E23" s="14">
        <v>45672</v>
      </c>
      <c r="F23" s="13" t="s">
        <v>62</v>
      </c>
      <c r="G23" s="5">
        <v>8.8800000000000008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A9CC0-A1B0-44B9-AC56-19A480FED1A4}">
  <dimension ref="A1:F55"/>
  <sheetViews>
    <sheetView tabSelected="1" workbookViewId="0"/>
  </sheetViews>
  <sheetFormatPr defaultRowHeight="15" x14ac:dyDescent="0.25"/>
  <cols>
    <col min="1" max="1" width="11.5703125" bestFit="1" customWidth="1"/>
    <col min="2" max="2" width="15.42578125" bestFit="1" customWidth="1"/>
    <col min="3" max="3" width="12.5703125" bestFit="1" customWidth="1"/>
    <col min="4" max="4" width="39" customWidth="1"/>
    <col min="5" max="5" width="24.140625" customWidth="1"/>
    <col min="6" max="6" width="10.85546875" bestFit="1" customWidth="1"/>
  </cols>
  <sheetData>
    <row r="1" spans="1:6" x14ac:dyDescent="0.25">
      <c r="A1" s="15" t="s">
        <v>63</v>
      </c>
      <c r="B1" s="15" t="s">
        <v>64</v>
      </c>
      <c r="C1" s="15" t="s">
        <v>65</v>
      </c>
      <c r="D1" s="15" t="s">
        <v>74</v>
      </c>
      <c r="E1" s="15" t="s">
        <v>67</v>
      </c>
      <c r="F1" s="15" t="s">
        <v>68</v>
      </c>
    </row>
    <row r="2" spans="1:6" x14ac:dyDescent="0.25">
      <c r="A2" s="16">
        <v>45688</v>
      </c>
      <c r="B2" s="16">
        <v>45658</v>
      </c>
      <c r="C2" s="10" t="s">
        <v>47</v>
      </c>
      <c r="D2" s="17" t="s">
        <v>69</v>
      </c>
      <c r="E2" s="18">
        <v>100118.17</v>
      </c>
      <c r="F2" s="17">
        <v>1</v>
      </c>
    </row>
    <row r="3" spans="1:6" x14ac:dyDescent="0.25">
      <c r="A3" s="16">
        <v>45688</v>
      </c>
      <c r="B3" s="16">
        <v>45658</v>
      </c>
      <c r="C3" s="10" t="s">
        <v>47</v>
      </c>
      <c r="D3" s="17" t="s">
        <v>70</v>
      </c>
      <c r="E3" s="6">
        <v>2908.09</v>
      </c>
      <c r="F3" s="17">
        <v>1</v>
      </c>
    </row>
    <row r="4" spans="1:6" x14ac:dyDescent="0.25">
      <c r="A4" s="16">
        <v>45688</v>
      </c>
      <c r="B4" s="16">
        <v>45658</v>
      </c>
      <c r="C4" s="10" t="s">
        <v>48</v>
      </c>
      <c r="D4" s="17" t="s">
        <v>69</v>
      </c>
      <c r="E4" s="18">
        <v>26698.39</v>
      </c>
      <c r="F4" s="17">
        <v>1</v>
      </c>
    </row>
    <row r="5" spans="1:6" x14ac:dyDescent="0.25">
      <c r="A5" s="16">
        <v>45688</v>
      </c>
      <c r="B5" s="16">
        <v>45658</v>
      </c>
      <c r="C5" s="10" t="s">
        <v>48</v>
      </c>
      <c r="D5" s="17" t="s">
        <v>70</v>
      </c>
      <c r="E5" s="6">
        <v>775.5</v>
      </c>
      <c r="F5" s="17">
        <v>1</v>
      </c>
    </row>
    <row r="6" spans="1:6" x14ac:dyDescent="0.25">
      <c r="A6" s="16">
        <v>45688</v>
      </c>
      <c r="B6" s="16">
        <v>45658</v>
      </c>
      <c r="C6" s="10" t="s">
        <v>49</v>
      </c>
      <c r="D6" s="17" t="s">
        <v>69</v>
      </c>
      <c r="E6" s="18">
        <v>194342.22</v>
      </c>
      <c r="F6" s="17">
        <v>1</v>
      </c>
    </row>
    <row r="7" spans="1:6" x14ac:dyDescent="0.25">
      <c r="A7" s="16">
        <v>45688</v>
      </c>
      <c r="B7" s="16">
        <v>45658</v>
      </c>
      <c r="C7" s="10" t="s">
        <v>49</v>
      </c>
      <c r="D7" s="17" t="s">
        <v>70</v>
      </c>
      <c r="E7" s="6">
        <v>2731.44</v>
      </c>
      <c r="F7" s="17">
        <v>1</v>
      </c>
    </row>
    <row r="8" spans="1:6" x14ac:dyDescent="0.25">
      <c r="A8" s="16">
        <v>45688</v>
      </c>
      <c r="B8" s="16">
        <v>45658</v>
      </c>
      <c r="C8" s="10" t="s">
        <v>37</v>
      </c>
      <c r="D8" s="17" t="s">
        <v>69</v>
      </c>
      <c r="E8" s="18">
        <v>675</v>
      </c>
      <c r="F8" s="17">
        <v>1</v>
      </c>
    </row>
    <row r="9" spans="1:6" x14ac:dyDescent="0.25">
      <c r="A9" s="16">
        <v>45688</v>
      </c>
      <c r="B9" s="16">
        <v>45658</v>
      </c>
      <c r="C9" s="10" t="s">
        <v>37</v>
      </c>
      <c r="D9" s="17" t="s">
        <v>70</v>
      </c>
      <c r="E9" s="6">
        <v>471.46</v>
      </c>
      <c r="F9" s="17">
        <v>1</v>
      </c>
    </row>
    <row r="10" spans="1:6" x14ac:dyDescent="0.25">
      <c r="A10" s="16">
        <v>45688</v>
      </c>
      <c r="B10" s="16">
        <v>45658</v>
      </c>
      <c r="C10" s="10" t="s">
        <v>38</v>
      </c>
      <c r="D10" s="17" t="s">
        <v>69</v>
      </c>
      <c r="E10" s="18">
        <v>7587.83</v>
      </c>
      <c r="F10" s="17">
        <v>1</v>
      </c>
    </row>
    <row r="11" spans="1:6" x14ac:dyDescent="0.25">
      <c r="A11" s="16">
        <v>45688</v>
      </c>
      <c r="B11" s="16">
        <v>45658</v>
      </c>
      <c r="C11" s="10" t="s">
        <v>38</v>
      </c>
      <c r="D11" s="17" t="s">
        <v>70</v>
      </c>
      <c r="E11" s="6">
        <v>5299.84</v>
      </c>
      <c r="F11" s="17">
        <v>1</v>
      </c>
    </row>
    <row r="12" spans="1:6" x14ac:dyDescent="0.25">
      <c r="A12" s="16">
        <v>45688</v>
      </c>
      <c r="B12" s="16">
        <v>45658</v>
      </c>
      <c r="C12" s="10" t="s">
        <v>39</v>
      </c>
      <c r="D12" s="17" t="s">
        <v>69</v>
      </c>
      <c r="E12" s="18">
        <v>6000.0000000000009</v>
      </c>
      <c r="F12" s="17">
        <v>1</v>
      </c>
    </row>
    <row r="13" spans="1:6" x14ac:dyDescent="0.25">
      <c r="A13" s="16">
        <v>45688</v>
      </c>
      <c r="B13" s="16">
        <v>45658</v>
      </c>
      <c r="C13" s="10" t="s">
        <v>39</v>
      </c>
      <c r="D13" s="17" t="s">
        <v>70</v>
      </c>
      <c r="E13" s="6">
        <v>4190.79</v>
      </c>
      <c r="F13" s="17">
        <v>1</v>
      </c>
    </row>
    <row r="14" spans="1:6" x14ac:dyDescent="0.25">
      <c r="A14" s="16">
        <v>45688</v>
      </c>
      <c r="B14" s="16">
        <v>45658</v>
      </c>
      <c r="C14" s="10" t="s">
        <v>40</v>
      </c>
      <c r="D14" s="17" t="s">
        <v>69</v>
      </c>
      <c r="E14" s="18">
        <v>34048.19</v>
      </c>
      <c r="F14" s="17">
        <v>1</v>
      </c>
    </row>
    <row r="15" spans="1:6" x14ac:dyDescent="0.25">
      <c r="A15" s="16">
        <v>45688</v>
      </c>
      <c r="B15" s="16">
        <v>45658</v>
      </c>
      <c r="C15" s="10" t="s">
        <v>40</v>
      </c>
      <c r="D15" s="17" t="s">
        <v>70</v>
      </c>
      <c r="E15" s="6">
        <v>23781.49</v>
      </c>
      <c r="F15" s="17">
        <v>1</v>
      </c>
    </row>
    <row r="16" spans="1:6" x14ac:dyDescent="0.25">
      <c r="A16" s="16">
        <v>45688</v>
      </c>
      <c r="B16" s="16">
        <v>45658</v>
      </c>
      <c r="C16" s="10" t="s">
        <v>50</v>
      </c>
      <c r="D16" s="17" t="s">
        <v>69</v>
      </c>
      <c r="E16" s="18">
        <v>29927.08</v>
      </c>
      <c r="F16" s="17">
        <v>1</v>
      </c>
    </row>
    <row r="17" spans="1:6" x14ac:dyDescent="0.25">
      <c r="A17" s="16">
        <v>45688</v>
      </c>
      <c r="B17" s="16">
        <v>45658</v>
      </c>
      <c r="C17" s="10" t="s">
        <v>50</v>
      </c>
      <c r="D17" s="17" t="s">
        <v>70</v>
      </c>
      <c r="E17" s="6">
        <v>588.87</v>
      </c>
      <c r="F17" s="17">
        <v>1</v>
      </c>
    </row>
    <row r="18" spans="1:6" x14ac:dyDescent="0.25">
      <c r="A18" s="16">
        <v>45688</v>
      </c>
      <c r="B18" s="16">
        <v>45658</v>
      </c>
      <c r="C18" s="10" t="s">
        <v>51</v>
      </c>
      <c r="D18" s="17" t="s">
        <v>69</v>
      </c>
      <c r="E18" s="18">
        <v>23941.68</v>
      </c>
      <c r="F18" s="17">
        <v>1</v>
      </c>
    </row>
    <row r="19" spans="1:6" x14ac:dyDescent="0.25">
      <c r="A19" s="16">
        <v>45688</v>
      </c>
      <c r="B19" s="16">
        <v>45658</v>
      </c>
      <c r="C19" s="10" t="s">
        <v>51</v>
      </c>
      <c r="D19" s="17" t="s">
        <v>70</v>
      </c>
      <c r="E19" s="6">
        <v>471.09</v>
      </c>
      <c r="F19" s="17">
        <v>1</v>
      </c>
    </row>
    <row r="20" spans="1:6" x14ac:dyDescent="0.25">
      <c r="A20" s="16">
        <v>45688</v>
      </c>
      <c r="B20" s="16">
        <v>45658</v>
      </c>
      <c r="C20" s="10" t="s">
        <v>52</v>
      </c>
      <c r="D20" s="17" t="s">
        <v>69</v>
      </c>
      <c r="E20" s="18">
        <v>48930.259999999995</v>
      </c>
      <c r="F20" s="17">
        <v>1</v>
      </c>
    </row>
    <row r="21" spans="1:6" x14ac:dyDescent="0.25">
      <c r="A21" s="16">
        <v>45688</v>
      </c>
      <c r="B21" s="16">
        <v>45658</v>
      </c>
      <c r="C21" s="10" t="s">
        <v>52</v>
      </c>
      <c r="D21" s="17" t="s">
        <v>70</v>
      </c>
      <c r="E21" s="6">
        <v>916.94</v>
      </c>
      <c r="F21" s="17">
        <v>1</v>
      </c>
    </row>
    <row r="22" spans="1:6" x14ac:dyDescent="0.25">
      <c r="A22" s="16">
        <v>45688</v>
      </c>
      <c r="B22" s="16">
        <v>45658</v>
      </c>
      <c r="C22" s="10" t="s">
        <v>41</v>
      </c>
      <c r="D22" s="17" t="s">
        <v>69</v>
      </c>
      <c r="E22" s="18">
        <v>693</v>
      </c>
      <c r="F22" s="17">
        <v>1</v>
      </c>
    </row>
    <row r="23" spans="1:6" x14ac:dyDescent="0.25">
      <c r="A23" s="16">
        <v>45688</v>
      </c>
      <c r="B23" s="16">
        <v>45658</v>
      </c>
      <c r="C23" s="10" t="s">
        <v>41</v>
      </c>
      <c r="D23" s="17" t="s">
        <v>70</v>
      </c>
      <c r="E23" s="6">
        <v>474.47</v>
      </c>
      <c r="F23" s="17">
        <v>1</v>
      </c>
    </row>
    <row r="24" spans="1:6" x14ac:dyDescent="0.25">
      <c r="A24" s="16">
        <v>45688</v>
      </c>
      <c r="B24" s="16">
        <v>45658</v>
      </c>
      <c r="C24" s="10" t="s">
        <v>42</v>
      </c>
      <c r="D24" s="17" t="s">
        <v>69</v>
      </c>
      <c r="E24" s="18">
        <v>9555.2599999999984</v>
      </c>
      <c r="F24" s="17">
        <v>1</v>
      </c>
    </row>
    <row r="25" spans="1:6" x14ac:dyDescent="0.25">
      <c r="A25" s="16">
        <v>45688</v>
      </c>
      <c r="B25" s="16">
        <v>45658</v>
      </c>
      <c r="C25" s="10" t="s">
        <v>42</v>
      </c>
      <c r="D25" s="17" t="s">
        <v>70</v>
      </c>
      <c r="E25" s="6">
        <v>6454.12</v>
      </c>
      <c r="F25" s="17">
        <v>1</v>
      </c>
    </row>
    <row r="26" spans="1:6" x14ac:dyDescent="0.25">
      <c r="A26" s="16">
        <v>45688</v>
      </c>
      <c r="B26" s="12">
        <v>45670</v>
      </c>
      <c r="C26" s="10" t="s">
        <v>42</v>
      </c>
      <c r="D26" s="17" t="s">
        <v>71</v>
      </c>
      <c r="E26" s="18">
        <v>-9555.26</v>
      </c>
      <c r="F26" s="17">
        <v>1</v>
      </c>
    </row>
    <row r="27" spans="1:6" x14ac:dyDescent="0.25">
      <c r="A27" s="16">
        <v>45688</v>
      </c>
      <c r="B27" s="12">
        <v>45670</v>
      </c>
      <c r="C27" s="10" t="s">
        <v>42</v>
      </c>
      <c r="D27" s="17" t="s">
        <v>72</v>
      </c>
      <c r="E27" s="6">
        <v>-8041.81</v>
      </c>
      <c r="F27" s="17">
        <v>1</v>
      </c>
    </row>
    <row r="28" spans="1:6" x14ac:dyDescent="0.25">
      <c r="A28" s="16">
        <v>45688</v>
      </c>
      <c r="B28" s="16">
        <v>45658</v>
      </c>
      <c r="C28" s="10" t="s">
        <v>43</v>
      </c>
      <c r="D28" s="17" t="s">
        <v>69</v>
      </c>
      <c r="E28" s="18">
        <v>1120</v>
      </c>
      <c r="F28" s="17">
        <v>1</v>
      </c>
    </row>
    <row r="29" spans="1:6" x14ac:dyDescent="0.25">
      <c r="A29" s="16">
        <v>45688</v>
      </c>
      <c r="B29" s="16">
        <v>45658</v>
      </c>
      <c r="C29" s="10" t="s">
        <v>43</v>
      </c>
      <c r="D29" s="17" t="s">
        <v>70</v>
      </c>
      <c r="E29" s="6">
        <v>751.35</v>
      </c>
      <c r="F29" s="17">
        <v>1</v>
      </c>
    </row>
    <row r="30" spans="1:6" x14ac:dyDescent="0.25">
      <c r="A30" s="16">
        <v>45688</v>
      </c>
      <c r="B30" s="12">
        <v>45670</v>
      </c>
      <c r="C30" s="10" t="s">
        <v>43</v>
      </c>
      <c r="D30" s="17" t="s">
        <v>71</v>
      </c>
      <c r="E30" s="18">
        <v>-1120</v>
      </c>
      <c r="F30" s="17">
        <v>1</v>
      </c>
    </row>
    <row r="31" spans="1:6" x14ac:dyDescent="0.25">
      <c r="A31" s="16">
        <v>45688</v>
      </c>
      <c r="B31" s="12">
        <v>45670</v>
      </c>
      <c r="C31" s="10" t="s">
        <v>43</v>
      </c>
      <c r="D31" s="17" t="s">
        <v>72</v>
      </c>
      <c r="E31" s="6">
        <v>-913.13</v>
      </c>
      <c r="F31" s="17">
        <v>1</v>
      </c>
    </row>
    <row r="32" spans="1:6" x14ac:dyDescent="0.25">
      <c r="A32" s="16">
        <v>45688</v>
      </c>
      <c r="B32" s="16">
        <v>45658</v>
      </c>
      <c r="C32" s="10" t="s">
        <v>44</v>
      </c>
      <c r="D32" s="17" t="s">
        <v>69</v>
      </c>
      <c r="E32" s="18">
        <v>35564.009999999995</v>
      </c>
      <c r="F32" s="17">
        <v>1</v>
      </c>
    </row>
    <row r="33" spans="1:6" x14ac:dyDescent="0.25">
      <c r="A33" s="16">
        <v>45688</v>
      </c>
      <c r="B33" s="16">
        <v>45658</v>
      </c>
      <c r="C33" s="10" t="s">
        <v>44</v>
      </c>
      <c r="D33" s="17" t="s">
        <v>70</v>
      </c>
      <c r="E33" s="6">
        <v>23858.09</v>
      </c>
      <c r="F33" s="17">
        <v>1</v>
      </c>
    </row>
    <row r="34" spans="1:6" x14ac:dyDescent="0.25">
      <c r="A34" s="16">
        <v>45688</v>
      </c>
      <c r="B34" s="12">
        <v>45670</v>
      </c>
      <c r="C34" s="10" t="s">
        <v>44</v>
      </c>
      <c r="D34" s="17" t="s">
        <v>71</v>
      </c>
      <c r="E34" s="18">
        <v>-35564.01</v>
      </c>
      <c r="F34" s="17">
        <v>1</v>
      </c>
    </row>
    <row r="35" spans="1:6" x14ac:dyDescent="0.25">
      <c r="A35" s="19">
        <v>45688</v>
      </c>
      <c r="B35" s="20">
        <v>45670</v>
      </c>
      <c r="C35" s="21" t="s">
        <v>44</v>
      </c>
      <c r="D35" s="22" t="s">
        <v>72</v>
      </c>
      <c r="E35" s="24">
        <v>-28995.42</v>
      </c>
      <c r="F35" s="22">
        <v>1</v>
      </c>
    </row>
    <row r="36" spans="1:6" x14ac:dyDescent="0.25">
      <c r="A36" s="16">
        <v>45688</v>
      </c>
      <c r="B36" s="16">
        <v>45658</v>
      </c>
      <c r="C36" s="10" t="s">
        <v>53</v>
      </c>
      <c r="D36" s="17" t="s">
        <v>69</v>
      </c>
      <c r="E36" s="18">
        <v>18184.289999999997</v>
      </c>
      <c r="F36" s="17">
        <v>1</v>
      </c>
    </row>
    <row r="37" spans="1:6" x14ac:dyDescent="0.25">
      <c r="A37" s="16">
        <v>45688</v>
      </c>
      <c r="B37" s="16">
        <v>45658</v>
      </c>
      <c r="C37" s="10" t="s">
        <v>53</v>
      </c>
      <c r="D37" s="17" t="s">
        <v>70</v>
      </c>
      <c r="E37" s="6">
        <v>170.38</v>
      </c>
      <c r="F37" s="17">
        <v>1</v>
      </c>
    </row>
    <row r="38" spans="1:6" x14ac:dyDescent="0.25">
      <c r="A38" s="16">
        <v>45688</v>
      </c>
      <c r="B38" s="12">
        <v>45674</v>
      </c>
      <c r="C38" s="10" t="s">
        <v>53</v>
      </c>
      <c r="D38" s="17" t="s">
        <v>71</v>
      </c>
      <c r="E38" s="18">
        <v>-18184.29</v>
      </c>
      <c r="F38" s="17">
        <v>1</v>
      </c>
    </row>
    <row r="39" spans="1:6" x14ac:dyDescent="0.25">
      <c r="A39" s="16">
        <v>45688</v>
      </c>
      <c r="B39" s="12">
        <v>45674</v>
      </c>
      <c r="C39" s="10" t="s">
        <v>53</v>
      </c>
      <c r="D39" s="17" t="s">
        <v>72</v>
      </c>
      <c r="E39" s="6">
        <v>-596.21</v>
      </c>
      <c r="F39" s="17">
        <v>1</v>
      </c>
    </row>
    <row r="40" spans="1:6" x14ac:dyDescent="0.25">
      <c r="A40" s="16">
        <v>45688</v>
      </c>
      <c r="B40" s="16">
        <v>45658</v>
      </c>
      <c r="C40" s="10" t="s">
        <v>54</v>
      </c>
      <c r="D40" s="17" t="s">
        <v>69</v>
      </c>
      <c r="E40" s="18">
        <v>18184.289999999997</v>
      </c>
      <c r="F40" s="17">
        <v>1</v>
      </c>
    </row>
    <row r="41" spans="1:6" x14ac:dyDescent="0.25">
      <c r="A41" s="16">
        <v>45688</v>
      </c>
      <c r="B41" s="16">
        <v>45658</v>
      </c>
      <c r="C41" s="10" t="s">
        <v>54</v>
      </c>
      <c r="D41" s="17" t="s">
        <v>70</v>
      </c>
      <c r="E41" s="6">
        <v>170.38</v>
      </c>
      <c r="F41" s="17">
        <v>1</v>
      </c>
    </row>
    <row r="42" spans="1:6" x14ac:dyDescent="0.25">
      <c r="A42" s="16">
        <v>45688</v>
      </c>
      <c r="B42" s="12">
        <v>45682</v>
      </c>
      <c r="C42" s="10" t="s">
        <v>54</v>
      </c>
      <c r="D42" s="17" t="s">
        <v>71</v>
      </c>
      <c r="E42" s="18">
        <v>-18712.476999999999</v>
      </c>
      <c r="F42" s="17">
        <v>1</v>
      </c>
    </row>
    <row r="43" spans="1:6" x14ac:dyDescent="0.25">
      <c r="A43" s="16">
        <v>45688</v>
      </c>
      <c r="B43" s="12">
        <v>45682</v>
      </c>
      <c r="C43" s="10" t="s">
        <v>54</v>
      </c>
      <c r="D43" s="17" t="s">
        <v>72</v>
      </c>
      <c r="E43" s="6">
        <v>-30</v>
      </c>
      <c r="F43" s="17">
        <v>1</v>
      </c>
    </row>
    <row r="44" spans="1:6" x14ac:dyDescent="0.25">
      <c r="A44" s="16">
        <v>45688</v>
      </c>
      <c r="B44" s="16">
        <v>45658</v>
      </c>
      <c r="C44" s="10" t="s">
        <v>55</v>
      </c>
      <c r="D44" s="17" t="s">
        <v>69</v>
      </c>
      <c r="E44" s="18">
        <v>65296.259999999995</v>
      </c>
      <c r="F44" s="17">
        <v>1</v>
      </c>
    </row>
    <row r="45" spans="1:6" x14ac:dyDescent="0.25">
      <c r="A45" s="16">
        <v>45688</v>
      </c>
      <c r="B45" s="16">
        <v>45658</v>
      </c>
      <c r="C45" s="10" t="s">
        <v>55</v>
      </c>
      <c r="D45" s="17" t="s">
        <v>70</v>
      </c>
      <c r="E45" s="6">
        <v>1891.53</v>
      </c>
      <c r="F45" s="17">
        <v>1</v>
      </c>
    </row>
    <row r="46" spans="1:6" x14ac:dyDescent="0.25">
      <c r="A46" s="16">
        <v>45688</v>
      </c>
      <c r="B46" s="12">
        <v>45681</v>
      </c>
      <c r="C46" s="10" t="s">
        <v>55</v>
      </c>
      <c r="D46" s="17" t="s">
        <v>73</v>
      </c>
      <c r="E46" s="6">
        <v>-6330.72</v>
      </c>
      <c r="F46" s="17">
        <v>1</v>
      </c>
    </row>
    <row r="47" spans="1:6" x14ac:dyDescent="0.25">
      <c r="A47" s="16">
        <v>45688</v>
      </c>
      <c r="B47" s="16">
        <v>45658</v>
      </c>
      <c r="C47" s="10" t="s">
        <v>45</v>
      </c>
      <c r="D47" s="17" t="s">
        <v>69</v>
      </c>
      <c r="E47" s="18">
        <v>65296.259999999995</v>
      </c>
      <c r="F47" s="17">
        <v>1</v>
      </c>
    </row>
    <row r="48" spans="1:6" x14ac:dyDescent="0.25">
      <c r="A48" s="16">
        <v>45688</v>
      </c>
      <c r="B48" s="16">
        <v>45658</v>
      </c>
      <c r="C48" s="10" t="s">
        <v>45</v>
      </c>
      <c r="D48" s="17" t="s">
        <v>70</v>
      </c>
      <c r="E48" s="6">
        <v>1891.53</v>
      </c>
      <c r="F48" s="17">
        <v>1</v>
      </c>
    </row>
    <row r="49" spans="1:6" x14ac:dyDescent="0.25">
      <c r="A49" s="16">
        <v>45688</v>
      </c>
      <c r="B49" s="12">
        <v>45681</v>
      </c>
      <c r="C49" s="10" t="s">
        <v>45</v>
      </c>
      <c r="D49" s="17" t="s">
        <v>73</v>
      </c>
      <c r="E49" s="6">
        <v>-6330.72</v>
      </c>
      <c r="F49" s="17">
        <v>1</v>
      </c>
    </row>
    <row r="50" spans="1:6" x14ac:dyDescent="0.25">
      <c r="A50" s="16">
        <v>45688</v>
      </c>
      <c r="B50" s="16">
        <v>45658</v>
      </c>
      <c r="C50" s="10" t="s">
        <v>56</v>
      </c>
      <c r="D50" s="17" t="s">
        <v>69</v>
      </c>
      <c r="E50" s="18">
        <v>31064.739999999998</v>
      </c>
      <c r="F50" s="17">
        <v>1</v>
      </c>
    </row>
    <row r="51" spans="1:6" x14ac:dyDescent="0.25">
      <c r="A51" s="16">
        <v>45688</v>
      </c>
      <c r="B51" s="16">
        <v>45658</v>
      </c>
      <c r="C51" s="10" t="s">
        <v>56</v>
      </c>
      <c r="D51" s="17" t="s">
        <v>70</v>
      </c>
      <c r="E51" s="6">
        <v>203.58</v>
      </c>
      <c r="F51" s="17">
        <v>1</v>
      </c>
    </row>
    <row r="52" spans="1:6" x14ac:dyDescent="0.25">
      <c r="A52" s="16">
        <v>45688</v>
      </c>
      <c r="B52" s="12">
        <v>45313</v>
      </c>
      <c r="C52" s="10" t="s">
        <v>56</v>
      </c>
      <c r="D52" s="17" t="s">
        <v>73</v>
      </c>
      <c r="E52" s="6">
        <v>-6000</v>
      </c>
      <c r="F52" s="17">
        <v>1</v>
      </c>
    </row>
    <row r="53" spans="1:6" x14ac:dyDescent="0.25">
      <c r="A53" s="16">
        <v>45688</v>
      </c>
      <c r="B53" s="16">
        <v>45658</v>
      </c>
      <c r="C53" s="10" t="s">
        <v>57</v>
      </c>
      <c r="D53" s="17" t="s">
        <v>69</v>
      </c>
      <c r="E53" s="6">
        <v>870</v>
      </c>
      <c r="F53" s="17">
        <v>1</v>
      </c>
    </row>
    <row r="54" spans="1:6" x14ac:dyDescent="0.25">
      <c r="A54" s="16">
        <v>45688</v>
      </c>
      <c r="B54" s="16">
        <v>45658</v>
      </c>
      <c r="C54" s="10" t="s">
        <v>46</v>
      </c>
      <c r="D54" s="17" t="s">
        <v>69</v>
      </c>
      <c r="E54" s="6">
        <v>1427.27</v>
      </c>
      <c r="F54" s="17">
        <v>1</v>
      </c>
    </row>
    <row r="55" spans="1:6" x14ac:dyDescent="0.25">
      <c r="A55" s="16">
        <v>45688</v>
      </c>
      <c r="B55" s="16">
        <v>45658</v>
      </c>
      <c r="C55" s="10" t="s">
        <v>58</v>
      </c>
      <c r="D55" s="17" t="s">
        <v>69</v>
      </c>
      <c r="E55" s="6">
        <v>1427.27</v>
      </c>
      <c r="F55" s="17">
        <v>1</v>
      </c>
    </row>
  </sheetData>
  <sortState xmlns:xlrd2="http://schemas.microsoft.com/office/spreadsheetml/2017/richdata2" ref="A2:F55">
    <sortCondition ref="C2:C5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D12F6-B29D-4EC9-9609-B26D1F8248BC}">
  <dimension ref="A1:F21"/>
  <sheetViews>
    <sheetView workbookViewId="0">
      <selection activeCell="D16" sqref="D16"/>
    </sheetView>
  </sheetViews>
  <sheetFormatPr defaultRowHeight="15" x14ac:dyDescent="0.25"/>
  <cols>
    <col min="1" max="1" width="11.5703125" bestFit="1" customWidth="1"/>
    <col min="2" max="2" width="15.42578125" bestFit="1" customWidth="1"/>
    <col min="3" max="3" width="12.5703125" bestFit="1" customWidth="1"/>
    <col min="4" max="4" width="39" customWidth="1"/>
    <col min="5" max="5" width="24.140625" customWidth="1"/>
    <col min="6" max="6" width="10.85546875" bestFit="1" customWidth="1"/>
  </cols>
  <sheetData>
    <row r="1" spans="1:6" x14ac:dyDescent="0.25">
      <c r="A1" s="15" t="s">
        <v>63</v>
      </c>
      <c r="B1" s="15" t="s">
        <v>64</v>
      </c>
      <c r="C1" s="15" t="s">
        <v>65</v>
      </c>
      <c r="D1" s="15" t="s">
        <v>66</v>
      </c>
      <c r="E1" s="15" t="s">
        <v>67</v>
      </c>
      <c r="F1" s="15" t="s">
        <v>68</v>
      </c>
    </row>
    <row r="2" spans="1:6" x14ac:dyDescent="0.25">
      <c r="A2" s="16">
        <v>45688</v>
      </c>
      <c r="B2" s="16">
        <v>45658</v>
      </c>
      <c r="C2" s="21" t="s">
        <v>53</v>
      </c>
      <c r="D2" s="17" t="s">
        <v>69</v>
      </c>
      <c r="E2" s="18">
        <v>18184.289999999997</v>
      </c>
      <c r="F2" s="17">
        <v>1</v>
      </c>
    </row>
    <row r="3" spans="1:6" x14ac:dyDescent="0.25">
      <c r="A3" s="16">
        <v>45688</v>
      </c>
      <c r="B3" s="16">
        <v>45658</v>
      </c>
      <c r="C3" s="21" t="s">
        <v>54</v>
      </c>
      <c r="D3" s="17" t="s">
        <v>69</v>
      </c>
      <c r="E3" s="18">
        <v>18184.289999999997</v>
      </c>
      <c r="F3" s="17">
        <v>1</v>
      </c>
    </row>
    <row r="4" spans="1:6" x14ac:dyDescent="0.25">
      <c r="A4" s="16">
        <v>45688</v>
      </c>
      <c r="B4" s="16">
        <v>45658</v>
      </c>
      <c r="C4" s="21" t="s">
        <v>42</v>
      </c>
      <c r="D4" s="17" t="s">
        <v>69</v>
      </c>
      <c r="E4" s="18">
        <v>9555.2599999999984</v>
      </c>
      <c r="F4" s="17">
        <v>1</v>
      </c>
    </row>
    <row r="5" spans="1:6" x14ac:dyDescent="0.25">
      <c r="A5" s="16">
        <v>45688</v>
      </c>
      <c r="B5" s="16">
        <v>45658</v>
      </c>
      <c r="C5" s="21" t="s">
        <v>43</v>
      </c>
      <c r="D5" s="17" t="s">
        <v>69</v>
      </c>
      <c r="E5" s="18">
        <v>1120</v>
      </c>
      <c r="F5" s="17">
        <v>1</v>
      </c>
    </row>
    <row r="6" spans="1:6" x14ac:dyDescent="0.25">
      <c r="A6" s="16">
        <v>45688</v>
      </c>
      <c r="B6" s="16">
        <v>45658</v>
      </c>
      <c r="C6" s="21" t="s">
        <v>44</v>
      </c>
      <c r="D6" s="17" t="s">
        <v>69</v>
      </c>
      <c r="E6" s="18">
        <v>35564.009999999995</v>
      </c>
      <c r="F6" s="17">
        <v>1</v>
      </c>
    </row>
    <row r="7" spans="1:6" x14ac:dyDescent="0.25">
      <c r="A7" s="16">
        <v>45688</v>
      </c>
      <c r="B7" s="16">
        <v>45658</v>
      </c>
      <c r="C7" s="21" t="s">
        <v>53</v>
      </c>
      <c r="D7" s="17" t="s">
        <v>70</v>
      </c>
      <c r="E7" s="6">
        <v>170.38</v>
      </c>
      <c r="F7" s="17">
        <v>1</v>
      </c>
    </row>
    <row r="8" spans="1:6" x14ac:dyDescent="0.25">
      <c r="A8" s="16">
        <v>45688</v>
      </c>
      <c r="B8" s="16">
        <v>45658</v>
      </c>
      <c r="C8" s="21" t="s">
        <v>54</v>
      </c>
      <c r="D8" s="17" t="s">
        <v>70</v>
      </c>
      <c r="E8" s="6">
        <v>170.38</v>
      </c>
      <c r="F8" s="17">
        <v>1</v>
      </c>
    </row>
    <row r="9" spans="1:6" x14ac:dyDescent="0.25">
      <c r="A9" s="16">
        <v>45688</v>
      </c>
      <c r="B9" s="16">
        <v>45658</v>
      </c>
      <c r="C9" s="21" t="s">
        <v>42</v>
      </c>
      <c r="D9" s="17" t="s">
        <v>70</v>
      </c>
      <c r="E9" s="6">
        <v>6454.12</v>
      </c>
      <c r="F9" s="17">
        <v>1</v>
      </c>
    </row>
    <row r="10" spans="1:6" x14ac:dyDescent="0.25">
      <c r="A10" s="16">
        <v>45688</v>
      </c>
      <c r="B10" s="16">
        <v>45658</v>
      </c>
      <c r="C10" s="21" t="s">
        <v>43</v>
      </c>
      <c r="D10" s="17" t="s">
        <v>70</v>
      </c>
      <c r="E10" s="6">
        <v>751.35</v>
      </c>
      <c r="F10" s="17">
        <v>1</v>
      </c>
    </row>
    <row r="11" spans="1:6" x14ac:dyDescent="0.25">
      <c r="A11" s="16">
        <v>45688</v>
      </c>
      <c r="B11" s="16">
        <v>45658</v>
      </c>
      <c r="C11" s="21" t="s">
        <v>44</v>
      </c>
      <c r="D11" s="17" t="s">
        <v>70</v>
      </c>
      <c r="E11" s="6">
        <v>23858.09</v>
      </c>
      <c r="F11" s="17">
        <v>1</v>
      </c>
    </row>
    <row r="12" spans="1:6" x14ac:dyDescent="0.25">
      <c r="A12" s="19">
        <v>45688</v>
      </c>
      <c r="B12" s="20">
        <v>45674</v>
      </c>
      <c r="C12" s="21" t="s">
        <v>53</v>
      </c>
      <c r="D12" s="22" t="s">
        <v>71</v>
      </c>
      <c r="E12" s="23">
        <v>-18184.29</v>
      </c>
      <c r="F12" s="22">
        <v>1</v>
      </c>
    </row>
    <row r="13" spans="1:6" x14ac:dyDescent="0.25">
      <c r="A13" s="19">
        <v>45688</v>
      </c>
      <c r="B13" s="20">
        <v>45682</v>
      </c>
      <c r="C13" s="21" t="s">
        <v>54</v>
      </c>
      <c r="D13" s="22" t="s">
        <v>71</v>
      </c>
      <c r="E13" s="23">
        <v>-18712.476999999999</v>
      </c>
      <c r="F13" s="22">
        <v>1</v>
      </c>
    </row>
    <row r="14" spans="1:6" x14ac:dyDescent="0.25">
      <c r="A14" s="19">
        <v>45688</v>
      </c>
      <c r="B14" s="20">
        <v>45670</v>
      </c>
      <c r="C14" s="21" t="s">
        <v>42</v>
      </c>
      <c r="D14" s="22" t="s">
        <v>71</v>
      </c>
      <c r="E14" s="23">
        <v>-9555.26</v>
      </c>
      <c r="F14" s="22">
        <v>1</v>
      </c>
    </row>
    <row r="15" spans="1:6" x14ac:dyDescent="0.25">
      <c r="A15" s="19">
        <v>45688</v>
      </c>
      <c r="B15" s="20">
        <v>45670</v>
      </c>
      <c r="C15" s="21" t="s">
        <v>43</v>
      </c>
      <c r="D15" s="22" t="s">
        <v>71</v>
      </c>
      <c r="E15" s="23">
        <v>-1120</v>
      </c>
      <c r="F15" s="22">
        <v>1</v>
      </c>
    </row>
    <row r="16" spans="1:6" x14ac:dyDescent="0.25">
      <c r="A16" s="19">
        <v>45688</v>
      </c>
      <c r="B16" s="20">
        <v>45670</v>
      </c>
      <c r="C16" s="21" t="s">
        <v>44</v>
      </c>
      <c r="D16" s="22" t="s">
        <v>71</v>
      </c>
      <c r="E16" s="23">
        <v>-35564.01</v>
      </c>
      <c r="F16" s="22">
        <v>1</v>
      </c>
    </row>
    <row r="17" spans="1:6" x14ac:dyDescent="0.25">
      <c r="A17" s="19">
        <v>45688</v>
      </c>
      <c r="B17" s="20">
        <v>45674</v>
      </c>
      <c r="C17" s="21" t="s">
        <v>53</v>
      </c>
      <c r="D17" s="22" t="s">
        <v>72</v>
      </c>
      <c r="E17" s="24">
        <v>-596.21</v>
      </c>
      <c r="F17" s="22">
        <v>1</v>
      </c>
    </row>
    <row r="18" spans="1:6" x14ac:dyDescent="0.25">
      <c r="A18" s="19">
        <v>45688</v>
      </c>
      <c r="B18" s="20">
        <v>45682</v>
      </c>
      <c r="C18" s="21" t="s">
        <v>54</v>
      </c>
      <c r="D18" s="22" t="s">
        <v>72</v>
      </c>
      <c r="E18" s="24">
        <v>-30</v>
      </c>
      <c r="F18" s="22">
        <v>1</v>
      </c>
    </row>
    <row r="19" spans="1:6" x14ac:dyDescent="0.25">
      <c r="A19" s="19">
        <v>45688</v>
      </c>
      <c r="B19" s="20">
        <v>45670</v>
      </c>
      <c r="C19" s="21" t="s">
        <v>42</v>
      </c>
      <c r="D19" s="22" t="s">
        <v>72</v>
      </c>
      <c r="E19" s="24">
        <v>-8041.81</v>
      </c>
      <c r="F19" s="22">
        <v>1</v>
      </c>
    </row>
    <row r="20" spans="1:6" x14ac:dyDescent="0.25">
      <c r="A20" s="19">
        <v>45688</v>
      </c>
      <c r="B20" s="20">
        <v>45670</v>
      </c>
      <c r="C20" s="21" t="s">
        <v>43</v>
      </c>
      <c r="D20" s="22" t="s">
        <v>72</v>
      </c>
      <c r="E20" s="24">
        <v>-913.13</v>
      </c>
      <c r="F20" s="22">
        <v>1</v>
      </c>
    </row>
    <row r="21" spans="1:6" x14ac:dyDescent="0.25">
      <c r="A21" s="19">
        <v>45688</v>
      </c>
      <c r="B21" s="20">
        <v>45670</v>
      </c>
      <c r="C21" s="21" t="s">
        <v>44</v>
      </c>
      <c r="D21" s="22" t="s">
        <v>72</v>
      </c>
      <c r="E21" s="24">
        <v>-28995.42</v>
      </c>
      <c r="F21" s="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2" t="s">
        <v>4</v>
      </c>
    </row>
    <row r="2" spans="1:6" x14ac:dyDescent="0.2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11</v>
      </c>
      <c r="D3" s="1" t="s">
        <v>12</v>
      </c>
      <c r="E3" s="1" t="s">
        <v>13</v>
      </c>
      <c r="F3" s="1" t="s">
        <v>14</v>
      </c>
    </row>
    <row r="4" spans="1:6" x14ac:dyDescent="0.25">
      <c r="A4" s="1" t="str">
        <f t="shared" si="0"/>
        <v>Revenueamount&gt;1Cr</v>
      </c>
      <c r="B4" s="1">
        <v>2</v>
      </c>
      <c r="C4" s="3" t="s">
        <v>11</v>
      </c>
      <c r="D4" s="3" t="s">
        <v>12</v>
      </c>
      <c r="E4" s="3" t="s">
        <v>15</v>
      </c>
      <c r="F4" s="4" t="s">
        <v>14</v>
      </c>
    </row>
    <row r="5" spans="1:6" x14ac:dyDescent="0.25">
      <c r="A5" s="1" t="str">
        <f t="shared" si="0"/>
        <v>Revenueamount&lt;1Dr</v>
      </c>
      <c r="B5" s="1">
        <v>3</v>
      </c>
      <c r="C5" s="3" t="s">
        <v>11</v>
      </c>
      <c r="D5" s="3" t="s">
        <v>16</v>
      </c>
      <c r="E5" s="3" t="s">
        <v>13</v>
      </c>
      <c r="F5" s="4" t="s">
        <v>17</v>
      </c>
    </row>
    <row r="6" spans="1:6" x14ac:dyDescent="0.25">
      <c r="A6" s="1" t="str">
        <f t="shared" si="0"/>
        <v>Revenueamount&lt;1Cr</v>
      </c>
      <c r="B6" s="1">
        <v>4</v>
      </c>
      <c r="C6" s="1" t="s">
        <v>11</v>
      </c>
      <c r="D6" s="1" t="s">
        <v>16</v>
      </c>
      <c r="E6" s="1" t="s">
        <v>15</v>
      </c>
      <c r="F6" s="1" t="s">
        <v>17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18</v>
      </c>
      <c r="D7" s="1" t="s">
        <v>12</v>
      </c>
      <c r="E7" s="1" t="s">
        <v>13</v>
      </c>
      <c r="F7" s="1" t="s">
        <v>14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18</v>
      </c>
      <c r="D8" s="1" t="s">
        <v>12</v>
      </c>
      <c r="E8" s="1" t="s">
        <v>15</v>
      </c>
      <c r="F8" s="1" t="s">
        <v>14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18</v>
      </c>
      <c r="D9" s="1" t="s">
        <v>16</v>
      </c>
      <c r="E9" s="1" t="s">
        <v>13</v>
      </c>
      <c r="F9" s="1" t="s">
        <v>17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18</v>
      </c>
      <c r="D10" s="1" t="s">
        <v>16</v>
      </c>
      <c r="E10" s="1" t="s">
        <v>15</v>
      </c>
      <c r="F10" s="1" t="s">
        <v>17</v>
      </c>
    </row>
    <row r="11" spans="1:6" x14ac:dyDescent="0.25">
      <c r="A11" s="1" t="str">
        <f t="shared" si="0"/>
        <v>A/Ramount&gt;1Dr</v>
      </c>
      <c r="B11" s="1">
        <v>9</v>
      </c>
      <c r="C11" s="1" t="s">
        <v>19</v>
      </c>
      <c r="D11" s="1" t="s">
        <v>12</v>
      </c>
      <c r="E11" s="1" t="s">
        <v>13</v>
      </c>
      <c r="F11" s="1" t="s">
        <v>14</v>
      </c>
    </row>
    <row r="12" spans="1:6" x14ac:dyDescent="0.25">
      <c r="A12" s="1" t="str">
        <f t="shared" si="0"/>
        <v>A/Ramount&gt;1Cr</v>
      </c>
      <c r="B12" s="1">
        <v>10</v>
      </c>
      <c r="C12" s="1" t="s">
        <v>19</v>
      </c>
      <c r="D12" s="1" t="s">
        <v>12</v>
      </c>
      <c r="E12" s="1" t="s">
        <v>15</v>
      </c>
      <c r="F12" s="1" t="s">
        <v>14</v>
      </c>
    </row>
    <row r="13" spans="1:6" x14ac:dyDescent="0.25">
      <c r="A13" s="1" t="str">
        <f t="shared" si="0"/>
        <v>A/Ramount&lt;1Dr</v>
      </c>
      <c r="B13" s="1">
        <v>11</v>
      </c>
      <c r="C13" s="1" t="s">
        <v>19</v>
      </c>
      <c r="D13" s="1" t="s">
        <v>16</v>
      </c>
      <c r="E13" s="1" t="s">
        <v>13</v>
      </c>
      <c r="F13" s="1" t="s">
        <v>17</v>
      </c>
    </row>
    <row r="14" spans="1:6" x14ac:dyDescent="0.25">
      <c r="A14" s="1" t="str">
        <f t="shared" si="0"/>
        <v>A/Ramount&lt;1Cr</v>
      </c>
      <c r="B14" s="1">
        <v>12</v>
      </c>
      <c r="C14" s="1" t="s">
        <v>19</v>
      </c>
      <c r="D14" s="1" t="s">
        <v>16</v>
      </c>
      <c r="E14" s="1" t="s">
        <v>15</v>
      </c>
      <c r="F14" s="1" t="s">
        <v>17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4" customWidth="1"/>
  </cols>
  <sheetData>
    <row r="1" spans="2:15" x14ac:dyDescent="0.25">
      <c r="B1" s="1">
        <v>1</v>
      </c>
      <c r="D1" s="1" t="s">
        <v>13</v>
      </c>
      <c r="E1" s="1" t="s">
        <v>15</v>
      </c>
      <c r="G1" s="2" t="s">
        <v>20</v>
      </c>
      <c r="H1" s="2" t="s">
        <v>21</v>
      </c>
      <c r="I1" s="2"/>
    </row>
    <row r="2" spans="2:15" x14ac:dyDescent="0.25">
      <c r="C2" s="1" t="s">
        <v>22</v>
      </c>
      <c r="D2" s="1">
        <v>100</v>
      </c>
      <c r="G2" s="1" t="s">
        <v>23</v>
      </c>
      <c r="H2" s="4" t="s">
        <v>23</v>
      </c>
    </row>
    <row r="3" spans="2:15" x14ac:dyDescent="0.25">
      <c r="C3" s="1" t="s">
        <v>24</v>
      </c>
      <c r="E3" s="1">
        <v>-100</v>
      </c>
      <c r="G3" s="1" t="s">
        <v>11</v>
      </c>
      <c r="H3" s="4" t="s">
        <v>23</v>
      </c>
    </row>
    <row r="5" spans="2:15" x14ac:dyDescent="0.25">
      <c r="B5" s="1">
        <v>2</v>
      </c>
      <c r="C5" s="4" t="str">
        <f>C2</f>
        <v>Def</v>
      </c>
      <c r="D5" s="4">
        <v>100</v>
      </c>
      <c r="E5" s="4"/>
      <c r="G5" s="4" t="s">
        <v>23</v>
      </c>
      <c r="H5" s="4" t="s">
        <v>23</v>
      </c>
    </row>
    <row r="6" spans="2:15" x14ac:dyDescent="0.25">
      <c r="C6" s="4" t="s">
        <v>24</v>
      </c>
      <c r="D6" s="4"/>
      <c r="E6" s="4">
        <v>-100</v>
      </c>
      <c r="G6" s="4" t="s">
        <v>11</v>
      </c>
      <c r="H6" s="4" t="s">
        <v>23</v>
      </c>
    </row>
    <row r="8" spans="2:15" x14ac:dyDescent="0.25">
      <c r="B8" s="1">
        <v>3</v>
      </c>
      <c r="C8" s="4" t="s">
        <v>24</v>
      </c>
      <c r="D8" s="4">
        <v>200</v>
      </c>
      <c r="E8" s="4"/>
      <c r="F8" s="4"/>
      <c r="G8" s="4" t="s">
        <v>11</v>
      </c>
      <c r="H8" s="4" t="s">
        <v>25</v>
      </c>
    </row>
    <row r="9" spans="2:15" x14ac:dyDescent="0.25">
      <c r="C9" s="4" t="s">
        <v>22</v>
      </c>
      <c r="D9" s="4"/>
      <c r="E9" s="4">
        <v>-200</v>
      </c>
      <c r="F9" s="4"/>
      <c r="G9" s="4" t="s">
        <v>23</v>
      </c>
      <c r="H9" s="4" t="s">
        <v>25</v>
      </c>
    </row>
    <row r="10" spans="2:15" x14ac:dyDescent="0.25">
      <c r="J10" s="4" t="s">
        <v>26</v>
      </c>
      <c r="K10" s="4" t="s">
        <v>27</v>
      </c>
      <c r="L10" s="4" t="s">
        <v>28</v>
      </c>
      <c r="M10" s="4" t="s">
        <v>29</v>
      </c>
      <c r="N10" s="4" t="s">
        <v>30</v>
      </c>
      <c r="O10" s="4" t="s">
        <v>31</v>
      </c>
    </row>
    <row r="11" spans="2:15" x14ac:dyDescent="0.25">
      <c r="B11" s="1">
        <v>3</v>
      </c>
      <c r="C11" s="1" t="s">
        <v>22</v>
      </c>
      <c r="D11" s="1">
        <v>200</v>
      </c>
      <c r="G11" s="4" t="s">
        <v>32</v>
      </c>
      <c r="H11" s="4" t="s">
        <v>25</v>
      </c>
      <c r="M11" s="1">
        <v>100</v>
      </c>
      <c r="O11" s="1">
        <v>100</v>
      </c>
    </row>
    <row r="12" spans="2:15" x14ac:dyDescent="0.25">
      <c r="C12" s="1" t="s">
        <v>24</v>
      </c>
      <c r="E12" s="1">
        <v>-200</v>
      </c>
      <c r="G12" s="4" t="str">
        <f>G8</f>
        <v>Revenue</v>
      </c>
      <c r="H12" s="4" t="s">
        <v>25</v>
      </c>
      <c r="J12" s="4">
        <f>O11</f>
        <v>100</v>
      </c>
      <c r="M12" s="1">
        <v>100</v>
      </c>
      <c r="O12" s="4">
        <f>J12+M12</f>
        <v>200</v>
      </c>
    </row>
    <row r="13" spans="2:15" x14ac:dyDescent="0.25">
      <c r="J13" s="4">
        <f>O12</f>
        <v>200</v>
      </c>
      <c r="L13" s="1">
        <v>1200</v>
      </c>
      <c r="M13" s="1">
        <v>100</v>
      </c>
      <c r="N13" s="4">
        <f>L13-J13-M13</f>
        <v>900</v>
      </c>
      <c r="O13" s="1">
        <v>0</v>
      </c>
    </row>
    <row r="14" spans="2:15" x14ac:dyDescent="0.25">
      <c r="B14" s="1">
        <v>3</v>
      </c>
      <c r="C14" s="1" t="s">
        <v>33</v>
      </c>
      <c r="D14" s="1">
        <v>1200</v>
      </c>
      <c r="G14" s="1" t="s">
        <v>34</v>
      </c>
      <c r="H14" s="4" t="s">
        <v>25</v>
      </c>
      <c r="K14" s="4">
        <f t="shared" ref="K14:K22" si="0">N13</f>
        <v>900</v>
      </c>
      <c r="M14" s="4">
        <v>100</v>
      </c>
      <c r="N14" s="4">
        <f t="shared" ref="N14:N22" si="1">K14-M14</f>
        <v>800</v>
      </c>
    </row>
    <row r="15" spans="2:15" x14ac:dyDescent="0.25">
      <c r="C15" s="1" t="s">
        <v>35</v>
      </c>
      <c r="E15" s="1">
        <v>-1200</v>
      </c>
      <c r="G15" s="4" t="str">
        <f>G11</f>
        <v>Def Revenue</v>
      </c>
      <c r="H15" s="4" t="s">
        <v>25</v>
      </c>
      <c r="K15" s="4">
        <f t="shared" si="0"/>
        <v>800</v>
      </c>
      <c r="L15" s="4"/>
      <c r="M15" s="4">
        <v>100</v>
      </c>
      <c r="N15" s="4">
        <f t="shared" si="1"/>
        <v>700</v>
      </c>
    </row>
    <row r="16" spans="2:15" x14ac:dyDescent="0.25">
      <c r="K16" s="4">
        <f t="shared" si="0"/>
        <v>700</v>
      </c>
      <c r="L16" s="4"/>
      <c r="M16" s="4">
        <v>100</v>
      </c>
      <c r="N16" s="4">
        <f t="shared" si="1"/>
        <v>600</v>
      </c>
    </row>
    <row r="17" spans="2:14" x14ac:dyDescent="0.25">
      <c r="B17" s="1">
        <v>3</v>
      </c>
      <c r="C17" s="1" t="s">
        <v>22</v>
      </c>
      <c r="D17" s="1">
        <v>100</v>
      </c>
      <c r="G17" s="4" t="s">
        <v>32</v>
      </c>
      <c r="H17" s="4" t="s">
        <v>25</v>
      </c>
      <c r="K17" s="4">
        <f t="shared" si="0"/>
        <v>600</v>
      </c>
      <c r="L17" s="4"/>
      <c r="M17" s="4">
        <v>100</v>
      </c>
      <c r="N17" s="4">
        <f t="shared" si="1"/>
        <v>500</v>
      </c>
    </row>
    <row r="18" spans="2:14" x14ac:dyDescent="0.25">
      <c r="C18" s="1" t="s">
        <v>24</v>
      </c>
      <c r="E18" s="1">
        <v>-100</v>
      </c>
      <c r="G18" s="4" t="str">
        <f>G12</f>
        <v>Revenue</v>
      </c>
      <c r="H18" s="4" t="s">
        <v>25</v>
      </c>
      <c r="K18" s="4">
        <f t="shared" si="0"/>
        <v>500</v>
      </c>
      <c r="L18" s="4"/>
      <c r="M18" s="4">
        <v>100</v>
      </c>
      <c r="N18" s="4">
        <f t="shared" si="1"/>
        <v>400</v>
      </c>
    </row>
    <row r="19" spans="2:14" x14ac:dyDescent="0.25">
      <c r="K19" s="4">
        <f t="shared" si="0"/>
        <v>400</v>
      </c>
      <c r="L19" s="4"/>
      <c r="M19" s="4">
        <v>100</v>
      </c>
      <c r="N19" s="4">
        <f t="shared" si="1"/>
        <v>300</v>
      </c>
    </row>
    <row r="20" spans="2:14" x14ac:dyDescent="0.25">
      <c r="K20" s="4">
        <f t="shared" si="0"/>
        <v>300</v>
      </c>
      <c r="L20" s="4"/>
      <c r="M20" s="4">
        <v>100</v>
      </c>
      <c r="N20" s="4">
        <f t="shared" si="1"/>
        <v>200</v>
      </c>
    </row>
    <row r="21" spans="2:14" x14ac:dyDescent="0.25">
      <c r="C21" s="1" t="s">
        <v>23</v>
      </c>
      <c r="D21" s="1" t="s">
        <v>11</v>
      </c>
      <c r="E21" s="1" t="s">
        <v>34</v>
      </c>
      <c r="F21" s="1" t="s">
        <v>32</v>
      </c>
      <c r="K21" s="4">
        <f t="shared" si="0"/>
        <v>200</v>
      </c>
      <c r="L21" s="4"/>
      <c r="M21" s="4">
        <v>100</v>
      </c>
      <c r="N21" s="4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4">
        <f t="shared" si="0"/>
        <v>100</v>
      </c>
      <c r="L22" s="4"/>
      <c r="M22" s="4">
        <v>100</v>
      </c>
      <c r="N22" s="4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4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4"/>
    </row>
    <row r="25" spans="2:14" x14ac:dyDescent="0.25">
      <c r="C25" s="1">
        <f>SUM(C22:C24)</f>
        <v>0</v>
      </c>
      <c r="D25" s="1">
        <f>SUM(D22:D24)</f>
        <v>-300</v>
      </c>
      <c r="E25" s="4">
        <f>SUM(E22:E24)</f>
        <v>1200</v>
      </c>
      <c r="F25" s="4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InstrumentAttribute</vt:lpstr>
      <vt:lpstr>TransactionActivity</vt:lpstr>
      <vt:lpstr>xxTransactionActivity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26</cp:revision>
  <dcterms:created xsi:type="dcterms:W3CDTF">2024-02-24T05:30:44Z</dcterms:created>
  <dcterms:modified xsi:type="dcterms:W3CDTF">2025-12-13T12:44:56Z</dcterms:modified>
  <dc:language>en-US</dc:language>
</cp:coreProperties>
</file>