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ijaffar/workspace/fyntrac-data/src/test/resources/TestDriver/TestGL2/ActivityData/"/>
    </mc:Choice>
  </mc:AlternateContent>
  <xr:revisionPtr revIDLastSave="0" documentId="13_ncr:1_{BF25BDA6-6056-1447-BE01-5166AEB3B639}" xr6:coauthVersionLast="47" xr6:coauthVersionMax="47" xr10:uidLastSave="{00000000-0000-0000-0000-000000000000}"/>
  <bookViews>
    <workbookView xWindow="0" yWindow="600" windowWidth="28800" windowHeight="15860" tabRatio="500" activeTab="1" xr2:uid="{00000000-000D-0000-FFFF-FFFF00000000}"/>
  </bookViews>
  <sheets>
    <sheet name="InstrumentAttribute" sheetId="1" r:id="rId1"/>
    <sheet name="TransactionActivity" sheetId="4" r:id="rId2"/>
    <sheet name="GLRule" sheetId="2" state="hidden" r:id="rId3"/>
    <sheet name="Sheet1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1" l="1"/>
  <c r="N3" i="1"/>
  <c r="F24" i="3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  <c r="N2" i="1"/>
</calcChain>
</file>

<file path=xl/sharedStrings.xml><?xml version="1.0" encoding="utf-8"?>
<sst xmlns="http://schemas.openxmlformats.org/spreadsheetml/2006/main" count="149" uniqueCount="64">
  <si>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</si>
  <si>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</si>
  <si>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</si>
  <si>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</si>
  <si>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</si>
  <si>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</si>
  <si>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</si>
  <si>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</si>
  <si>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</si>
  <si>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</si>
  <si>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</si>
  <si>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</si>
  <si>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STATUS_AS_OF</t>
  </si>
  <si>
    <t>INTEREST_RECEIVABLE_CONSUMER</t>
  </si>
  <si>
    <t>NEXT_PAYMENT_DUE_DATE</t>
  </si>
  <si>
    <t>LAST_PAYMENT_MADE_DATE</t>
  </si>
  <si>
    <t>actual_360</t>
  </si>
  <si>
    <t>current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</si>
  <si>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</si>
  <si>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</si>
  <si>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</si>
  <si>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</si>
  <si>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</si>
  <si>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</si>
  <si>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</si>
  <si>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</si>
  <si>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</si>
  <si>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</si>
  <si>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</si>
  <si>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</si>
  <si>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</si>
  <si>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</si>
  <si>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</si>
  <si>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</si>
  <si>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</si>
  <si>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</si>
  <si>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</si>
  <si>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</si>
  <si>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</si>
  <si>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</si>
  <si>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</si>
  <si>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</si>
  <si>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</si>
  <si>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</si>
  <si>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</si>
  <si>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</si>
  <si>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</si>
  <si>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</si>
  <si>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</si>
  <si>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</si>
  <si>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</si>
  <si>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</si>
  <si>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</si>
  <si>
    <t>PRODUCT_TYPE</t>
  </si>
  <si>
    <t>PORTFOLIO</t>
  </si>
  <si>
    <t>ABC</t>
  </si>
  <si>
    <t>Postingdate</t>
  </si>
  <si>
    <t>TransactionDate</t>
  </si>
  <si>
    <t>InstrumentId</t>
  </si>
  <si>
    <t>TransactionName</t>
  </si>
  <si>
    <t>Amount</t>
  </si>
  <si>
    <t>AtrributeId</t>
  </si>
  <si>
    <t>Purchase_UPB</t>
  </si>
  <si>
    <t>Purchase_Interest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</si>
</sst>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2" borderId="0" xfId="1" applyNumberFormat="1" applyFont="1" applyFill="1"/>
    <xf numFmtId="14" fontId="0" fillId="0" borderId="0" xfId="1" applyNumberFormat="1" applyFont="1"/>
    <xf numFmtId="0" fontId="0" fillId="0" borderId="0" xfId="1" applyFont="1"/>
    <xf numFmtId="0" fontId="1" fillId="0" borderId="0" xfId="0" applyFont="1"/>
    <xf numFmtId="0" fontId="0" fillId="2" borderId="0" xfId="0" applyFill="1"/>
    <xf numFmtId="0" fontId="3" fillId="0" borderId="0" xfId="1" applyFont="1"/>
    <xf numFmtId="0" fontId="1" fillId="2" borderId="1" xfId="1" applyFont="1" applyFill="1" applyBorder="1"/>
    <xf numFmtId="0" fontId="1" fillId="0" borderId="1" xfId="1" applyFont="1" applyBorder="1"/>
    <xf numFmtId="0" fontId="0" fillId="0" borderId="1" xfId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0" fontId="0" fillId="4" borderId="0" xfId="1" applyFont="1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R4"/>
  <sheetViews>
    <sheetView zoomScale="120" zoomScaleNormal="120" workbookViewId="0">
      <selection activeCell="K3" sqref="K3:K4"/>
    </sheetView>
  </sheetViews>
  <sheetFormatPr baseColWidth="10" defaultColWidth="11.5" defaultRowHeight="15" customHeight="1" x14ac:dyDescent="0.2"/>
  <cols>
    <col min="5" max="5" width="15.83203125" customWidth="1"/>
  </cols>
  <sheetData>
    <row r="1" spans="1:18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9" t="s">
        <v>53</v>
      </c>
      <c r="N1" s="3" t="s">
        <v>12</v>
      </c>
      <c r="O1" s="3" t="s">
        <v>13</v>
      </c>
      <c r="P1" s="3" t="s">
        <v>14</v>
      </c>
      <c r="Q1" s="3" t="s">
        <v>15</v>
      </c>
      <c r="R1" s="9" t="s">
        <v>54</v>
      </c>
    </row>
    <row r="2" spans="1:18" x14ac:dyDescent="0.2">
      <c r="A2" s="4">
        <v>44592</v>
      </c>
      <c r="B2" s="5">
        <v>44592</v>
      </c>
      <c r="C2" s="6">
        <v>1</v>
      </c>
      <c r="D2" s="6" t="s">
        <v>50</v>
      </c>
      <c r="E2" s="6">
        <v>100000</v>
      </c>
      <c r="F2" s="6" t="s">
        <v>16</v>
      </c>
      <c r="G2" s="6">
        <v>10</v>
      </c>
      <c r="H2" s="6">
        <v>12</v>
      </c>
      <c r="I2" s="5">
        <v>44592</v>
      </c>
      <c r="J2" s="5">
        <v>44957</v>
      </c>
      <c r="K2" s="6">
        <v>100000</v>
      </c>
      <c r="L2" s="6" t="s">
        <v>17</v>
      </c>
      <c r="M2" s="6">
        <v>102</v>
      </c>
      <c r="N2" s="5">
        <f>A2</f>
        <v>44592</v>
      </c>
      <c r="O2" s="6">
        <v>100</v>
      </c>
      <c r="P2" s="5">
        <v>45350</v>
      </c>
      <c r="Q2" s="5">
        <v>45322</v>
      </c>
      <c r="R2" t="s">
        <v>55</v>
      </c>
    </row>
    <row r="3" spans="1:18" ht="15" customHeight="1" x14ac:dyDescent="0.2">
      <c r="A3" s="4">
        <v>44592</v>
      </c>
      <c r="B3" s="5">
        <v>44592</v>
      </c>
      <c r="C3" s="6">
        <v>1</v>
      </c>
      <c r="D3" s="6" t="s">
        <v>51</v>
      </c>
      <c r="E3" s="15">
        <v>200000</v>
      </c>
      <c r="F3" s="6" t="s">
        <v>16</v>
      </c>
      <c r="G3" s="6">
        <v>8</v>
      </c>
      <c r="H3" s="6">
        <v>12</v>
      </c>
      <c r="I3" s="5">
        <v>44592</v>
      </c>
      <c r="J3" s="5">
        <v>44957</v>
      </c>
      <c r="K3" s="15">
        <v>200000</v>
      </c>
      <c r="L3" s="6" t="s">
        <v>17</v>
      </c>
      <c r="M3" s="6">
        <v>102</v>
      </c>
      <c r="N3" s="5">
        <f>A3</f>
        <v>44592</v>
      </c>
      <c r="O3" s="6">
        <v>200</v>
      </c>
      <c r="P3" s="5">
        <v>45350</v>
      </c>
      <c r="Q3" s="5">
        <v>45322</v>
      </c>
      <c r="R3" t="s">
        <v>55</v>
      </c>
    </row>
    <row r="4" spans="1:18" ht="15" customHeight="1" x14ac:dyDescent="0.2">
      <c r="A4" s="4">
        <v>44592</v>
      </c>
      <c r="B4" s="5">
        <v>44592</v>
      </c>
      <c r="C4" s="6">
        <v>1</v>
      </c>
      <c r="D4" s="6" t="s">
        <v>52</v>
      </c>
      <c r="E4" s="15">
        <v>300000</v>
      </c>
      <c r="F4" s="6" t="s">
        <v>16</v>
      </c>
      <c r="G4" s="6">
        <v>2</v>
      </c>
      <c r="H4" s="6">
        <v>12</v>
      </c>
      <c r="I4" s="5">
        <v>44592</v>
      </c>
      <c r="J4" s="5">
        <v>44957</v>
      </c>
      <c r="K4" s="15">
        <v>300000</v>
      </c>
      <c r="L4" s="6" t="s">
        <v>17</v>
      </c>
      <c r="M4" s="6">
        <v>102</v>
      </c>
      <c r="N4" s="5">
        <f>A4</f>
        <v>44592</v>
      </c>
      <c r="O4" s="6">
        <v>300</v>
      </c>
      <c r="P4" s="5">
        <v>45350</v>
      </c>
      <c r="Q4" s="5">
        <v>45322</v>
      </c>
      <c r="R4" t="s">
        <v>55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F462-2E5F-4515-B59A-2463397D1BBE}">
  <sheetPr>
    <tabColor rgb="FFFFC000"/>
  </sheetPr>
  <dimension ref="A1:F7"/>
  <sheetViews>
    <sheetView tabSelected="1" zoomScaleNormal="100" workbookViewId="0">
      <selection activeCell="D5" sqref="D5"/>
    </sheetView>
  </sheetViews>
  <sheetFormatPr baseColWidth="10" defaultColWidth="8.6640625" defaultRowHeight="15" customHeight="1" x14ac:dyDescent="0.2"/>
  <cols>
    <col min="1" max="1" width="15.5" customWidth="1"/>
    <col min="2" max="2" width="12.5" customWidth="1"/>
    <col min="3" max="3" width="16.5" customWidth="1"/>
    <col min="4" max="4" width="34.5" customWidth="1"/>
    <col min="5" max="5" width="10.83203125" customWidth="1"/>
  </cols>
  <sheetData>
    <row r="1" spans="1:6" x14ac:dyDescent="0.2">
      <c r="A1" s="10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</row>
    <row r="2" spans="1:6" x14ac:dyDescent="0.2">
      <c r="A2" s="4">
        <v>44592</v>
      </c>
      <c r="B2" s="4">
        <v>44592</v>
      </c>
      <c r="C2" s="12" t="s">
        <v>50</v>
      </c>
      <c r="D2" t="s">
        <v>62</v>
      </c>
      <c r="E2" s="13">
        <v>100000</v>
      </c>
      <c r="F2" s="12">
        <v>1</v>
      </c>
    </row>
    <row r="3" spans="1:6" ht="15" customHeight="1" x14ac:dyDescent="0.2">
      <c r="A3" s="4">
        <v>44592</v>
      </c>
      <c r="B3" s="4">
        <v>44592</v>
      </c>
      <c r="C3" s="12" t="s">
        <v>51</v>
      </c>
      <c r="D3" t="s">
        <v>62</v>
      </c>
      <c r="E3" s="13">
        <v>200000</v>
      </c>
      <c r="F3" s="12">
        <v>1</v>
      </c>
    </row>
    <row r="4" spans="1:6" ht="15" customHeight="1" x14ac:dyDescent="0.2">
      <c r="A4" s="4">
        <v>44592</v>
      </c>
      <c r="B4" s="4">
        <v>44592</v>
      </c>
      <c r="C4" s="12" t="s">
        <v>52</v>
      </c>
      <c r="D4" t="s">
        <v>62</v>
      </c>
      <c r="E4" s="13">
        <v>300000</v>
      </c>
      <c r="F4" s="12">
        <v>1</v>
      </c>
    </row>
    <row r="5" spans="1:6" ht="15" customHeight="1" x14ac:dyDescent="0.2">
      <c r="A5" s="4">
        <v>44592</v>
      </c>
      <c r="B5" s="4">
        <v>44592</v>
      </c>
      <c r="C5" s="12" t="s">
        <v>50</v>
      </c>
      <c r="D5" t="s">
        <v>63</v>
      </c>
      <c r="E5" s="14">
        <v>1000</v>
      </c>
      <c r="F5" s="12">
        <v>1</v>
      </c>
    </row>
    <row r="6" spans="1:6" ht="15" customHeight="1" x14ac:dyDescent="0.2">
      <c r="A6" s="4">
        <v>44592</v>
      </c>
      <c r="B6" s="4">
        <v>44592</v>
      </c>
      <c r="C6" s="12" t="s">
        <v>51</v>
      </c>
      <c r="D6" t="s">
        <v>63</v>
      </c>
      <c r="E6" s="14">
        <v>2000</v>
      </c>
      <c r="F6" s="12">
        <v>1</v>
      </c>
    </row>
    <row r="7" spans="1:6" ht="15" customHeight="1" x14ac:dyDescent="0.2">
      <c r="A7" s="4">
        <v>44592</v>
      </c>
      <c r="B7" s="4">
        <v>44592</v>
      </c>
      <c r="C7" s="12" t="s">
        <v>52</v>
      </c>
      <c r="D7" t="s">
        <v>63</v>
      </c>
      <c r="E7" s="14">
        <v>3000</v>
      </c>
      <c r="F7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baseColWidth="10" defaultColWidth="8.6640625" defaultRowHeight="15" customHeight="1" x14ac:dyDescent="0.2"/>
  <cols>
    <col min="1" max="1" width="57.6640625" customWidth="1"/>
    <col min="2" max="2" width="27" customWidth="1"/>
    <col min="3" max="3" width="29" customWidth="1"/>
    <col min="4" max="4" width="34.6640625" customWidth="1"/>
  </cols>
  <sheetData>
    <row r="1" spans="1:6" ht="15" customHeight="1" x14ac:dyDescent="0.2">
      <c r="A1" s="7" t="s">
        <v>18</v>
      </c>
    </row>
    <row r="2" spans="1:6" ht="15" customHeight="1" x14ac:dyDescent="0.2">
      <c r="A2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</row>
    <row r="3" spans="1:6" ht="15" customHeight="1" x14ac:dyDescent="0.2">
      <c r="A3" t="str">
        <f t="shared" ref="A3:A14" si="0">CONCATENATE(C3,F3,E3)</f>
        <v>Revenueamount&gt;1Dr</v>
      </c>
      <c r="B3">
        <v>1</v>
      </c>
      <c r="C3" t="s">
        <v>25</v>
      </c>
      <c r="D3" t="s">
        <v>26</v>
      </c>
      <c r="E3" t="s">
        <v>27</v>
      </c>
      <c r="F3" t="s">
        <v>28</v>
      </c>
    </row>
    <row r="4" spans="1:6" ht="15" customHeight="1" x14ac:dyDescent="0.2">
      <c r="A4" t="str">
        <f t="shared" si="0"/>
        <v>Revenueamount&gt;1Cr</v>
      </c>
      <c r="B4">
        <v>2</v>
      </c>
      <c r="C4" s="8" t="s">
        <v>25</v>
      </c>
      <c r="D4" s="8" t="s">
        <v>26</v>
      </c>
      <c r="E4" s="8" t="s">
        <v>29</v>
      </c>
      <c r="F4" t="s">
        <v>28</v>
      </c>
    </row>
    <row r="5" spans="1:6" ht="15" customHeight="1" x14ac:dyDescent="0.2">
      <c r="A5" t="str">
        <f t="shared" si="0"/>
        <v>Revenueamount&lt;1Dr</v>
      </c>
      <c r="B5">
        <v>3</v>
      </c>
      <c r="C5" s="8" t="s">
        <v>25</v>
      </c>
      <c r="D5" s="8" t="s">
        <v>30</v>
      </c>
      <c r="E5" s="8" t="s">
        <v>27</v>
      </c>
      <c r="F5" t="s">
        <v>31</v>
      </c>
    </row>
    <row r="6" spans="1:6" ht="15" customHeight="1" x14ac:dyDescent="0.2">
      <c r="A6" t="str">
        <f t="shared" si="0"/>
        <v>Revenueamount&lt;1Cr</v>
      </c>
      <c r="B6">
        <v>4</v>
      </c>
      <c r="C6" t="s">
        <v>25</v>
      </c>
      <c r="D6" t="s">
        <v>30</v>
      </c>
      <c r="E6" t="s">
        <v>29</v>
      </c>
      <c r="F6" t="s">
        <v>31</v>
      </c>
    </row>
    <row r="7" spans="1:6" ht="15" customHeight="1" x14ac:dyDescent="0.2">
      <c r="A7" t="str">
        <f t="shared" si="0"/>
        <v>Deferred Revenueamount&gt;1Dr</v>
      </c>
      <c r="B7">
        <v>5</v>
      </c>
      <c r="C7" t="s">
        <v>32</v>
      </c>
      <c r="D7" t="s">
        <v>26</v>
      </c>
      <c r="E7" t="s">
        <v>27</v>
      </c>
      <c r="F7" t="s">
        <v>28</v>
      </c>
    </row>
    <row r="8" spans="1:6" ht="15" customHeight="1" x14ac:dyDescent="0.2">
      <c r="A8" t="str">
        <f t="shared" si="0"/>
        <v>Deferred Revenueamount&gt;1Cr</v>
      </c>
      <c r="B8">
        <v>6</v>
      </c>
      <c r="C8" t="s">
        <v>32</v>
      </c>
      <c r="D8" t="s">
        <v>26</v>
      </c>
      <c r="E8" t="s">
        <v>29</v>
      </c>
      <c r="F8" t="s">
        <v>28</v>
      </c>
    </row>
    <row r="9" spans="1:6" ht="15" customHeight="1" x14ac:dyDescent="0.2">
      <c r="A9" t="str">
        <f t="shared" si="0"/>
        <v>Deferred Revenueamount&lt;1Dr</v>
      </c>
      <c r="B9">
        <v>7</v>
      </c>
      <c r="C9" t="s">
        <v>32</v>
      </c>
      <c r="D9" t="s">
        <v>30</v>
      </c>
      <c r="E9" t="s">
        <v>27</v>
      </c>
      <c r="F9" t="s">
        <v>31</v>
      </c>
    </row>
    <row r="10" spans="1:6" ht="15" customHeight="1" x14ac:dyDescent="0.2">
      <c r="A10" t="str">
        <f t="shared" si="0"/>
        <v>Deferred Revenueamount&lt;1Cr</v>
      </c>
      <c r="B10">
        <v>8</v>
      </c>
      <c r="C10" t="s">
        <v>32</v>
      </c>
      <c r="D10" t="s">
        <v>30</v>
      </c>
      <c r="E10" t="s">
        <v>29</v>
      </c>
      <c r="F10" t="s">
        <v>31</v>
      </c>
    </row>
    <row r="11" spans="1:6" ht="15" customHeight="1" x14ac:dyDescent="0.2">
      <c r="A11" t="str">
        <f t="shared" si="0"/>
        <v>A/Ramount&gt;1Dr</v>
      </c>
      <c r="B11">
        <v>9</v>
      </c>
      <c r="C11" t="s">
        <v>33</v>
      </c>
      <c r="D11" t="s">
        <v>26</v>
      </c>
      <c r="E11" t="s">
        <v>27</v>
      </c>
      <c r="F11" t="s">
        <v>28</v>
      </c>
    </row>
    <row r="12" spans="1:6" ht="15" customHeight="1" x14ac:dyDescent="0.2">
      <c r="A12" t="str">
        <f t="shared" si="0"/>
        <v>A/Ramount&gt;1Cr</v>
      </c>
      <c r="B12">
        <v>10</v>
      </c>
      <c r="C12" t="s">
        <v>33</v>
      </c>
      <c r="D12" t="s">
        <v>26</v>
      </c>
      <c r="E12" t="s">
        <v>29</v>
      </c>
      <c r="F12" t="s">
        <v>28</v>
      </c>
    </row>
    <row r="13" spans="1:6" ht="15" customHeight="1" x14ac:dyDescent="0.2">
      <c r="A13" t="str">
        <f t="shared" si="0"/>
        <v>A/Ramount&lt;1Dr</v>
      </c>
      <c r="B13">
        <v>11</v>
      </c>
      <c r="C13" t="s">
        <v>33</v>
      </c>
      <c r="D13" t="s">
        <v>30</v>
      </c>
      <c r="E13" t="s">
        <v>27</v>
      </c>
      <c r="F13" t="s">
        <v>31</v>
      </c>
    </row>
    <row r="14" spans="1:6" ht="15" customHeight="1" x14ac:dyDescent="0.2">
      <c r="A14" t="str">
        <f t="shared" si="0"/>
        <v>A/Ramount&lt;1Cr</v>
      </c>
      <c r="B14">
        <v>12</v>
      </c>
      <c r="C14" t="s">
        <v>33</v>
      </c>
      <c r="D14" t="s">
        <v>30</v>
      </c>
      <c r="E14" t="s">
        <v>29</v>
      </c>
      <c r="F14" t="s">
        <v>31</v>
      </c>
    </row>
    <row r="15" spans="1:6" ht="15" customHeight="1" x14ac:dyDescent="0.2">
      <c r="A15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baseColWidth="10" defaultColWidth="8.6640625" defaultRowHeight="15" customHeight="1" x14ac:dyDescent="0.2"/>
  <cols>
    <col min="9" max="9" width="8.83203125" customWidth="1"/>
  </cols>
  <sheetData>
    <row r="1" spans="2:15" ht="15" customHeight="1" x14ac:dyDescent="0.2">
      <c r="B1">
        <v>1</v>
      </c>
      <c r="D1" t="s">
        <v>27</v>
      </c>
      <c r="E1" t="s">
        <v>29</v>
      </c>
      <c r="G1" s="7" t="s">
        <v>34</v>
      </c>
      <c r="H1" s="7" t="s">
        <v>35</v>
      </c>
      <c r="I1" s="7"/>
    </row>
    <row r="2" spans="2:15" ht="15" customHeight="1" x14ac:dyDescent="0.2">
      <c r="C2" t="s">
        <v>36</v>
      </c>
      <c r="D2">
        <v>100</v>
      </c>
      <c r="G2" t="s">
        <v>37</v>
      </c>
      <c r="H2" t="s">
        <v>37</v>
      </c>
    </row>
    <row r="3" spans="2:15" ht="15" customHeight="1" x14ac:dyDescent="0.2">
      <c r="C3" t="s">
        <v>38</v>
      </c>
      <c r="E3">
        <v>-100</v>
      </c>
      <c r="G3" t="s">
        <v>25</v>
      </c>
      <c r="H3" t="s">
        <v>37</v>
      </c>
    </row>
    <row r="5" spans="2:15" ht="15" customHeight="1" x14ac:dyDescent="0.2">
      <c r="B5">
        <v>2</v>
      </c>
      <c r="C5" t="str">
        <f>C2</f>
        <v>Def</v>
      </c>
      <c r="D5">
        <v>100</v>
      </c>
      <c r="G5" t="s">
        <v>37</v>
      </c>
      <c r="H5" t="s">
        <v>37</v>
      </c>
    </row>
    <row r="6" spans="2:15" ht="15" customHeight="1" x14ac:dyDescent="0.2">
      <c r="C6" t="s">
        <v>38</v>
      </c>
      <c r="E6">
        <v>-100</v>
      </c>
      <c r="G6" t="s">
        <v>25</v>
      </c>
      <c r="H6" t="s">
        <v>37</v>
      </c>
    </row>
    <row r="8" spans="2:15" ht="15" customHeight="1" x14ac:dyDescent="0.2">
      <c r="B8">
        <v>3</v>
      </c>
      <c r="C8" t="s">
        <v>38</v>
      </c>
      <c r="D8">
        <v>200</v>
      </c>
      <c r="G8" t="s">
        <v>25</v>
      </c>
      <c r="H8" t="s">
        <v>39</v>
      </c>
    </row>
    <row r="9" spans="2:15" ht="15" customHeight="1" x14ac:dyDescent="0.2">
      <c r="C9" t="s">
        <v>36</v>
      </c>
      <c r="E9">
        <v>-200</v>
      </c>
      <c r="G9" t="s">
        <v>37</v>
      </c>
      <c r="H9" t="s">
        <v>39</v>
      </c>
    </row>
    <row r="10" spans="2:15" ht="15" customHeight="1" x14ac:dyDescent="0.2"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 spans="2:15" ht="15" customHeight="1" x14ac:dyDescent="0.2">
      <c r="B11">
        <v>3</v>
      </c>
      <c r="C11" t="s">
        <v>36</v>
      </c>
      <c r="D11">
        <v>200</v>
      </c>
      <c r="G11" t="s">
        <v>46</v>
      </c>
      <c r="H11" t="s">
        <v>39</v>
      </c>
      <c r="M11">
        <v>100</v>
      </c>
      <c r="O11">
        <v>100</v>
      </c>
    </row>
    <row r="12" spans="2:15" ht="15" customHeight="1" x14ac:dyDescent="0.2">
      <c r="C12" t="s">
        <v>38</v>
      </c>
      <c r="E12">
        <v>-200</v>
      </c>
      <c r="G12" t="str">
        <f>G8</f>
        <v>Revenue</v>
      </c>
      <c r="H12" t="s">
        <v>39</v>
      </c>
      <c r="J12">
        <f>O11</f>
        <v>100</v>
      </c>
      <c r="M12">
        <v>100</v>
      </c>
      <c r="O12">
        <f>J12+M12</f>
        <v>200</v>
      </c>
    </row>
    <row r="13" spans="2:15" ht="15" customHeight="1" x14ac:dyDescent="0.2">
      <c r="J13">
        <f>O12</f>
        <v>200</v>
      </c>
      <c r="L13">
        <v>1200</v>
      </c>
      <c r="M13">
        <v>100</v>
      </c>
      <c r="N13">
        <f>L13-J13-M13</f>
        <v>900</v>
      </c>
      <c r="O13">
        <v>0</v>
      </c>
    </row>
    <row r="14" spans="2:15" ht="15" customHeight="1" x14ac:dyDescent="0.2">
      <c r="B14">
        <v>3</v>
      </c>
      <c r="C14" t="s">
        <v>47</v>
      </c>
      <c r="D14">
        <v>1200</v>
      </c>
      <c r="G14" t="s">
        <v>48</v>
      </c>
      <c r="H14" t="s">
        <v>39</v>
      </c>
      <c r="K14">
        <f t="shared" ref="K14:K22" si="0">N13</f>
        <v>900</v>
      </c>
      <c r="M14">
        <v>100</v>
      </c>
      <c r="N14">
        <f t="shared" ref="N14:N22" si="1">K14-M14</f>
        <v>800</v>
      </c>
    </row>
    <row r="15" spans="2:15" ht="15" customHeight="1" x14ac:dyDescent="0.2">
      <c r="C15" t="s">
        <v>49</v>
      </c>
      <c r="E15">
        <v>-1200</v>
      </c>
      <c r="G15" t="str">
        <f>G11</f>
        <v>Def Revenue</v>
      </c>
      <c r="H15" t="s">
        <v>39</v>
      </c>
      <c r="K15">
        <f t="shared" si="0"/>
        <v>800</v>
      </c>
      <c r="M15">
        <v>100</v>
      </c>
      <c r="N15">
        <f t="shared" si="1"/>
        <v>700</v>
      </c>
    </row>
    <row r="16" spans="2:15" ht="15" customHeight="1" x14ac:dyDescent="0.2">
      <c r="K16">
        <f t="shared" si="0"/>
        <v>700</v>
      </c>
      <c r="M16">
        <v>100</v>
      </c>
      <c r="N16">
        <f t="shared" si="1"/>
        <v>600</v>
      </c>
    </row>
    <row r="17" spans="2:14" ht="15" customHeight="1" x14ac:dyDescent="0.2">
      <c r="B17">
        <v>3</v>
      </c>
      <c r="C17" t="s">
        <v>36</v>
      </c>
      <c r="D17">
        <v>100</v>
      </c>
      <c r="G17" t="s">
        <v>46</v>
      </c>
      <c r="H17" t="s">
        <v>39</v>
      </c>
      <c r="K17">
        <f t="shared" si="0"/>
        <v>600</v>
      </c>
      <c r="M17">
        <v>100</v>
      </c>
      <c r="N17">
        <f t="shared" si="1"/>
        <v>500</v>
      </c>
    </row>
    <row r="18" spans="2:14" ht="15" customHeight="1" x14ac:dyDescent="0.2">
      <c r="C18" t="s">
        <v>38</v>
      </c>
      <c r="E18">
        <v>-100</v>
      </c>
      <c r="G18" t="str">
        <f>G12</f>
        <v>Revenue</v>
      </c>
      <c r="H18" t="s">
        <v>39</v>
      </c>
      <c r="K18">
        <f t="shared" si="0"/>
        <v>500</v>
      </c>
      <c r="M18">
        <v>100</v>
      </c>
      <c r="N18">
        <f t="shared" si="1"/>
        <v>400</v>
      </c>
    </row>
    <row r="19" spans="2:14" ht="15" customHeight="1" x14ac:dyDescent="0.2">
      <c r="K19">
        <f t="shared" si="0"/>
        <v>400</v>
      </c>
      <c r="M19">
        <v>100</v>
      </c>
      <c r="N19">
        <f t="shared" si="1"/>
        <v>300</v>
      </c>
    </row>
    <row r="20" spans="2:14" ht="15" customHeight="1" x14ac:dyDescent="0.2">
      <c r="K20">
        <f t="shared" si="0"/>
        <v>300</v>
      </c>
      <c r="M20">
        <v>100</v>
      </c>
      <c r="N20">
        <f t="shared" si="1"/>
        <v>200</v>
      </c>
    </row>
    <row r="21" spans="2:14" ht="15" customHeight="1" x14ac:dyDescent="0.2">
      <c r="C21" t="s">
        <v>37</v>
      </c>
      <c r="D21" t="s">
        <v>25</v>
      </c>
      <c r="E21" t="s">
        <v>48</v>
      </c>
      <c r="F21" t="s">
        <v>46</v>
      </c>
      <c r="K21">
        <f t="shared" si="0"/>
        <v>200</v>
      </c>
      <c r="M21">
        <v>100</v>
      </c>
      <c r="N21">
        <f t="shared" si="1"/>
        <v>100</v>
      </c>
    </row>
    <row r="22" spans="2:14" ht="15" customHeight="1" x14ac:dyDescent="0.2">
      <c r="B22">
        <v>1</v>
      </c>
      <c r="C22">
        <f>D2</f>
        <v>100</v>
      </c>
      <c r="D22">
        <f>E3</f>
        <v>-100</v>
      </c>
      <c r="E22">
        <v>0</v>
      </c>
      <c r="F22">
        <v>0</v>
      </c>
      <c r="K22">
        <f t="shared" si="0"/>
        <v>100</v>
      </c>
      <c r="M22">
        <v>100</v>
      </c>
      <c r="N22">
        <f t="shared" si="1"/>
        <v>0</v>
      </c>
    </row>
    <row r="23" spans="2:14" ht="15" customHeight="1" x14ac:dyDescent="0.2">
      <c r="B23">
        <v>2</v>
      </c>
      <c r="C23">
        <f>D5</f>
        <v>100</v>
      </c>
      <c r="D23">
        <f>E6</f>
        <v>-100</v>
      </c>
      <c r="E23">
        <v>0</v>
      </c>
      <c r="F23">
        <v>0</v>
      </c>
    </row>
    <row r="24" spans="2:14" ht="15" customHeight="1" x14ac:dyDescent="0.2">
      <c r="B24">
        <v>3</v>
      </c>
      <c r="C24">
        <f>E9</f>
        <v>-200</v>
      </c>
      <c r="D24">
        <f>D8+E12+E18</f>
        <v>-100</v>
      </c>
      <c r="E24">
        <f>D14</f>
        <v>1200</v>
      </c>
      <c r="F24">
        <f>D11+E15+D17</f>
        <v>-900</v>
      </c>
    </row>
    <row r="25" spans="2:14" ht="15" customHeight="1" x14ac:dyDescent="0.2">
      <c r="C25">
        <f>SUM(C22:C24)</f>
        <v>0</v>
      </c>
      <c r="D25">
        <f>SUM(D22:D24)</f>
        <v>-300</v>
      </c>
      <c r="E25">
        <f>SUM(E22:E24)</f>
        <v>1200</v>
      </c>
      <c r="F25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Ali Jaffar</cp:lastModifiedBy>
  <cp:revision>27</cp:revision>
  <dcterms:created xsi:type="dcterms:W3CDTF">2024-02-24T05:30:44Z</dcterms:created>
  <dcterms:modified xsi:type="dcterms:W3CDTF">2026-09-14T05:35:49Z</dcterms:modified>
  <dc:language>en-US</dc:language>
</cp:coreProperties>
</file>