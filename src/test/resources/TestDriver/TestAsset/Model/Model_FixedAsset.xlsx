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C:\Users\arahmed\OneDrive - SS&amp;C Technologies, Inc\Desktop\Pers\fyntrac-data-main\fyntrac-data-main\src\test\resources\TestDriver\TestAsset\Model\"/>
    </mc:Choice>
  </mc:AlternateContent>
  <xr:revisionPtr revIDLastSave="0" documentId="13_ncr:1_{A7F943BC-69EA-4A47-87A1-F289935BD0A8}" xr6:coauthVersionLast="47" xr6:coauthVersionMax="47" xr10:uidLastSave="{00000000-0000-0000-0000-000000000000}"/>
  <bookViews>
    <workbookView xWindow="-120" yWindow="-120" windowWidth="29040" windowHeight="15720" activeTab="3" xr2:uid="{00000000-000D-0000-FFFF-FFFF00000000}"/>
  </bookViews>
  <sheets>
    <sheet name="Instructions" sheetId="4" r:id="rId1"/>
    <sheet name="EOD" sheetId="5" r:id="rId2"/>
    <sheet name="Depreciation Schedule" sheetId="1" r:id="rId3"/>
    <sheet name="o_Transaction"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 l="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E1" i="6" l="1"/>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9"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BA37" i="1"/>
  <c r="BB29" i="1"/>
  <c r="BC29" i="1" s="1"/>
  <c r="AY23" i="1"/>
  <c r="AZ23" i="1" s="1"/>
  <c r="C55" i="1"/>
  <c r="AY55" i="1" s="1"/>
  <c r="AZ55" i="1" s="1"/>
  <c r="B55" i="1"/>
  <c r="BA55" i="1" s="1"/>
  <c r="C54" i="1"/>
  <c r="AY54" i="1" s="1"/>
  <c r="AZ54" i="1" s="1"/>
  <c r="B54" i="1"/>
  <c r="BA54" i="1" s="1"/>
  <c r="C53" i="1"/>
  <c r="AY53" i="1" s="1"/>
  <c r="AZ53" i="1" s="1"/>
  <c r="B53" i="1"/>
  <c r="BA53" i="1" s="1"/>
  <c r="C52" i="1"/>
  <c r="AY52" i="1" s="1"/>
  <c r="AZ52" i="1" s="1"/>
  <c r="B52" i="1"/>
  <c r="BA52" i="1" s="1"/>
  <c r="C51" i="1"/>
  <c r="AY51" i="1" s="1"/>
  <c r="AZ51" i="1" s="1"/>
  <c r="B51" i="1"/>
  <c r="BA51" i="1" s="1"/>
  <c r="C50" i="1"/>
  <c r="AY50" i="1" s="1"/>
  <c r="AZ50" i="1" s="1"/>
  <c r="B50" i="1"/>
  <c r="BA50" i="1" s="1"/>
  <c r="C49" i="1"/>
  <c r="AY49" i="1" s="1"/>
  <c r="AZ49" i="1" s="1"/>
  <c r="B49" i="1"/>
  <c r="BA49" i="1" s="1"/>
  <c r="C48" i="1"/>
  <c r="AY48" i="1" s="1"/>
  <c r="AZ48" i="1" s="1"/>
  <c r="B48" i="1"/>
  <c r="BA48" i="1" s="1"/>
  <c r="C47" i="1"/>
  <c r="AY47" i="1" s="1"/>
  <c r="AZ47" i="1" s="1"/>
  <c r="B47" i="1"/>
  <c r="BA47" i="1" s="1"/>
  <c r="C46" i="1"/>
  <c r="AY46" i="1" s="1"/>
  <c r="AZ46" i="1" s="1"/>
  <c r="B46" i="1"/>
  <c r="BA46" i="1" s="1"/>
  <c r="C45" i="1"/>
  <c r="AY45" i="1" s="1"/>
  <c r="AZ45" i="1" s="1"/>
  <c r="B45" i="1"/>
  <c r="BA45" i="1" s="1"/>
  <c r="C44" i="1"/>
  <c r="AY44" i="1" s="1"/>
  <c r="AZ44" i="1" s="1"/>
  <c r="B44" i="1"/>
  <c r="BA44" i="1" s="1"/>
  <c r="C43" i="1"/>
  <c r="AY43" i="1" s="1"/>
  <c r="AZ43" i="1" s="1"/>
  <c r="B43" i="1"/>
  <c r="BA43" i="1" s="1"/>
  <c r="C42" i="1"/>
  <c r="AY42" i="1" s="1"/>
  <c r="AZ42" i="1" s="1"/>
  <c r="B42" i="1"/>
  <c r="BA42" i="1" s="1"/>
  <c r="C41" i="1"/>
  <c r="AY41" i="1" s="1"/>
  <c r="AZ41" i="1" s="1"/>
  <c r="B41" i="1"/>
  <c r="BA41" i="1" s="1"/>
  <c r="C40" i="1"/>
  <c r="AY40" i="1" s="1"/>
  <c r="AZ40" i="1" s="1"/>
  <c r="B40" i="1"/>
  <c r="BA40" i="1" s="1"/>
  <c r="C39" i="1"/>
  <c r="AY39" i="1" s="1"/>
  <c r="AZ39" i="1" s="1"/>
  <c r="B39" i="1"/>
  <c r="BA39" i="1" s="1"/>
  <c r="C38" i="1"/>
  <c r="AY38" i="1" s="1"/>
  <c r="AZ38" i="1" s="1"/>
  <c r="B38" i="1"/>
  <c r="BA38" i="1" s="1"/>
  <c r="C37" i="1"/>
  <c r="AY37" i="1" s="1"/>
  <c r="AZ37" i="1" s="1"/>
  <c r="B37" i="1"/>
  <c r="C36" i="1"/>
  <c r="AY36" i="1" s="1"/>
  <c r="AZ36" i="1" s="1"/>
  <c r="B36" i="1"/>
  <c r="BA36" i="1" s="1"/>
  <c r="C35" i="1"/>
  <c r="AY35" i="1" s="1"/>
  <c r="AZ35" i="1" s="1"/>
  <c r="B35" i="1"/>
  <c r="BA35" i="1" s="1"/>
  <c r="C34" i="1"/>
  <c r="AY34" i="1" s="1"/>
  <c r="AZ34" i="1" s="1"/>
  <c r="B34" i="1"/>
  <c r="BA34" i="1" s="1"/>
  <c r="C33" i="1"/>
  <c r="AY33" i="1" s="1"/>
  <c r="AZ33" i="1" s="1"/>
  <c r="B33" i="1"/>
  <c r="BA33" i="1" s="1"/>
  <c r="C32" i="1"/>
  <c r="AY32" i="1" s="1"/>
  <c r="AZ32" i="1" s="1"/>
  <c r="B32" i="1"/>
  <c r="BA32" i="1" s="1"/>
  <c r="C31" i="1"/>
  <c r="AY31" i="1" s="1"/>
  <c r="AZ31" i="1" s="1"/>
  <c r="B31" i="1"/>
  <c r="BA31" i="1" s="1"/>
  <c r="C30" i="1"/>
  <c r="AY30" i="1" s="1"/>
  <c r="AZ30" i="1" s="1"/>
  <c r="B30" i="1"/>
  <c r="BA30" i="1" s="1"/>
  <c r="C29" i="1"/>
  <c r="AY29" i="1" s="1"/>
  <c r="AZ29" i="1" s="1"/>
  <c r="B29" i="1"/>
  <c r="BA29" i="1" s="1"/>
  <c r="C28" i="1"/>
  <c r="AY28" i="1" s="1"/>
  <c r="AZ28" i="1" s="1"/>
  <c r="B28" i="1"/>
  <c r="BA28" i="1" s="1"/>
  <c r="C27" i="1"/>
  <c r="AY27" i="1" s="1"/>
  <c r="AZ27" i="1" s="1"/>
  <c r="B27" i="1"/>
  <c r="BA27" i="1" s="1"/>
  <c r="C26" i="1"/>
  <c r="AY26" i="1" s="1"/>
  <c r="AZ26" i="1" s="1"/>
  <c r="B26" i="1"/>
  <c r="BA26" i="1" s="1"/>
  <c r="C25" i="1"/>
  <c r="AY25" i="1" s="1"/>
  <c r="AZ25" i="1" s="1"/>
  <c r="B25" i="1"/>
  <c r="BA25" i="1" s="1"/>
  <c r="C24" i="1"/>
  <c r="AY24" i="1" s="1"/>
  <c r="AZ24" i="1" s="1"/>
  <c r="B24" i="1"/>
  <c r="BA24" i="1" s="1"/>
  <c r="C23" i="1"/>
  <c r="B23" i="1"/>
  <c r="BA23" i="1" s="1"/>
  <c r="C22" i="1"/>
  <c r="AY22" i="1" s="1"/>
  <c r="AZ22" i="1" s="1"/>
  <c r="B22" i="1"/>
  <c r="BA22" i="1" s="1"/>
  <c r="C21" i="1"/>
  <c r="AY21" i="1" s="1"/>
  <c r="AZ21" i="1" s="1"/>
  <c r="B21" i="1"/>
  <c r="BA21" i="1" s="1"/>
  <c r="C20" i="1"/>
  <c r="AY20" i="1" s="1"/>
  <c r="AZ20" i="1" s="1"/>
  <c r="B11" i="6" s="1"/>
  <c r="B20" i="1"/>
  <c r="BA20" i="1" s="1"/>
  <c r="C11" i="6" s="1"/>
  <c r="C19" i="1"/>
  <c r="AY19" i="1" s="1"/>
  <c r="AZ19" i="1" s="1"/>
  <c r="B10" i="6" s="1"/>
  <c r="B19" i="1"/>
  <c r="BA19" i="1" s="1"/>
  <c r="C10" i="6" s="1"/>
  <c r="C18" i="1"/>
  <c r="AY18" i="1" s="1"/>
  <c r="AZ18" i="1" s="1"/>
  <c r="B9" i="6" s="1"/>
  <c r="B18" i="1"/>
  <c r="BA18" i="1" s="1"/>
  <c r="C9" i="6" s="1"/>
  <c r="C17" i="1"/>
  <c r="AY17" i="1" s="1"/>
  <c r="AZ17" i="1" s="1"/>
  <c r="B8" i="6" s="1"/>
  <c r="B17" i="1"/>
  <c r="BA17" i="1" s="1"/>
  <c r="C8" i="6" s="1"/>
  <c r="C16" i="1"/>
  <c r="AY16" i="1" s="1"/>
  <c r="AZ16" i="1" s="1"/>
  <c r="B7" i="6" s="1"/>
  <c r="B16" i="1"/>
  <c r="BA16" i="1" s="1"/>
  <c r="C7" i="6" s="1"/>
  <c r="C15" i="1"/>
  <c r="AY15" i="1" s="1"/>
  <c r="AZ15" i="1" s="1"/>
  <c r="B6" i="6" s="1"/>
  <c r="B15" i="1"/>
  <c r="BA15" i="1" s="1"/>
  <c r="C6" i="6" s="1"/>
  <c r="C14" i="1"/>
  <c r="AY14" i="1" s="1"/>
  <c r="AZ14" i="1" s="1"/>
  <c r="B5" i="6" s="1"/>
  <c r="B14" i="1"/>
  <c r="BA14" i="1" s="1"/>
  <c r="C5" i="6" s="1"/>
  <c r="C13" i="1"/>
  <c r="AY13" i="1" s="1"/>
  <c r="AZ13" i="1" s="1"/>
  <c r="B4" i="6" s="1"/>
  <c r="B13" i="1"/>
  <c r="BA13" i="1" s="1"/>
  <c r="C4" i="6" s="1"/>
  <c r="C12" i="1"/>
  <c r="AY12" i="1" s="1"/>
  <c r="AZ12" i="1" s="1"/>
  <c r="B3" i="6" s="1"/>
  <c r="B12" i="1"/>
  <c r="BA12" i="1" s="1"/>
  <c r="C3" i="6" s="1"/>
  <c r="C11" i="1"/>
  <c r="AY11" i="1" s="1"/>
  <c r="AZ11" i="1" s="1"/>
  <c r="B2" i="6" s="1"/>
  <c r="B11" i="1"/>
  <c r="BA11" i="1" s="1"/>
  <c r="C2" i="6" s="1"/>
  <c r="D55" i="1"/>
  <c r="BB55" i="1" s="1"/>
  <c r="BC55" i="1" s="1"/>
  <c r="D54" i="1"/>
  <c r="BB54" i="1" s="1"/>
  <c r="BC54" i="1" s="1"/>
  <c r="D53" i="1"/>
  <c r="BB53" i="1" s="1"/>
  <c r="BC53" i="1" s="1"/>
  <c r="D52" i="1"/>
  <c r="BB52" i="1" s="1"/>
  <c r="BC52" i="1" s="1"/>
  <c r="D51" i="1"/>
  <c r="BB51" i="1" s="1"/>
  <c r="BC51" i="1" s="1"/>
  <c r="D50" i="1"/>
  <c r="BB50" i="1" s="1"/>
  <c r="BC50" i="1" s="1"/>
  <c r="D49" i="1"/>
  <c r="BB49" i="1" s="1"/>
  <c r="BC49" i="1" s="1"/>
  <c r="D48" i="1"/>
  <c r="BB48" i="1" s="1"/>
  <c r="BC48" i="1" s="1"/>
  <c r="D47" i="1"/>
  <c r="BB47" i="1" s="1"/>
  <c r="BC47" i="1" s="1"/>
  <c r="D46" i="1"/>
  <c r="BB46" i="1" s="1"/>
  <c r="BC46" i="1" s="1"/>
  <c r="D45" i="1"/>
  <c r="BB45" i="1" s="1"/>
  <c r="BC45" i="1" s="1"/>
  <c r="D44" i="1"/>
  <c r="BB44" i="1" s="1"/>
  <c r="BC44" i="1" s="1"/>
  <c r="D43" i="1"/>
  <c r="BB43" i="1" s="1"/>
  <c r="BC43" i="1" s="1"/>
  <c r="D42" i="1"/>
  <c r="BB42" i="1" s="1"/>
  <c r="BC42" i="1" s="1"/>
  <c r="D41" i="1"/>
  <c r="BB41" i="1" s="1"/>
  <c r="BC41" i="1" s="1"/>
  <c r="D40" i="1"/>
  <c r="BB40" i="1" s="1"/>
  <c r="BC40" i="1" s="1"/>
  <c r="D39" i="1"/>
  <c r="BB39" i="1" s="1"/>
  <c r="BC39" i="1" s="1"/>
  <c r="D38" i="1"/>
  <c r="BB38" i="1" s="1"/>
  <c r="BC38" i="1" s="1"/>
  <c r="D37" i="1"/>
  <c r="BB37" i="1" s="1"/>
  <c r="BC37" i="1" s="1"/>
  <c r="D36" i="1"/>
  <c r="BB36" i="1" s="1"/>
  <c r="BC36" i="1" s="1"/>
  <c r="D35" i="1"/>
  <c r="BB35" i="1" s="1"/>
  <c r="BC35" i="1" s="1"/>
  <c r="D34" i="1"/>
  <c r="BB34" i="1" s="1"/>
  <c r="BC34" i="1" s="1"/>
  <c r="D33" i="1"/>
  <c r="BB33" i="1" s="1"/>
  <c r="BC33" i="1" s="1"/>
  <c r="D32" i="1"/>
  <c r="BB32" i="1" s="1"/>
  <c r="BC32" i="1" s="1"/>
  <c r="D31" i="1"/>
  <c r="BB31" i="1" s="1"/>
  <c r="BC31" i="1" s="1"/>
  <c r="D30" i="1"/>
  <c r="BB30" i="1" s="1"/>
  <c r="BC30" i="1" s="1"/>
  <c r="D29" i="1"/>
  <c r="D28" i="1"/>
  <c r="BB28" i="1" s="1"/>
  <c r="BC28" i="1" s="1"/>
  <c r="D27" i="1"/>
  <c r="BB27" i="1" s="1"/>
  <c r="BC27" i="1" s="1"/>
  <c r="D26" i="1"/>
  <c r="BB26" i="1" s="1"/>
  <c r="BC26" i="1" s="1"/>
  <c r="D25" i="1"/>
  <c r="BB25" i="1" s="1"/>
  <c r="BC25" i="1" s="1"/>
  <c r="D24" i="1"/>
  <c r="BB24" i="1" s="1"/>
  <c r="BC24" i="1" s="1"/>
  <c r="D23" i="1"/>
  <c r="BB23" i="1" s="1"/>
  <c r="BC23" i="1" s="1"/>
  <c r="D22" i="1"/>
  <c r="BB22" i="1" s="1"/>
  <c r="BC22" i="1" s="1"/>
  <c r="D21" i="1"/>
  <c r="BB21" i="1" s="1"/>
  <c r="BC21" i="1" s="1"/>
  <c r="D20" i="1"/>
  <c r="BB20" i="1" s="1"/>
  <c r="D19" i="1"/>
  <c r="BB19" i="1" s="1"/>
  <c r="F10" i="6" s="1"/>
  <c r="D18" i="1"/>
  <c r="BB18" i="1" s="1"/>
  <c r="D17" i="1"/>
  <c r="BB17" i="1" s="1"/>
  <c r="D16" i="1"/>
  <c r="BB16" i="1" s="1"/>
  <c r="BC16" i="1" s="1"/>
  <c r="D7" i="6" s="1"/>
  <c r="D15" i="1"/>
  <c r="BB15" i="1" s="1"/>
  <c r="BC15" i="1" s="1"/>
  <c r="D6" i="6" s="1"/>
  <c r="D14" i="1"/>
  <c r="BB14" i="1" s="1"/>
  <c r="F5" i="6" s="1"/>
  <c r="D13" i="1"/>
  <c r="BB13" i="1" s="1"/>
  <c r="F4" i="6" s="1"/>
  <c r="D12" i="1"/>
  <c r="BB12" i="1" s="1"/>
  <c r="BC12" i="1" s="1"/>
  <c r="D3" i="6" s="1"/>
  <c r="D11" i="1"/>
  <c r="BD35" i="1" s="1"/>
  <c r="E26" i="6" s="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H17" i="1"/>
  <c r="G17" i="1"/>
  <c r="H16" i="1"/>
  <c r="G16" i="1"/>
  <c r="H15" i="1"/>
  <c r="G15" i="1"/>
  <c r="H14" i="1"/>
  <c r="G14" i="1"/>
  <c r="H13" i="1"/>
  <c r="G13" i="1"/>
  <c r="H12" i="1"/>
  <c r="G12" i="1"/>
  <c r="H11" i="1"/>
  <c r="G11" i="1"/>
  <c r="F17" i="1"/>
  <c r="F16" i="1"/>
  <c r="F15" i="1"/>
  <c r="F14" i="1"/>
  <c r="F13" i="1"/>
  <c r="F12" i="1"/>
  <c r="F11"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BD47" i="1" l="1"/>
  <c r="E38" i="6" s="1"/>
  <c r="BD50" i="1"/>
  <c r="E41" i="6" s="1"/>
  <c r="BD38" i="1"/>
  <c r="E29" i="6" s="1"/>
  <c r="BC20" i="1"/>
  <c r="D11" i="6" s="1"/>
  <c r="BB11" i="1"/>
  <c r="BD44" i="1"/>
  <c r="E35" i="6" s="1"/>
  <c r="BD43" i="1"/>
  <c r="E34" i="6" s="1"/>
  <c r="BD42" i="1"/>
  <c r="E33" i="6" s="1"/>
  <c r="BD41" i="1"/>
  <c r="E32" i="6" s="1"/>
  <c r="BD32" i="1"/>
  <c r="E23" i="6" s="1"/>
  <c r="BD31" i="1"/>
  <c r="E22" i="6" s="1"/>
  <c r="BD30" i="1"/>
  <c r="E21" i="6" s="1"/>
  <c r="BD29" i="1"/>
  <c r="E20" i="6" s="1"/>
  <c r="BD55" i="1"/>
  <c r="E46" i="6" s="1"/>
  <c r="BD54" i="1"/>
  <c r="E45" i="6" s="1"/>
  <c r="BD53" i="1"/>
  <c r="E44" i="6" s="1"/>
  <c r="F11" i="6"/>
  <c r="BD23" i="1"/>
  <c r="E14" i="6" s="1"/>
  <c r="BD46" i="1"/>
  <c r="E37" i="6" s="1"/>
  <c r="BD40" i="1"/>
  <c r="E31" i="6" s="1"/>
  <c r="BD34" i="1"/>
  <c r="E25" i="6" s="1"/>
  <c r="BD28" i="1"/>
  <c r="E19" i="6" s="1"/>
  <c r="BD22" i="1"/>
  <c r="E13" i="6" s="1"/>
  <c r="F8" i="6"/>
  <c r="BD51" i="1"/>
  <c r="E42" i="6" s="1"/>
  <c r="BD48" i="1"/>
  <c r="E39" i="6" s="1"/>
  <c r="BD33" i="1"/>
  <c r="E24" i="6" s="1"/>
  <c r="BC18" i="1"/>
  <c r="D9" i="6" s="1"/>
  <c r="BD39" i="1"/>
  <c r="E30" i="6" s="1"/>
  <c r="BD36" i="1"/>
  <c r="E27" i="6" s="1"/>
  <c r="BD21" i="1"/>
  <c r="E12" i="6" s="1"/>
  <c r="BD26" i="1"/>
  <c r="E17" i="6" s="1"/>
  <c r="BD49" i="1"/>
  <c r="E40" i="6" s="1"/>
  <c r="BD37" i="1"/>
  <c r="E28" i="6" s="1"/>
  <c r="BD25" i="1"/>
  <c r="E16" i="6" s="1"/>
  <c r="BD45" i="1"/>
  <c r="E36" i="6" s="1"/>
  <c r="BC19" i="1"/>
  <c r="D10" i="6" s="1"/>
  <c r="BD27" i="1"/>
  <c r="E18" i="6" s="1"/>
  <c r="BD24" i="1"/>
  <c r="E15" i="6" s="1"/>
  <c r="BD52" i="1"/>
  <c r="E43" i="6" s="1"/>
  <c r="A7" i="6"/>
  <c r="A8" i="6"/>
  <c r="A9" i="6"/>
  <c r="A10" i="6"/>
  <c r="A11" i="6"/>
  <c r="F6" i="6"/>
  <c r="F7" i="6"/>
  <c r="A2" i="6"/>
  <c r="A3" i="6"/>
  <c r="A4" i="6"/>
  <c r="A5" i="6"/>
  <c r="A6" i="6"/>
  <c r="F3" i="6"/>
  <c r="BC14" i="1"/>
  <c r="D5" i="6" s="1"/>
  <c r="BC17" i="1"/>
  <c r="D8" i="6" s="1"/>
  <c r="BC11" i="1"/>
  <c r="D2" i="6" s="1"/>
  <c r="BC13" i="1"/>
  <c r="D4" i="6" s="1"/>
  <c r="F2" i="6" l="1"/>
  <c r="H5" i="1"/>
  <c r="I20" i="1"/>
  <c r="J20" i="1"/>
  <c r="I19" i="1" l="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14" i="1"/>
  <c r="I15" i="1"/>
  <c r="I16" i="1"/>
  <c r="I17" i="1"/>
  <c r="I18" i="1"/>
  <c r="I11" i="1"/>
  <c r="I12" i="1"/>
  <c r="I13" i="1"/>
  <c r="J11" i="1"/>
  <c r="I71" i="1" l="1"/>
  <c r="M14" i="1"/>
  <c r="BD14" i="1" s="1"/>
  <c r="E5" i="6" s="1"/>
  <c r="J50" i="1"/>
  <c r="K12" i="1"/>
  <c r="L12" i="1"/>
  <c r="M12" i="1" s="1"/>
  <c r="BD12" i="1" s="1"/>
  <c r="E3" i="6" s="1"/>
  <c r="N12" i="1"/>
  <c r="O12" i="1" s="1"/>
  <c r="P12" i="1"/>
  <c r="Q12" i="1"/>
  <c r="R12" i="1"/>
  <c r="S12" i="1"/>
  <c r="T12" i="1"/>
  <c r="U12" i="1" s="1"/>
  <c r="V12" i="1"/>
  <c r="W12" i="1"/>
  <c r="X12" i="1"/>
  <c r="Y12" i="1"/>
  <c r="Z12" i="1"/>
  <c r="AA12" i="1"/>
  <c r="AB12" i="1"/>
  <c r="AC12" i="1"/>
  <c r="AD12" i="1"/>
  <c r="AE12" i="1"/>
  <c r="AF12" i="1"/>
  <c r="AG12" i="1"/>
  <c r="AH12" i="1"/>
  <c r="AI12" i="1" s="1"/>
  <c r="AJ12" i="1"/>
  <c r="AK12" i="1"/>
  <c r="AL12" i="1"/>
  <c r="AM12" i="1"/>
  <c r="AN12" i="1"/>
  <c r="AO12" i="1"/>
  <c r="AP12" i="1"/>
  <c r="AQ12" i="1"/>
  <c r="AR12" i="1"/>
  <c r="AS12" i="1"/>
  <c r="AT12" i="1"/>
  <c r="AU12" i="1"/>
  <c r="AV12" i="1"/>
  <c r="AW12" i="1"/>
  <c r="K13" i="1"/>
  <c r="L13" i="1"/>
  <c r="M13" i="1"/>
  <c r="BD13" i="1" s="1"/>
  <c r="E4" i="6" s="1"/>
  <c r="N13" i="1"/>
  <c r="O13" i="1"/>
  <c r="P13" i="1"/>
  <c r="Q13" i="1"/>
  <c r="R13" i="1"/>
  <c r="S13" i="1"/>
  <c r="T13" i="1"/>
  <c r="U13" i="1"/>
  <c r="V13" i="1"/>
  <c r="W13" i="1"/>
  <c r="X13" i="1"/>
  <c r="Y13" i="1"/>
  <c r="Z13" i="1"/>
  <c r="AA13" i="1" s="1"/>
  <c r="AB13" i="1"/>
  <c r="AC13" i="1"/>
  <c r="AD13" i="1"/>
  <c r="AE13" i="1"/>
  <c r="AF13" i="1"/>
  <c r="AG13" i="1"/>
  <c r="AH13" i="1"/>
  <c r="AI13" i="1"/>
  <c r="AJ13" i="1"/>
  <c r="AK13" i="1"/>
  <c r="AL13" i="1"/>
  <c r="AM13" i="1"/>
  <c r="AN13" i="1"/>
  <c r="AO13" i="1"/>
  <c r="AP13" i="1"/>
  <c r="AQ13" i="1"/>
  <c r="AR13" i="1"/>
  <c r="AS13" i="1"/>
  <c r="AT13" i="1"/>
  <c r="AU13" i="1"/>
  <c r="AV13" i="1"/>
  <c r="AW13" i="1"/>
  <c r="K14" i="1"/>
  <c r="L14" i="1"/>
  <c r="N14" i="1"/>
  <c r="O14" i="1"/>
  <c r="P14" i="1"/>
  <c r="Q14" i="1"/>
  <c r="R14" i="1"/>
  <c r="S14" i="1"/>
  <c r="T14" i="1"/>
  <c r="U14" i="1"/>
  <c r="V14" i="1"/>
  <c r="W14" i="1" s="1"/>
  <c r="X14" i="1"/>
  <c r="Y14" i="1"/>
  <c r="Z14" i="1"/>
  <c r="AA14" i="1"/>
  <c r="AB14" i="1"/>
  <c r="AC14" i="1"/>
  <c r="AD14" i="1"/>
  <c r="AE14" i="1"/>
  <c r="AF14" i="1"/>
  <c r="AG14" i="1"/>
  <c r="AH14" i="1"/>
  <c r="AI14" i="1"/>
  <c r="AJ14" i="1"/>
  <c r="AK14" i="1"/>
  <c r="AL14" i="1"/>
  <c r="AM14" i="1"/>
  <c r="AN14" i="1"/>
  <c r="AO14" i="1"/>
  <c r="AP14" i="1"/>
  <c r="AQ14" i="1"/>
  <c r="AR14" i="1"/>
  <c r="AS14" i="1"/>
  <c r="AT14" i="1"/>
  <c r="AU14" i="1"/>
  <c r="AV14" i="1"/>
  <c r="AW14" i="1"/>
  <c r="K15" i="1"/>
  <c r="L15" i="1"/>
  <c r="M15" i="1"/>
  <c r="BD15" i="1" s="1"/>
  <c r="E6" i="6" s="1"/>
  <c r="N15" i="1"/>
  <c r="O15" i="1"/>
  <c r="P15" i="1"/>
  <c r="Q15" i="1"/>
  <c r="R15" i="1"/>
  <c r="S15" i="1"/>
  <c r="T15" i="1"/>
  <c r="U15" i="1"/>
  <c r="V15" i="1"/>
  <c r="W15" i="1"/>
  <c r="X15" i="1"/>
  <c r="Y15" i="1"/>
  <c r="Z15" i="1"/>
  <c r="AA15" i="1"/>
  <c r="AB15" i="1"/>
  <c r="AC15" i="1"/>
  <c r="AD15" i="1"/>
  <c r="AE15" i="1"/>
  <c r="AF15" i="1"/>
  <c r="AG15" i="1"/>
  <c r="AH15" i="1"/>
  <c r="AI15" i="1"/>
  <c r="AJ15" i="1"/>
  <c r="AK15" i="1"/>
  <c r="AL15" i="1"/>
  <c r="AM15" i="1"/>
  <c r="AN15" i="1"/>
  <c r="AO15" i="1"/>
  <c r="AP15" i="1"/>
  <c r="AQ15" i="1"/>
  <c r="AR15" i="1"/>
  <c r="AS15" i="1"/>
  <c r="AT15" i="1"/>
  <c r="AU15" i="1"/>
  <c r="AV15" i="1"/>
  <c r="AW15" i="1"/>
  <c r="L16" i="1"/>
  <c r="M16" i="1"/>
  <c r="BD16" i="1" s="1"/>
  <c r="E7" i="6" s="1"/>
  <c r="N16" i="1"/>
  <c r="O16" i="1"/>
  <c r="P16" i="1"/>
  <c r="Q16" i="1"/>
  <c r="R16" i="1"/>
  <c r="S16" i="1"/>
  <c r="T16" i="1"/>
  <c r="U16" i="1"/>
  <c r="V16" i="1"/>
  <c r="W16" i="1"/>
  <c r="X16" i="1"/>
  <c r="Y16" i="1"/>
  <c r="Z16" i="1"/>
  <c r="AA16" i="1"/>
  <c r="AB16" i="1"/>
  <c r="AC16" i="1"/>
  <c r="AD16" i="1"/>
  <c r="AE16" i="1" s="1"/>
  <c r="AF16" i="1"/>
  <c r="AG16" i="1"/>
  <c r="AH16" i="1"/>
  <c r="AI16" i="1"/>
  <c r="AJ16" i="1"/>
  <c r="AK16" i="1"/>
  <c r="AL16" i="1"/>
  <c r="AM16" i="1"/>
  <c r="AN16" i="1"/>
  <c r="AO16" i="1"/>
  <c r="AP16" i="1"/>
  <c r="AQ16" i="1"/>
  <c r="AR16" i="1"/>
  <c r="AS16" i="1"/>
  <c r="AT16" i="1"/>
  <c r="AU16" i="1"/>
  <c r="AV16" i="1"/>
  <c r="AW16" i="1"/>
  <c r="K17" i="1"/>
  <c r="L17" i="1"/>
  <c r="M17" i="1" s="1"/>
  <c r="BD17" i="1" s="1"/>
  <c r="E8" i="6" s="1"/>
  <c r="N17" i="1"/>
  <c r="O17" i="1"/>
  <c r="P17" i="1"/>
  <c r="Q17" i="1"/>
  <c r="R17" i="1"/>
  <c r="S17" i="1"/>
  <c r="T17" i="1"/>
  <c r="U17" i="1"/>
  <c r="V17" i="1"/>
  <c r="W17" i="1"/>
  <c r="X17" i="1"/>
  <c r="Y17" i="1"/>
  <c r="Z17" i="1"/>
  <c r="AA17" i="1"/>
  <c r="AB17" i="1"/>
  <c r="AC17" i="1"/>
  <c r="AD17" i="1"/>
  <c r="AE17" i="1"/>
  <c r="AF17" i="1"/>
  <c r="AG17" i="1"/>
  <c r="AH17" i="1"/>
  <c r="AI17" i="1" s="1"/>
  <c r="AJ17" i="1"/>
  <c r="AK17" i="1"/>
  <c r="AL17" i="1"/>
  <c r="AM17" i="1"/>
  <c r="AN17" i="1"/>
  <c r="AO17" i="1"/>
  <c r="AP17" i="1"/>
  <c r="AQ17" i="1"/>
  <c r="AR17" i="1"/>
  <c r="AS17" i="1"/>
  <c r="AT17" i="1"/>
  <c r="AU17" i="1"/>
  <c r="AV17" i="1"/>
  <c r="AW17" i="1"/>
  <c r="K18" i="1"/>
  <c r="L18" i="1"/>
  <c r="M18" i="1"/>
  <c r="BD18" i="1" s="1"/>
  <c r="E9" i="6" s="1"/>
  <c r="N18" i="1"/>
  <c r="O18" i="1"/>
  <c r="P18" i="1"/>
  <c r="Q18" i="1"/>
  <c r="R18" i="1"/>
  <c r="S18" i="1"/>
  <c r="T18" i="1"/>
  <c r="U18" i="1"/>
  <c r="V18" i="1"/>
  <c r="W18" i="1"/>
  <c r="X18" i="1"/>
  <c r="Y18" i="1"/>
  <c r="Z18" i="1"/>
  <c r="AA18" i="1"/>
  <c r="AB18" i="1"/>
  <c r="AC18" i="1"/>
  <c r="AD18" i="1"/>
  <c r="AE18" i="1"/>
  <c r="AF18" i="1"/>
  <c r="AG18" i="1"/>
  <c r="AH18" i="1"/>
  <c r="AI18" i="1"/>
  <c r="AJ18" i="1"/>
  <c r="AK18" i="1"/>
  <c r="AL18" i="1"/>
  <c r="AM18" i="1"/>
  <c r="AN18" i="1"/>
  <c r="AO18" i="1"/>
  <c r="AP18" i="1"/>
  <c r="AQ18" i="1"/>
  <c r="AR18" i="1"/>
  <c r="AS18" i="1"/>
  <c r="AT18" i="1"/>
  <c r="AU18" i="1"/>
  <c r="AV18" i="1"/>
  <c r="AW18" i="1"/>
  <c r="K19" i="1"/>
  <c r="L19" i="1"/>
  <c r="M19" i="1"/>
  <c r="BD19" i="1" s="1"/>
  <c r="E10" i="6" s="1"/>
  <c r="N19" i="1"/>
  <c r="O19" i="1"/>
  <c r="P19" i="1"/>
  <c r="Q19" i="1"/>
  <c r="R19" i="1"/>
  <c r="S19" i="1"/>
  <c r="T19" i="1"/>
  <c r="U19" i="1"/>
  <c r="V19" i="1"/>
  <c r="W19" i="1"/>
  <c r="X19" i="1"/>
  <c r="Y19" i="1"/>
  <c r="Z19" i="1"/>
  <c r="AA19" i="1" s="1"/>
  <c r="AB19" i="1"/>
  <c r="AC19" i="1"/>
  <c r="AD19" i="1"/>
  <c r="AE19" i="1"/>
  <c r="AF19" i="1"/>
  <c r="AG19" i="1"/>
  <c r="AH19" i="1"/>
  <c r="AI19" i="1"/>
  <c r="AJ19" i="1"/>
  <c r="AK19" i="1"/>
  <c r="AL19" i="1"/>
  <c r="AM19" i="1"/>
  <c r="AN19" i="1"/>
  <c r="AO19" i="1"/>
  <c r="AP19" i="1"/>
  <c r="AQ19" i="1"/>
  <c r="AR19" i="1"/>
  <c r="AS19" i="1"/>
  <c r="AT19" i="1"/>
  <c r="AU19" i="1"/>
  <c r="AV19" i="1"/>
  <c r="AW19" i="1"/>
  <c r="K20" i="1"/>
  <c r="L20" i="1"/>
  <c r="M20" i="1"/>
  <c r="BD20" i="1" s="1"/>
  <c r="E11" i="6" s="1"/>
  <c r="N20" i="1"/>
  <c r="O20" i="1"/>
  <c r="P20" i="1"/>
  <c r="Q20" i="1"/>
  <c r="R20" i="1"/>
  <c r="S20" i="1"/>
  <c r="T20" i="1"/>
  <c r="U20" i="1"/>
  <c r="V20" i="1"/>
  <c r="W20" i="1"/>
  <c r="X20" i="1"/>
  <c r="Y20" i="1"/>
  <c r="Z20" i="1"/>
  <c r="AA20" i="1"/>
  <c r="AB20" i="1"/>
  <c r="AC20" i="1"/>
  <c r="AD20" i="1"/>
  <c r="AE20" i="1"/>
  <c r="AF20" i="1"/>
  <c r="AG20" i="1"/>
  <c r="AH20" i="1"/>
  <c r="AI20" i="1"/>
  <c r="AJ20" i="1"/>
  <c r="AK20" i="1"/>
  <c r="AL20" i="1"/>
  <c r="AM20" i="1"/>
  <c r="AN20" i="1"/>
  <c r="AO20" i="1"/>
  <c r="AP20" i="1"/>
  <c r="AQ20" i="1"/>
  <c r="AR20" i="1"/>
  <c r="AS20" i="1"/>
  <c r="AT20" i="1"/>
  <c r="AU20" i="1"/>
  <c r="AV20" i="1"/>
  <c r="AW20" i="1"/>
  <c r="K21" i="1"/>
  <c r="L21" i="1"/>
  <c r="M21" i="1"/>
  <c r="N21" i="1"/>
  <c r="O21" i="1"/>
  <c r="P21" i="1"/>
  <c r="Q21" i="1"/>
  <c r="R21" i="1"/>
  <c r="S21" i="1"/>
  <c r="T21" i="1"/>
  <c r="U21" i="1"/>
  <c r="V21" i="1"/>
  <c r="W21" i="1"/>
  <c r="X21" i="1"/>
  <c r="Y21" i="1"/>
  <c r="Z21" i="1"/>
  <c r="AA21" i="1"/>
  <c r="AB21" i="1"/>
  <c r="AC21" i="1"/>
  <c r="AD21" i="1"/>
  <c r="AE21" i="1"/>
  <c r="AF21" i="1"/>
  <c r="AG21" i="1"/>
  <c r="AH21" i="1"/>
  <c r="AI21" i="1"/>
  <c r="AJ21" i="1"/>
  <c r="AK21" i="1"/>
  <c r="AL21" i="1"/>
  <c r="AM21" i="1"/>
  <c r="AN21" i="1"/>
  <c r="AO21" i="1"/>
  <c r="AP21" i="1"/>
  <c r="AQ21" i="1"/>
  <c r="AR21" i="1"/>
  <c r="AS21" i="1"/>
  <c r="AT21" i="1"/>
  <c r="AU21" i="1"/>
  <c r="AV21" i="1"/>
  <c r="AW21" i="1"/>
  <c r="K22" i="1"/>
  <c r="L22" i="1"/>
  <c r="M22" i="1"/>
  <c r="N22" i="1"/>
  <c r="O22" i="1"/>
  <c r="P22" i="1"/>
  <c r="Q22" i="1"/>
  <c r="R22" i="1"/>
  <c r="S22" i="1"/>
  <c r="T22" i="1"/>
  <c r="U22" i="1"/>
  <c r="V22" i="1"/>
  <c r="W22" i="1"/>
  <c r="X22" i="1"/>
  <c r="Y22" i="1"/>
  <c r="Z22" i="1"/>
  <c r="AA22" i="1"/>
  <c r="AB22" i="1"/>
  <c r="AC22" i="1"/>
  <c r="AD22" i="1"/>
  <c r="AE22" i="1"/>
  <c r="AF22" i="1"/>
  <c r="AG22" i="1"/>
  <c r="AH22" i="1"/>
  <c r="AI22" i="1"/>
  <c r="AJ22" i="1"/>
  <c r="AK22" i="1"/>
  <c r="AL22" i="1"/>
  <c r="AM22" i="1"/>
  <c r="AN22" i="1"/>
  <c r="AO22" i="1"/>
  <c r="AP22" i="1"/>
  <c r="AQ22" i="1"/>
  <c r="AR22" i="1"/>
  <c r="AS22" i="1"/>
  <c r="AT22" i="1"/>
  <c r="AU22" i="1"/>
  <c r="AV22" i="1"/>
  <c r="AW22" i="1"/>
  <c r="K23" i="1"/>
  <c r="L23" i="1"/>
  <c r="M23" i="1"/>
  <c r="N23" i="1"/>
  <c r="O23" i="1"/>
  <c r="P23" i="1"/>
  <c r="Q23" i="1"/>
  <c r="R23" i="1"/>
  <c r="S23" i="1"/>
  <c r="T23" i="1"/>
  <c r="U23" i="1"/>
  <c r="V23" i="1"/>
  <c r="W23" i="1"/>
  <c r="X23" i="1"/>
  <c r="Y23" i="1"/>
  <c r="Z23" i="1"/>
  <c r="AA23" i="1"/>
  <c r="AB23" i="1"/>
  <c r="AC23" i="1"/>
  <c r="AD23" i="1"/>
  <c r="AE23" i="1"/>
  <c r="AF23" i="1"/>
  <c r="AG23" i="1"/>
  <c r="AH23" i="1"/>
  <c r="AI23" i="1"/>
  <c r="AJ23" i="1"/>
  <c r="AK23" i="1"/>
  <c r="AL23" i="1"/>
  <c r="AM23" i="1"/>
  <c r="AN23" i="1"/>
  <c r="AO23" i="1"/>
  <c r="AP23" i="1"/>
  <c r="AQ23" i="1"/>
  <c r="AR23" i="1"/>
  <c r="AS23" i="1"/>
  <c r="AT23" i="1"/>
  <c r="AU23" i="1"/>
  <c r="AV23" i="1"/>
  <c r="AW23" i="1"/>
  <c r="K24" i="1"/>
  <c r="L24" i="1"/>
  <c r="M24" i="1"/>
  <c r="N24" i="1"/>
  <c r="O24" i="1"/>
  <c r="P24" i="1"/>
  <c r="Q24" i="1"/>
  <c r="R24" i="1"/>
  <c r="S24" i="1"/>
  <c r="T24" i="1"/>
  <c r="U24" i="1"/>
  <c r="V24" i="1"/>
  <c r="W24" i="1"/>
  <c r="X24" i="1"/>
  <c r="Y24" i="1"/>
  <c r="Z24" i="1"/>
  <c r="AA24" i="1"/>
  <c r="AB24" i="1"/>
  <c r="AC24" i="1"/>
  <c r="AD24" i="1"/>
  <c r="AE24" i="1"/>
  <c r="AF24" i="1"/>
  <c r="AG24" i="1"/>
  <c r="AH24" i="1"/>
  <c r="AI24" i="1"/>
  <c r="AJ24" i="1"/>
  <c r="AK24" i="1"/>
  <c r="AL24" i="1"/>
  <c r="AM24" i="1"/>
  <c r="AN24" i="1"/>
  <c r="AO24" i="1"/>
  <c r="AP24" i="1"/>
  <c r="AQ24" i="1"/>
  <c r="AR24" i="1"/>
  <c r="AS24" i="1"/>
  <c r="AT24" i="1"/>
  <c r="AU24" i="1"/>
  <c r="AV24" i="1"/>
  <c r="AW24" i="1"/>
  <c r="K25" i="1"/>
  <c r="L25" i="1"/>
  <c r="M25" i="1"/>
  <c r="N25" i="1"/>
  <c r="O25" i="1"/>
  <c r="P25" i="1"/>
  <c r="Q25" i="1"/>
  <c r="R25" i="1"/>
  <c r="S25" i="1"/>
  <c r="T25" i="1"/>
  <c r="U25" i="1"/>
  <c r="V25" i="1"/>
  <c r="W25" i="1"/>
  <c r="X25" i="1"/>
  <c r="Y25" i="1"/>
  <c r="Z25" i="1"/>
  <c r="AA25" i="1"/>
  <c r="AB25" i="1"/>
  <c r="AC25" i="1"/>
  <c r="AD25" i="1"/>
  <c r="AE25" i="1"/>
  <c r="AF25" i="1"/>
  <c r="AG25" i="1"/>
  <c r="AH25" i="1"/>
  <c r="AI25" i="1"/>
  <c r="AJ25" i="1"/>
  <c r="AK25" i="1"/>
  <c r="AL25" i="1"/>
  <c r="AM25" i="1"/>
  <c r="AN25" i="1"/>
  <c r="AO25" i="1"/>
  <c r="AP25" i="1"/>
  <c r="AQ25" i="1"/>
  <c r="AR25" i="1"/>
  <c r="AS25" i="1"/>
  <c r="AT25" i="1"/>
  <c r="AU25" i="1"/>
  <c r="AV25" i="1"/>
  <c r="AW25" i="1"/>
  <c r="K26" i="1"/>
  <c r="L26" i="1"/>
  <c r="M26" i="1"/>
  <c r="N26" i="1"/>
  <c r="O26" i="1"/>
  <c r="P26" i="1"/>
  <c r="Q26" i="1"/>
  <c r="R26" i="1"/>
  <c r="S26" i="1"/>
  <c r="T26" i="1"/>
  <c r="U26" i="1"/>
  <c r="V26" i="1"/>
  <c r="W26" i="1"/>
  <c r="X26" i="1"/>
  <c r="Y26" i="1"/>
  <c r="Z26" i="1"/>
  <c r="AA26" i="1"/>
  <c r="AB26" i="1"/>
  <c r="AC26" i="1"/>
  <c r="AD26" i="1"/>
  <c r="AE26" i="1"/>
  <c r="AF26" i="1"/>
  <c r="AG26" i="1"/>
  <c r="AH26" i="1"/>
  <c r="AI26" i="1"/>
  <c r="AJ26" i="1"/>
  <c r="AK26" i="1"/>
  <c r="AL26" i="1"/>
  <c r="AM26" i="1"/>
  <c r="AN26" i="1"/>
  <c r="AO26" i="1"/>
  <c r="AP26" i="1"/>
  <c r="AQ26" i="1"/>
  <c r="AR26" i="1"/>
  <c r="AS26" i="1"/>
  <c r="AT26" i="1"/>
  <c r="AU26" i="1"/>
  <c r="AV26" i="1"/>
  <c r="AW26" i="1"/>
  <c r="K27" i="1"/>
  <c r="L27" i="1"/>
  <c r="M27" i="1"/>
  <c r="N27" i="1"/>
  <c r="O27" i="1"/>
  <c r="P27" i="1"/>
  <c r="Q27" i="1"/>
  <c r="R27" i="1"/>
  <c r="S27" i="1"/>
  <c r="T27" i="1"/>
  <c r="U27" i="1"/>
  <c r="V27" i="1"/>
  <c r="W27" i="1"/>
  <c r="X27" i="1"/>
  <c r="Y27" i="1"/>
  <c r="Z27" i="1"/>
  <c r="AA27" i="1"/>
  <c r="AB27" i="1"/>
  <c r="AC27" i="1"/>
  <c r="AD27" i="1"/>
  <c r="AE27" i="1"/>
  <c r="AF27" i="1"/>
  <c r="AG27" i="1"/>
  <c r="AH27" i="1"/>
  <c r="AI27" i="1"/>
  <c r="AJ27" i="1"/>
  <c r="AK27" i="1"/>
  <c r="AL27" i="1"/>
  <c r="AM27" i="1"/>
  <c r="AN27" i="1"/>
  <c r="AO27" i="1"/>
  <c r="AP27" i="1"/>
  <c r="AQ27" i="1"/>
  <c r="AR27" i="1"/>
  <c r="AS27" i="1"/>
  <c r="AT27" i="1"/>
  <c r="AU27" i="1"/>
  <c r="AV27" i="1"/>
  <c r="AW27" i="1"/>
  <c r="K28" i="1"/>
  <c r="L28" i="1"/>
  <c r="M28" i="1"/>
  <c r="N28" i="1"/>
  <c r="O28" i="1"/>
  <c r="P28" i="1"/>
  <c r="Q28" i="1"/>
  <c r="R28" i="1"/>
  <c r="S28" i="1"/>
  <c r="T28" i="1"/>
  <c r="U28" i="1"/>
  <c r="V28" i="1"/>
  <c r="W28" i="1"/>
  <c r="X28" i="1"/>
  <c r="Y28" i="1"/>
  <c r="Z28" i="1"/>
  <c r="AA28" i="1"/>
  <c r="AB28" i="1"/>
  <c r="AC28" i="1"/>
  <c r="AD28" i="1"/>
  <c r="AE28" i="1"/>
  <c r="AF28" i="1"/>
  <c r="AG28" i="1"/>
  <c r="AH28" i="1"/>
  <c r="AI28" i="1"/>
  <c r="AJ28" i="1"/>
  <c r="AK28" i="1"/>
  <c r="AL28" i="1"/>
  <c r="AM28" i="1"/>
  <c r="AN28" i="1"/>
  <c r="AO28" i="1"/>
  <c r="AP28" i="1"/>
  <c r="AQ28" i="1"/>
  <c r="AR28" i="1"/>
  <c r="AS28" i="1"/>
  <c r="AT28" i="1"/>
  <c r="AU28" i="1"/>
  <c r="AV28" i="1"/>
  <c r="AW28" i="1"/>
  <c r="K29" i="1"/>
  <c r="L29" i="1"/>
  <c r="M29" i="1"/>
  <c r="N29" i="1"/>
  <c r="O29" i="1"/>
  <c r="P29" i="1"/>
  <c r="Q29" i="1"/>
  <c r="R29" i="1"/>
  <c r="S29" i="1"/>
  <c r="T29" i="1"/>
  <c r="U29" i="1"/>
  <c r="V29" i="1"/>
  <c r="W29" i="1"/>
  <c r="X29" i="1"/>
  <c r="Y29" i="1"/>
  <c r="Z29" i="1"/>
  <c r="AA29" i="1"/>
  <c r="AB29" i="1"/>
  <c r="AC29" i="1"/>
  <c r="AD29" i="1"/>
  <c r="AE29" i="1"/>
  <c r="AF29" i="1"/>
  <c r="AG29" i="1"/>
  <c r="AH29" i="1"/>
  <c r="AI29" i="1"/>
  <c r="AJ29" i="1"/>
  <c r="AK29" i="1"/>
  <c r="AL29" i="1"/>
  <c r="AM29" i="1"/>
  <c r="AN29" i="1"/>
  <c r="AO29" i="1"/>
  <c r="AP29" i="1"/>
  <c r="AQ29" i="1"/>
  <c r="AR29" i="1"/>
  <c r="AS29" i="1"/>
  <c r="AT29" i="1"/>
  <c r="AU29" i="1"/>
  <c r="AV29" i="1"/>
  <c r="AW29" i="1"/>
  <c r="K30" i="1"/>
  <c r="L30" i="1"/>
  <c r="M30" i="1"/>
  <c r="N30" i="1"/>
  <c r="O30" i="1"/>
  <c r="P30" i="1"/>
  <c r="Q30" i="1"/>
  <c r="R30" i="1"/>
  <c r="S30" i="1"/>
  <c r="T30" i="1"/>
  <c r="U30" i="1"/>
  <c r="V30" i="1"/>
  <c r="W30" i="1"/>
  <c r="X30" i="1"/>
  <c r="Y30" i="1"/>
  <c r="Z30" i="1"/>
  <c r="AA30" i="1"/>
  <c r="AB30" i="1"/>
  <c r="AC30" i="1"/>
  <c r="AD30" i="1"/>
  <c r="AE30" i="1"/>
  <c r="AF30" i="1"/>
  <c r="AG30" i="1"/>
  <c r="AH30" i="1"/>
  <c r="AI30" i="1"/>
  <c r="AJ30" i="1"/>
  <c r="AK30" i="1"/>
  <c r="AL30" i="1"/>
  <c r="AM30" i="1"/>
  <c r="AN30" i="1"/>
  <c r="AO30" i="1"/>
  <c r="AP30" i="1"/>
  <c r="AQ30" i="1"/>
  <c r="AR30" i="1"/>
  <c r="AS30" i="1"/>
  <c r="AT30" i="1"/>
  <c r="AU30" i="1"/>
  <c r="AV30" i="1"/>
  <c r="AW30" i="1"/>
  <c r="K31" i="1"/>
  <c r="L31" i="1"/>
  <c r="M31" i="1"/>
  <c r="N31" i="1"/>
  <c r="O31" i="1"/>
  <c r="P31" i="1"/>
  <c r="Q31" i="1"/>
  <c r="R31" i="1"/>
  <c r="S31" i="1"/>
  <c r="T31" i="1"/>
  <c r="U31" i="1"/>
  <c r="V31" i="1"/>
  <c r="W31" i="1"/>
  <c r="X31" i="1"/>
  <c r="Y31" i="1"/>
  <c r="Z31" i="1"/>
  <c r="AA31" i="1"/>
  <c r="AB31" i="1"/>
  <c r="AC31" i="1"/>
  <c r="AD31" i="1"/>
  <c r="AE31" i="1"/>
  <c r="AF31" i="1"/>
  <c r="AG31" i="1"/>
  <c r="AH31" i="1"/>
  <c r="AI31" i="1"/>
  <c r="AJ31" i="1"/>
  <c r="AK31" i="1"/>
  <c r="AL31" i="1"/>
  <c r="AM31" i="1"/>
  <c r="AN31" i="1"/>
  <c r="AO31" i="1"/>
  <c r="AP31" i="1"/>
  <c r="AQ31" i="1"/>
  <c r="AR31" i="1"/>
  <c r="AS31" i="1"/>
  <c r="AT31" i="1"/>
  <c r="AU31" i="1"/>
  <c r="AV31" i="1"/>
  <c r="AW31" i="1"/>
  <c r="K32" i="1"/>
  <c r="L32" i="1"/>
  <c r="M32" i="1"/>
  <c r="N32" i="1"/>
  <c r="O32" i="1"/>
  <c r="P32" i="1"/>
  <c r="Q32" i="1"/>
  <c r="R32" i="1"/>
  <c r="S32" i="1"/>
  <c r="T32" i="1"/>
  <c r="U32" i="1"/>
  <c r="V32" i="1"/>
  <c r="W32" i="1"/>
  <c r="X32" i="1"/>
  <c r="Y32" i="1"/>
  <c r="Z32" i="1"/>
  <c r="AA32" i="1"/>
  <c r="AB32" i="1"/>
  <c r="AC32" i="1"/>
  <c r="AD32" i="1"/>
  <c r="AE32" i="1"/>
  <c r="AF32" i="1"/>
  <c r="AG32" i="1"/>
  <c r="AH32" i="1"/>
  <c r="AI32" i="1"/>
  <c r="AJ32" i="1"/>
  <c r="AK32" i="1"/>
  <c r="AL32" i="1"/>
  <c r="AM32" i="1"/>
  <c r="AN32" i="1"/>
  <c r="AO32" i="1"/>
  <c r="AP32" i="1"/>
  <c r="AQ32" i="1"/>
  <c r="AR32" i="1"/>
  <c r="AS32" i="1"/>
  <c r="AT32" i="1"/>
  <c r="AU32" i="1"/>
  <c r="AV32" i="1"/>
  <c r="AW32" i="1"/>
  <c r="K33" i="1"/>
  <c r="L33" i="1"/>
  <c r="M33" i="1"/>
  <c r="N33" i="1"/>
  <c r="O33" i="1"/>
  <c r="P33" i="1"/>
  <c r="Q33" i="1"/>
  <c r="R33" i="1"/>
  <c r="S33" i="1"/>
  <c r="T33" i="1"/>
  <c r="U33" i="1"/>
  <c r="V33" i="1"/>
  <c r="W33" i="1"/>
  <c r="X33" i="1"/>
  <c r="Y33" i="1"/>
  <c r="Z33" i="1"/>
  <c r="AA33" i="1"/>
  <c r="AB33" i="1"/>
  <c r="AC33" i="1"/>
  <c r="AD33" i="1"/>
  <c r="AE33" i="1"/>
  <c r="AF33" i="1"/>
  <c r="AG33" i="1"/>
  <c r="AH33" i="1"/>
  <c r="AI33" i="1"/>
  <c r="AJ33" i="1"/>
  <c r="AK33" i="1"/>
  <c r="AL33" i="1"/>
  <c r="AM33" i="1"/>
  <c r="AN33" i="1"/>
  <c r="AO33" i="1"/>
  <c r="AP33" i="1"/>
  <c r="AQ33" i="1"/>
  <c r="AR33" i="1"/>
  <c r="AS33" i="1"/>
  <c r="AT33" i="1"/>
  <c r="AU33" i="1"/>
  <c r="AV33" i="1"/>
  <c r="AW33" i="1"/>
  <c r="K34" i="1"/>
  <c r="L34" i="1"/>
  <c r="M34" i="1"/>
  <c r="N34" i="1"/>
  <c r="O34" i="1"/>
  <c r="P34" i="1"/>
  <c r="Q34" i="1"/>
  <c r="R34" i="1"/>
  <c r="S34" i="1"/>
  <c r="T34" i="1"/>
  <c r="U34" i="1"/>
  <c r="V34" i="1"/>
  <c r="W34" i="1"/>
  <c r="X34" i="1"/>
  <c r="Y34" i="1"/>
  <c r="Z34" i="1"/>
  <c r="AA34" i="1"/>
  <c r="AB34" i="1"/>
  <c r="AC34" i="1"/>
  <c r="AD34" i="1"/>
  <c r="AE34" i="1"/>
  <c r="AF34" i="1"/>
  <c r="AG34" i="1"/>
  <c r="AH34" i="1"/>
  <c r="AI34" i="1"/>
  <c r="AJ34" i="1"/>
  <c r="AK34" i="1"/>
  <c r="AL34" i="1"/>
  <c r="AM34" i="1"/>
  <c r="AN34" i="1"/>
  <c r="AO34" i="1"/>
  <c r="AP34" i="1"/>
  <c r="AQ34" i="1"/>
  <c r="AR34" i="1"/>
  <c r="AS34" i="1"/>
  <c r="AT34" i="1"/>
  <c r="AU34" i="1"/>
  <c r="AV34" i="1"/>
  <c r="AW34" i="1"/>
  <c r="K35" i="1"/>
  <c r="L35" i="1"/>
  <c r="M35" i="1"/>
  <c r="N35" i="1"/>
  <c r="O35" i="1"/>
  <c r="P35" i="1"/>
  <c r="Q35" i="1"/>
  <c r="R35" i="1"/>
  <c r="S35" i="1"/>
  <c r="T35" i="1"/>
  <c r="U35" i="1"/>
  <c r="V35" i="1"/>
  <c r="W35" i="1"/>
  <c r="X35" i="1"/>
  <c r="Y35" i="1"/>
  <c r="Z35" i="1"/>
  <c r="AA35" i="1"/>
  <c r="AB35" i="1"/>
  <c r="AC35" i="1"/>
  <c r="AD35" i="1"/>
  <c r="AE35" i="1"/>
  <c r="AF35" i="1"/>
  <c r="AG35" i="1"/>
  <c r="AH35" i="1"/>
  <c r="AI35" i="1"/>
  <c r="AJ35" i="1"/>
  <c r="AK35" i="1"/>
  <c r="AL35" i="1"/>
  <c r="AM35" i="1"/>
  <c r="AN35" i="1"/>
  <c r="AO35" i="1"/>
  <c r="AP35" i="1"/>
  <c r="AQ35" i="1"/>
  <c r="AR35" i="1"/>
  <c r="AS35" i="1"/>
  <c r="AT35" i="1"/>
  <c r="AU35" i="1"/>
  <c r="AV35" i="1"/>
  <c r="AW35" i="1"/>
  <c r="K36" i="1"/>
  <c r="L36" i="1"/>
  <c r="M36" i="1"/>
  <c r="N36" i="1"/>
  <c r="O36" i="1"/>
  <c r="P36" i="1"/>
  <c r="Q36" i="1"/>
  <c r="R36" i="1"/>
  <c r="S36" i="1"/>
  <c r="T36" i="1"/>
  <c r="U36" i="1"/>
  <c r="V36" i="1"/>
  <c r="W36" i="1"/>
  <c r="X36" i="1"/>
  <c r="Y36" i="1"/>
  <c r="Z36" i="1"/>
  <c r="AA36" i="1"/>
  <c r="AB36" i="1"/>
  <c r="AC36" i="1"/>
  <c r="AD36" i="1"/>
  <c r="AE36" i="1"/>
  <c r="AF36" i="1"/>
  <c r="AG36" i="1"/>
  <c r="AH36" i="1"/>
  <c r="AI36" i="1"/>
  <c r="AJ36" i="1"/>
  <c r="AK36" i="1"/>
  <c r="AL36" i="1"/>
  <c r="AM36" i="1"/>
  <c r="AN36" i="1"/>
  <c r="AO36" i="1"/>
  <c r="AP36" i="1"/>
  <c r="AQ36" i="1"/>
  <c r="AR36" i="1"/>
  <c r="AS36" i="1"/>
  <c r="AT36" i="1"/>
  <c r="AU36" i="1"/>
  <c r="AV36" i="1"/>
  <c r="AW36" i="1"/>
  <c r="K37" i="1"/>
  <c r="L37" i="1"/>
  <c r="M37" i="1"/>
  <c r="N37" i="1"/>
  <c r="O37" i="1"/>
  <c r="P37" i="1"/>
  <c r="Q37" i="1"/>
  <c r="R37" i="1"/>
  <c r="S37" i="1"/>
  <c r="T37" i="1"/>
  <c r="U37" i="1"/>
  <c r="V37" i="1"/>
  <c r="W37" i="1"/>
  <c r="X37" i="1"/>
  <c r="Y37" i="1"/>
  <c r="Z37" i="1"/>
  <c r="AA37" i="1"/>
  <c r="AB37" i="1"/>
  <c r="AC37" i="1"/>
  <c r="AD37" i="1"/>
  <c r="AE37" i="1"/>
  <c r="AF37" i="1"/>
  <c r="AG37" i="1"/>
  <c r="AH37" i="1"/>
  <c r="AI37" i="1"/>
  <c r="AJ37" i="1"/>
  <c r="AK37" i="1"/>
  <c r="AL37" i="1"/>
  <c r="AM37" i="1"/>
  <c r="AN37" i="1"/>
  <c r="AO37" i="1"/>
  <c r="AP37" i="1"/>
  <c r="AQ37" i="1"/>
  <c r="AR37" i="1"/>
  <c r="AS37" i="1"/>
  <c r="AT37" i="1"/>
  <c r="AU37" i="1"/>
  <c r="AV37" i="1"/>
  <c r="AW37" i="1"/>
  <c r="K38" i="1"/>
  <c r="L38" i="1"/>
  <c r="M38" i="1"/>
  <c r="N38" i="1"/>
  <c r="O38" i="1"/>
  <c r="P38" i="1"/>
  <c r="Q38" i="1"/>
  <c r="R38" i="1"/>
  <c r="S38" i="1"/>
  <c r="T38" i="1"/>
  <c r="U38" i="1"/>
  <c r="V38" i="1"/>
  <c r="W38" i="1"/>
  <c r="X38" i="1"/>
  <c r="Y38" i="1"/>
  <c r="Z38" i="1"/>
  <c r="AA38" i="1"/>
  <c r="AB38" i="1"/>
  <c r="AC38" i="1"/>
  <c r="AD38" i="1"/>
  <c r="AE38" i="1"/>
  <c r="AF38" i="1"/>
  <c r="AG38" i="1"/>
  <c r="AH38" i="1"/>
  <c r="AI38" i="1"/>
  <c r="AJ38" i="1"/>
  <c r="AK38" i="1"/>
  <c r="AL38" i="1"/>
  <c r="AM38" i="1"/>
  <c r="AN38" i="1"/>
  <c r="AO38" i="1"/>
  <c r="AP38" i="1"/>
  <c r="AQ38" i="1"/>
  <c r="AR38" i="1"/>
  <c r="AS38" i="1"/>
  <c r="AT38" i="1"/>
  <c r="AU38" i="1"/>
  <c r="AV38" i="1"/>
  <c r="AW38" i="1"/>
  <c r="K39" i="1"/>
  <c r="L39" i="1"/>
  <c r="M39" i="1"/>
  <c r="N39" i="1"/>
  <c r="O39" i="1"/>
  <c r="P39" i="1"/>
  <c r="Q39" i="1"/>
  <c r="R39" i="1"/>
  <c r="S39" i="1"/>
  <c r="T39" i="1"/>
  <c r="U39" i="1"/>
  <c r="V39" i="1"/>
  <c r="W39" i="1"/>
  <c r="X39" i="1"/>
  <c r="Y39" i="1"/>
  <c r="Z39" i="1"/>
  <c r="AA39" i="1"/>
  <c r="AB39" i="1"/>
  <c r="AC39" i="1"/>
  <c r="AD39" i="1"/>
  <c r="AE39" i="1"/>
  <c r="AF39" i="1"/>
  <c r="AG39" i="1"/>
  <c r="AH39" i="1"/>
  <c r="AI39" i="1"/>
  <c r="AJ39" i="1"/>
  <c r="AK39" i="1"/>
  <c r="AL39" i="1"/>
  <c r="AM39" i="1"/>
  <c r="AN39" i="1"/>
  <c r="AO39" i="1"/>
  <c r="AP39" i="1"/>
  <c r="AQ39" i="1"/>
  <c r="AR39" i="1"/>
  <c r="AS39" i="1"/>
  <c r="AT39" i="1"/>
  <c r="AU39" i="1"/>
  <c r="AV39" i="1"/>
  <c r="AW39" i="1"/>
  <c r="K40" i="1"/>
  <c r="L40" i="1"/>
  <c r="M40" i="1"/>
  <c r="N40" i="1"/>
  <c r="O40" i="1"/>
  <c r="P40" i="1"/>
  <c r="Q40" i="1"/>
  <c r="R40" i="1"/>
  <c r="S40" i="1"/>
  <c r="T40" i="1"/>
  <c r="U40" i="1"/>
  <c r="V40" i="1"/>
  <c r="W40" i="1"/>
  <c r="X40" i="1"/>
  <c r="Y40" i="1"/>
  <c r="Z40" i="1"/>
  <c r="AA40" i="1"/>
  <c r="AB40" i="1"/>
  <c r="AC40" i="1"/>
  <c r="AD40" i="1"/>
  <c r="AE40" i="1"/>
  <c r="AF40" i="1"/>
  <c r="AG40" i="1"/>
  <c r="AH40" i="1"/>
  <c r="AI40" i="1"/>
  <c r="AJ40" i="1"/>
  <c r="AK40" i="1"/>
  <c r="AL40" i="1"/>
  <c r="AM40" i="1"/>
  <c r="AN40" i="1"/>
  <c r="AO40" i="1"/>
  <c r="AP40" i="1"/>
  <c r="AQ40" i="1"/>
  <c r="AR40" i="1"/>
  <c r="AS40" i="1"/>
  <c r="AT40" i="1"/>
  <c r="AU40" i="1"/>
  <c r="AV40" i="1"/>
  <c r="AW40" i="1"/>
  <c r="K41" i="1"/>
  <c r="L41" i="1"/>
  <c r="M41" i="1"/>
  <c r="N41" i="1"/>
  <c r="O41" i="1"/>
  <c r="P41" i="1"/>
  <c r="Q41" i="1"/>
  <c r="R41" i="1"/>
  <c r="S41" i="1"/>
  <c r="T41" i="1"/>
  <c r="U41" i="1"/>
  <c r="V41" i="1"/>
  <c r="W41" i="1"/>
  <c r="X41" i="1"/>
  <c r="Y41" i="1"/>
  <c r="Z41" i="1"/>
  <c r="AA41" i="1"/>
  <c r="AB41" i="1"/>
  <c r="AC41" i="1"/>
  <c r="AD41" i="1"/>
  <c r="AE41" i="1"/>
  <c r="AF41" i="1"/>
  <c r="AG41" i="1"/>
  <c r="AH41" i="1"/>
  <c r="AI41" i="1"/>
  <c r="AJ41" i="1"/>
  <c r="AK41" i="1"/>
  <c r="AL41" i="1"/>
  <c r="AM41" i="1"/>
  <c r="AN41" i="1"/>
  <c r="AO41" i="1"/>
  <c r="AP41" i="1"/>
  <c r="AQ41" i="1"/>
  <c r="AR41" i="1"/>
  <c r="AS41" i="1"/>
  <c r="AT41" i="1"/>
  <c r="AU41" i="1"/>
  <c r="AV41" i="1"/>
  <c r="AW41" i="1"/>
  <c r="K42" i="1"/>
  <c r="L42" i="1"/>
  <c r="M42" i="1"/>
  <c r="N42" i="1"/>
  <c r="O42" i="1"/>
  <c r="P42" i="1"/>
  <c r="Q42" i="1"/>
  <c r="R42" i="1"/>
  <c r="S42" i="1"/>
  <c r="T42" i="1"/>
  <c r="U42" i="1"/>
  <c r="V42" i="1"/>
  <c r="W42" i="1"/>
  <c r="X42" i="1"/>
  <c r="Y42" i="1"/>
  <c r="Z42" i="1"/>
  <c r="AA42" i="1"/>
  <c r="AB42" i="1"/>
  <c r="AC42" i="1"/>
  <c r="AD42" i="1"/>
  <c r="AE42" i="1"/>
  <c r="AF42" i="1"/>
  <c r="AG42" i="1"/>
  <c r="AH42" i="1"/>
  <c r="AI42" i="1"/>
  <c r="AJ42" i="1"/>
  <c r="AK42" i="1"/>
  <c r="AL42" i="1"/>
  <c r="AM42" i="1"/>
  <c r="AN42" i="1"/>
  <c r="AO42" i="1"/>
  <c r="AP42" i="1"/>
  <c r="AQ42" i="1"/>
  <c r="AR42" i="1"/>
  <c r="AS42" i="1"/>
  <c r="AT42" i="1"/>
  <c r="AU42" i="1"/>
  <c r="AV42" i="1"/>
  <c r="AW42" i="1"/>
  <c r="K43" i="1"/>
  <c r="L43" i="1"/>
  <c r="M43" i="1"/>
  <c r="N43" i="1"/>
  <c r="O43" i="1"/>
  <c r="P43" i="1"/>
  <c r="Q43" i="1"/>
  <c r="R43" i="1"/>
  <c r="S43" i="1"/>
  <c r="T43" i="1"/>
  <c r="U43" i="1"/>
  <c r="V43" i="1"/>
  <c r="W43" i="1"/>
  <c r="X43" i="1"/>
  <c r="Y43" i="1"/>
  <c r="Z43" i="1"/>
  <c r="AA43" i="1"/>
  <c r="AB43" i="1"/>
  <c r="AC43" i="1"/>
  <c r="AD43" i="1"/>
  <c r="AE43" i="1"/>
  <c r="AF43" i="1"/>
  <c r="AG43" i="1"/>
  <c r="AH43" i="1"/>
  <c r="AI43" i="1"/>
  <c r="AJ43" i="1"/>
  <c r="AK43" i="1"/>
  <c r="AL43" i="1"/>
  <c r="AM43" i="1"/>
  <c r="AN43" i="1"/>
  <c r="AO43" i="1"/>
  <c r="AP43" i="1"/>
  <c r="AQ43" i="1"/>
  <c r="AR43" i="1"/>
  <c r="AS43" i="1"/>
  <c r="AT43" i="1"/>
  <c r="AU43" i="1"/>
  <c r="AV43" i="1"/>
  <c r="AW43" i="1"/>
  <c r="K44" i="1"/>
  <c r="L44" i="1"/>
  <c r="M44" i="1"/>
  <c r="N44" i="1"/>
  <c r="O44" i="1"/>
  <c r="P44" i="1"/>
  <c r="Q44" i="1"/>
  <c r="R44" i="1"/>
  <c r="S44" i="1"/>
  <c r="T44" i="1"/>
  <c r="U44" i="1"/>
  <c r="V44" i="1"/>
  <c r="W44" i="1"/>
  <c r="X44" i="1"/>
  <c r="Y44" i="1"/>
  <c r="Z44" i="1"/>
  <c r="AA44" i="1"/>
  <c r="AB44" i="1"/>
  <c r="AC44" i="1"/>
  <c r="AD44" i="1"/>
  <c r="AE44" i="1"/>
  <c r="AF44" i="1"/>
  <c r="AG44" i="1"/>
  <c r="AH44" i="1"/>
  <c r="AI44" i="1"/>
  <c r="AJ44" i="1"/>
  <c r="AK44" i="1"/>
  <c r="AL44" i="1"/>
  <c r="AM44" i="1"/>
  <c r="AN44" i="1"/>
  <c r="AO44" i="1"/>
  <c r="AP44" i="1"/>
  <c r="AQ44" i="1"/>
  <c r="AR44" i="1"/>
  <c r="AS44" i="1"/>
  <c r="AT44" i="1"/>
  <c r="AU44" i="1"/>
  <c r="AV44" i="1"/>
  <c r="AW44" i="1"/>
  <c r="K45" i="1"/>
  <c r="L45" i="1"/>
  <c r="M45" i="1"/>
  <c r="N45" i="1"/>
  <c r="O45" i="1"/>
  <c r="P45" i="1"/>
  <c r="Q45" i="1"/>
  <c r="R45" i="1"/>
  <c r="S45" i="1"/>
  <c r="T45" i="1"/>
  <c r="U45" i="1"/>
  <c r="V45" i="1"/>
  <c r="W45" i="1"/>
  <c r="X45" i="1"/>
  <c r="Y45" i="1"/>
  <c r="Z45" i="1"/>
  <c r="AA45" i="1"/>
  <c r="AB45" i="1"/>
  <c r="AC45" i="1"/>
  <c r="AD45" i="1"/>
  <c r="AE45" i="1"/>
  <c r="AF45" i="1"/>
  <c r="AG45" i="1"/>
  <c r="AH45" i="1"/>
  <c r="AI45" i="1"/>
  <c r="AJ45" i="1"/>
  <c r="AK45" i="1"/>
  <c r="AL45" i="1"/>
  <c r="AM45" i="1"/>
  <c r="AN45" i="1"/>
  <c r="AO45" i="1"/>
  <c r="AP45" i="1"/>
  <c r="AQ45" i="1"/>
  <c r="AR45" i="1"/>
  <c r="AS45" i="1"/>
  <c r="AT45" i="1"/>
  <c r="AU45" i="1"/>
  <c r="AV45" i="1"/>
  <c r="AW45" i="1"/>
  <c r="K46" i="1"/>
  <c r="L46" i="1"/>
  <c r="M46" i="1"/>
  <c r="N46" i="1"/>
  <c r="O46" i="1"/>
  <c r="P46" i="1"/>
  <c r="Q46" i="1"/>
  <c r="R46" i="1"/>
  <c r="S46" i="1"/>
  <c r="T46" i="1"/>
  <c r="U46" i="1"/>
  <c r="V46" i="1"/>
  <c r="W46" i="1"/>
  <c r="X46" i="1"/>
  <c r="Y46" i="1"/>
  <c r="Z46" i="1"/>
  <c r="AA46" i="1"/>
  <c r="AB46" i="1"/>
  <c r="AC46" i="1"/>
  <c r="AD46" i="1"/>
  <c r="AE46" i="1"/>
  <c r="AF46" i="1"/>
  <c r="AG46" i="1"/>
  <c r="AH46" i="1"/>
  <c r="AI46" i="1"/>
  <c r="AJ46" i="1"/>
  <c r="AK46" i="1"/>
  <c r="AL46" i="1"/>
  <c r="AM46" i="1"/>
  <c r="AN46" i="1"/>
  <c r="AO46" i="1"/>
  <c r="AP46" i="1"/>
  <c r="AQ46" i="1"/>
  <c r="AR46" i="1"/>
  <c r="AS46" i="1"/>
  <c r="AT46" i="1"/>
  <c r="AU46" i="1"/>
  <c r="AV46" i="1"/>
  <c r="AW46" i="1"/>
  <c r="K47" i="1"/>
  <c r="L47" i="1"/>
  <c r="M47" i="1"/>
  <c r="N47" i="1"/>
  <c r="O47" i="1"/>
  <c r="P47" i="1"/>
  <c r="Q47" i="1"/>
  <c r="R47" i="1"/>
  <c r="S47" i="1"/>
  <c r="T47" i="1"/>
  <c r="U47" i="1"/>
  <c r="V47" i="1"/>
  <c r="W47" i="1"/>
  <c r="X47" i="1"/>
  <c r="Y47" i="1"/>
  <c r="Z47" i="1"/>
  <c r="AA47" i="1"/>
  <c r="AB47" i="1"/>
  <c r="AC47" i="1"/>
  <c r="AD47" i="1"/>
  <c r="AE47" i="1"/>
  <c r="AF47" i="1"/>
  <c r="AG47" i="1"/>
  <c r="AH47" i="1"/>
  <c r="AI47" i="1"/>
  <c r="AJ47" i="1"/>
  <c r="AK47" i="1"/>
  <c r="AL47" i="1"/>
  <c r="AM47" i="1"/>
  <c r="AN47" i="1"/>
  <c r="AO47" i="1"/>
  <c r="AP47" i="1"/>
  <c r="AQ47" i="1"/>
  <c r="AR47" i="1"/>
  <c r="AS47" i="1"/>
  <c r="AT47" i="1"/>
  <c r="AU47" i="1"/>
  <c r="AV47" i="1"/>
  <c r="AW47" i="1"/>
  <c r="K48" i="1"/>
  <c r="L48" i="1"/>
  <c r="M48" i="1"/>
  <c r="N48" i="1"/>
  <c r="O48" i="1"/>
  <c r="P48" i="1"/>
  <c r="Q48" i="1"/>
  <c r="R48" i="1"/>
  <c r="S48" i="1"/>
  <c r="T48" i="1"/>
  <c r="U48" i="1"/>
  <c r="V48" i="1"/>
  <c r="W48" i="1"/>
  <c r="X48" i="1"/>
  <c r="Y48" i="1"/>
  <c r="Z48" i="1"/>
  <c r="AA48" i="1"/>
  <c r="AB48" i="1"/>
  <c r="AC48" i="1"/>
  <c r="AD48" i="1"/>
  <c r="AE48" i="1"/>
  <c r="AF48" i="1"/>
  <c r="AG48" i="1"/>
  <c r="AH48" i="1"/>
  <c r="AI48" i="1"/>
  <c r="AJ48" i="1"/>
  <c r="AK48" i="1"/>
  <c r="AL48" i="1"/>
  <c r="AM48" i="1"/>
  <c r="AN48" i="1"/>
  <c r="AO48" i="1"/>
  <c r="AP48" i="1"/>
  <c r="AQ48" i="1"/>
  <c r="AR48" i="1"/>
  <c r="AS48" i="1"/>
  <c r="AT48" i="1"/>
  <c r="AU48" i="1"/>
  <c r="AV48" i="1"/>
  <c r="AW48" i="1"/>
  <c r="K49" i="1"/>
  <c r="L49" i="1"/>
  <c r="M49" i="1"/>
  <c r="N49" i="1"/>
  <c r="O49" i="1"/>
  <c r="P49" i="1"/>
  <c r="Q49" i="1"/>
  <c r="R49" i="1"/>
  <c r="S49" i="1"/>
  <c r="T49" i="1"/>
  <c r="U49" i="1"/>
  <c r="V49" i="1"/>
  <c r="W49" i="1"/>
  <c r="X49" i="1"/>
  <c r="Y49" i="1"/>
  <c r="Z49" i="1"/>
  <c r="AA49" i="1"/>
  <c r="AB49" i="1"/>
  <c r="AC49" i="1"/>
  <c r="AD49" i="1"/>
  <c r="AE49" i="1"/>
  <c r="AF49" i="1"/>
  <c r="AG49" i="1"/>
  <c r="AH49" i="1"/>
  <c r="AI49" i="1"/>
  <c r="AJ49" i="1"/>
  <c r="AK49" i="1"/>
  <c r="AL49" i="1"/>
  <c r="AM49" i="1"/>
  <c r="AN49" i="1"/>
  <c r="AO49" i="1"/>
  <c r="AP49" i="1"/>
  <c r="AQ49" i="1"/>
  <c r="AR49" i="1"/>
  <c r="AS49" i="1"/>
  <c r="AT49" i="1"/>
  <c r="AU49" i="1"/>
  <c r="AV49" i="1"/>
  <c r="AW49" i="1"/>
  <c r="K50" i="1"/>
  <c r="L50" i="1"/>
  <c r="M50" i="1"/>
  <c r="N50" i="1"/>
  <c r="O50" i="1"/>
  <c r="P50" i="1"/>
  <c r="Q50" i="1"/>
  <c r="R50" i="1"/>
  <c r="S50" i="1"/>
  <c r="T50" i="1"/>
  <c r="U50" i="1"/>
  <c r="V50" i="1"/>
  <c r="W50" i="1"/>
  <c r="X50" i="1"/>
  <c r="Y50" i="1"/>
  <c r="Z50" i="1"/>
  <c r="AA50" i="1"/>
  <c r="AB50" i="1"/>
  <c r="AC50" i="1"/>
  <c r="AD50" i="1"/>
  <c r="AE50" i="1"/>
  <c r="AF50" i="1"/>
  <c r="AG50" i="1"/>
  <c r="AH50" i="1"/>
  <c r="AI50" i="1"/>
  <c r="AJ50" i="1"/>
  <c r="AK50" i="1"/>
  <c r="AL50" i="1"/>
  <c r="AM50" i="1"/>
  <c r="AN50" i="1"/>
  <c r="AO50" i="1"/>
  <c r="AP50" i="1"/>
  <c r="AQ50" i="1"/>
  <c r="AR50" i="1"/>
  <c r="AS50" i="1"/>
  <c r="AT50" i="1"/>
  <c r="AU50" i="1"/>
  <c r="AV50" i="1"/>
  <c r="AW50" i="1"/>
  <c r="K51" i="1"/>
  <c r="L51" i="1"/>
  <c r="M51" i="1"/>
  <c r="N51" i="1"/>
  <c r="O51" i="1"/>
  <c r="P51" i="1"/>
  <c r="Q51" i="1"/>
  <c r="R51" i="1"/>
  <c r="S51" i="1"/>
  <c r="T51" i="1"/>
  <c r="U51" i="1"/>
  <c r="V51" i="1"/>
  <c r="W51" i="1"/>
  <c r="X51" i="1"/>
  <c r="Y51" i="1"/>
  <c r="Z51" i="1"/>
  <c r="AA51" i="1"/>
  <c r="AB51" i="1"/>
  <c r="AC51" i="1"/>
  <c r="AD51" i="1"/>
  <c r="AE51" i="1"/>
  <c r="AF51" i="1"/>
  <c r="AG51" i="1"/>
  <c r="AH51" i="1"/>
  <c r="AI51" i="1"/>
  <c r="AJ51" i="1"/>
  <c r="AK51" i="1"/>
  <c r="AL51" i="1"/>
  <c r="AM51" i="1"/>
  <c r="AN51" i="1"/>
  <c r="AO51" i="1"/>
  <c r="AP51" i="1"/>
  <c r="AQ51" i="1"/>
  <c r="AR51" i="1"/>
  <c r="AS51" i="1"/>
  <c r="AT51" i="1"/>
  <c r="AU51" i="1"/>
  <c r="AV51" i="1"/>
  <c r="AW51" i="1"/>
  <c r="K52" i="1"/>
  <c r="L52" i="1"/>
  <c r="M52" i="1"/>
  <c r="N52" i="1"/>
  <c r="O52" i="1"/>
  <c r="P52" i="1"/>
  <c r="Q52" i="1"/>
  <c r="R52" i="1"/>
  <c r="S52" i="1"/>
  <c r="T52" i="1"/>
  <c r="U52" i="1"/>
  <c r="V52" i="1"/>
  <c r="W52" i="1"/>
  <c r="X52" i="1"/>
  <c r="Y52" i="1"/>
  <c r="Z52" i="1"/>
  <c r="AA52" i="1"/>
  <c r="AB52" i="1"/>
  <c r="AC52" i="1"/>
  <c r="AD52" i="1"/>
  <c r="AE52" i="1"/>
  <c r="AF52" i="1"/>
  <c r="AG52" i="1"/>
  <c r="AH52" i="1"/>
  <c r="AI52" i="1"/>
  <c r="AJ52" i="1"/>
  <c r="AK52" i="1"/>
  <c r="AL52" i="1"/>
  <c r="AM52" i="1"/>
  <c r="AN52" i="1"/>
  <c r="AO52" i="1"/>
  <c r="AP52" i="1"/>
  <c r="AQ52" i="1"/>
  <c r="AR52" i="1"/>
  <c r="AS52" i="1"/>
  <c r="AT52" i="1"/>
  <c r="AU52" i="1"/>
  <c r="AV52" i="1"/>
  <c r="AW52" i="1"/>
  <c r="K53" i="1"/>
  <c r="L53" i="1"/>
  <c r="M53" i="1"/>
  <c r="N53" i="1"/>
  <c r="O53" i="1"/>
  <c r="P53" i="1"/>
  <c r="Q53" i="1"/>
  <c r="R53" i="1"/>
  <c r="S53" i="1"/>
  <c r="T53" i="1"/>
  <c r="U53" i="1"/>
  <c r="V53" i="1"/>
  <c r="W53" i="1"/>
  <c r="X53" i="1"/>
  <c r="Y53" i="1"/>
  <c r="Z53" i="1"/>
  <c r="AA53" i="1"/>
  <c r="AB53" i="1"/>
  <c r="AC53" i="1"/>
  <c r="AD53" i="1"/>
  <c r="AE53" i="1"/>
  <c r="AF53" i="1"/>
  <c r="AG53" i="1"/>
  <c r="AH53" i="1"/>
  <c r="AI53" i="1"/>
  <c r="AJ53" i="1"/>
  <c r="AK53" i="1"/>
  <c r="AL53" i="1"/>
  <c r="AM53" i="1"/>
  <c r="AN53" i="1"/>
  <c r="AO53" i="1"/>
  <c r="AP53" i="1"/>
  <c r="AQ53" i="1"/>
  <c r="AR53" i="1"/>
  <c r="AS53" i="1"/>
  <c r="AT53" i="1"/>
  <c r="AU53" i="1"/>
  <c r="AV53" i="1"/>
  <c r="AW53" i="1"/>
  <c r="K54" i="1"/>
  <c r="L54" i="1"/>
  <c r="M54" i="1"/>
  <c r="N54" i="1"/>
  <c r="O54" i="1"/>
  <c r="P54" i="1"/>
  <c r="Q54" i="1"/>
  <c r="R54" i="1"/>
  <c r="S54" i="1"/>
  <c r="T54" i="1"/>
  <c r="U54" i="1"/>
  <c r="V54" i="1"/>
  <c r="W54" i="1"/>
  <c r="X54" i="1"/>
  <c r="Y54" i="1"/>
  <c r="Z54" i="1"/>
  <c r="AA54" i="1"/>
  <c r="AB54" i="1"/>
  <c r="AC54" i="1"/>
  <c r="AD54" i="1"/>
  <c r="AE54" i="1"/>
  <c r="AF54" i="1"/>
  <c r="AG54" i="1"/>
  <c r="AH54" i="1"/>
  <c r="AI54" i="1"/>
  <c r="AJ54" i="1"/>
  <c r="AK54" i="1"/>
  <c r="AL54" i="1"/>
  <c r="AM54" i="1"/>
  <c r="AN54" i="1"/>
  <c r="AO54" i="1"/>
  <c r="AP54" i="1"/>
  <c r="AQ54" i="1"/>
  <c r="AR54" i="1"/>
  <c r="AS54" i="1"/>
  <c r="AT54" i="1"/>
  <c r="AU54" i="1"/>
  <c r="AV54" i="1"/>
  <c r="AW54" i="1"/>
  <c r="K55" i="1"/>
  <c r="L55" i="1"/>
  <c r="M55" i="1"/>
  <c r="N55" i="1"/>
  <c r="O55" i="1"/>
  <c r="P55" i="1"/>
  <c r="Q55" i="1"/>
  <c r="R55" i="1"/>
  <c r="S55" i="1"/>
  <c r="T55" i="1"/>
  <c r="U55" i="1"/>
  <c r="V55" i="1"/>
  <c r="W55" i="1"/>
  <c r="X55" i="1"/>
  <c r="Y55" i="1"/>
  <c r="Z55" i="1"/>
  <c r="AA55" i="1"/>
  <c r="AB55" i="1"/>
  <c r="AC55" i="1"/>
  <c r="AD55" i="1"/>
  <c r="AE55" i="1"/>
  <c r="AF55" i="1"/>
  <c r="AG55" i="1"/>
  <c r="AH55" i="1"/>
  <c r="AI55" i="1"/>
  <c r="AJ55" i="1"/>
  <c r="AK55" i="1"/>
  <c r="AL55" i="1"/>
  <c r="AM55" i="1"/>
  <c r="AN55" i="1"/>
  <c r="AO55" i="1"/>
  <c r="AP55" i="1"/>
  <c r="AQ55" i="1"/>
  <c r="AR55" i="1"/>
  <c r="AS55" i="1"/>
  <c r="AT55" i="1"/>
  <c r="AU55" i="1"/>
  <c r="AV55" i="1"/>
  <c r="AW55" i="1"/>
  <c r="K56" i="1"/>
  <c r="L56" i="1"/>
  <c r="M56" i="1"/>
  <c r="N56" i="1"/>
  <c r="O56" i="1"/>
  <c r="P56" i="1"/>
  <c r="Q56" i="1"/>
  <c r="R56" i="1"/>
  <c r="S56" i="1"/>
  <c r="T56" i="1"/>
  <c r="U56" i="1"/>
  <c r="V56" i="1"/>
  <c r="W56" i="1"/>
  <c r="X56" i="1"/>
  <c r="Y56" i="1"/>
  <c r="Z56" i="1"/>
  <c r="AA56" i="1"/>
  <c r="AB56" i="1"/>
  <c r="AC56" i="1"/>
  <c r="AD56" i="1"/>
  <c r="AE56" i="1"/>
  <c r="AF56" i="1"/>
  <c r="AG56" i="1"/>
  <c r="AH56" i="1"/>
  <c r="AI56" i="1"/>
  <c r="AJ56" i="1"/>
  <c r="AK56" i="1"/>
  <c r="AL56" i="1"/>
  <c r="AM56" i="1"/>
  <c r="AN56" i="1"/>
  <c r="AO56" i="1"/>
  <c r="AP56" i="1"/>
  <c r="AQ56" i="1"/>
  <c r="AR56" i="1"/>
  <c r="AS56" i="1"/>
  <c r="AT56" i="1"/>
  <c r="AU56" i="1"/>
  <c r="AV56" i="1"/>
  <c r="AW56" i="1"/>
  <c r="K57" i="1"/>
  <c r="L57" i="1"/>
  <c r="M57" i="1"/>
  <c r="N57" i="1"/>
  <c r="O57" i="1"/>
  <c r="P57" i="1"/>
  <c r="Q57" i="1"/>
  <c r="R57" i="1"/>
  <c r="S57" i="1"/>
  <c r="T57" i="1"/>
  <c r="U57" i="1"/>
  <c r="V57" i="1"/>
  <c r="W57" i="1"/>
  <c r="X57" i="1"/>
  <c r="Y57" i="1"/>
  <c r="Z57" i="1"/>
  <c r="AA57" i="1"/>
  <c r="AB57" i="1"/>
  <c r="AC57" i="1"/>
  <c r="AD57" i="1"/>
  <c r="AE57" i="1"/>
  <c r="AF57" i="1"/>
  <c r="AG57" i="1"/>
  <c r="AH57" i="1"/>
  <c r="AI57" i="1"/>
  <c r="AJ57" i="1"/>
  <c r="AK57" i="1"/>
  <c r="AL57" i="1"/>
  <c r="AM57" i="1"/>
  <c r="AN57" i="1"/>
  <c r="AO57" i="1"/>
  <c r="AP57" i="1"/>
  <c r="AQ57" i="1"/>
  <c r="AR57" i="1"/>
  <c r="AS57" i="1"/>
  <c r="AT57" i="1"/>
  <c r="AU57" i="1"/>
  <c r="AV57" i="1"/>
  <c r="AW57" i="1"/>
  <c r="K58" i="1"/>
  <c r="L58" i="1"/>
  <c r="M58" i="1"/>
  <c r="N58" i="1"/>
  <c r="O58" i="1"/>
  <c r="P58" i="1"/>
  <c r="Q58" i="1"/>
  <c r="R58" i="1"/>
  <c r="S58" i="1"/>
  <c r="T58" i="1"/>
  <c r="U58" i="1"/>
  <c r="V58" i="1"/>
  <c r="W58" i="1"/>
  <c r="X58" i="1"/>
  <c r="Y58" i="1"/>
  <c r="Z58" i="1"/>
  <c r="AA58" i="1"/>
  <c r="AB58" i="1"/>
  <c r="AC58" i="1"/>
  <c r="AD58" i="1"/>
  <c r="AE58" i="1"/>
  <c r="AF58" i="1"/>
  <c r="AG58" i="1"/>
  <c r="AH58" i="1"/>
  <c r="AI58" i="1"/>
  <c r="AJ58" i="1"/>
  <c r="AK58" i="1"/>
  <c r="AL58" i="1"/>
  <c r="AM58" i="1"/>
  <c r="AN58" i="1"/>
  <c r="AO58" i="1"/>
  <c r="AP58" i="1"/>
  <c r="AQ58" i="1"/>
  <c r="AR58" i="1"/>
  <c r="AS58" i="1"/>
  <c r="AT58" i="1"/>
  <c r="AU58" i="1"/>
  <c r="AV58" i="1"/>
  <c r="AW58" i="1"/>
  <c r="K59" i="1"/>
  <c r="L59" i="1"/>
  <c r="M59" i="1"/>
  <c r="N59" i="1"/>
  <c r="O59" i="1"/>
  <c r="P59" i="1"/>
  <c r="Q59" i="1"/>
  <c r="R59" i="1"/>
  <c r="S59" i="1"/>
  <c r="T59" i="1"/>
  <c r="U59" i="1"/>
  <c r="V59" i="1"/>
  <c r="W59" i="1"/>
  <c r="X59" i="1"/>
  <c r="Y59" i="1"/>
  <c r="Z59" i="1"/>
  <c r="AA59" i="1"/>
  <c r="AB59" i="1"/>
  <c r="AC59" i="1"/>
  <c r="AD59" i="1"/>
  <c r="AE59" i="1"/>
  <c r="AF59" i="1"/>
  <c r="AG59" i="1"/>
  <c r="AH59" i="1"/>
  <c r="AI59" i="1"/>
  <c r="AJ59" i="1"/>
  <c r="AK59" i="1"/>
  <c r="AL59" i="1"/>
  <c r="AM59" i="1"/>
  <c r="AN59" i="1"/>
  <c r="AO59" i="1"/>
  <c r="AP59" i="1"/>
  <c r="AQ59" i="1"/>
  <c r="AR59" i="1"/>
  <c r="AS59" i="1"/>
  <c r="AT59" i="1"/>
  <c r="AU59" i="1"/>
  <c r="AV59" i="1"/>
  <c r="AW59" i="1"/>
  <c r="K60" i="1"/>
  <c r="L60" i="1"/>
  <c r="M60" i="1"/>
  <c r="N60" i="1"/>
  <c r="O60" i="1"/>
  <c r="P60" i="1"/>
  <c r="Q60" i="1"/>
  <c r="R60" i="1"/>
  <c r="S60" i="1"/>
  <c r="T60" i="1"/>
  <c r="U60" i="1"/>
  <c r="V60" i="1"/>
  <c r="W60" i="1"/>
  <c r="X60" i="1"/>
  <c r="Y60" i="1"/>
  <c r="Z60" i="1"/>
  <c r="AA60" i="1"/>
  <c r="AB60" i="1"/>
  <c r="AC60" i="1"/>
  <c r="AD60" i="1"/>
  <c r="AE60" i="1"/>
  <c r="AF60" i="1"/>
  <c r="AG60" i="1"/>
  <c r="AH60" i="1"/>
  <c r="AI60" i="1"/>
  <c r="AJ60" i="1"/>
  <c r="AK60" i="1"/>
  <c r="AL60" i="1"/>
  <c r="AM60" i="1"/>
  <c r="AN60" i="1"/>
  <c r="AO60" i="1"/>
  <c r="AP60" i="1"/>
  <c r="AQ60" i="1"/>
  <c r="AR60" i="1"/>
  <c r="AS60" i="1"/>
  <c r="AT60" i="1"/>
  <c r="AU60" i="1"/>
  <c r="AV60" i="1"/>
  <c r="AW60" i="1"/>
  <c r="K61" i="1"/>
  <c r="L61" i="1"/>
  <c r="M61" i="1"/>
  <c r="N61" i="1"/>
  <c r="O61" i="1"/>
  <c r="P61" i="1"/>
  <c r="Q61" i="1"/>
  <c r="R61" i="1"/>
  <c r="S61" i="1"/>
  <c r="T61" i="1"/>
  <c r="U61" i="1"/>
  <c r="V61" i="1"/>
  <c r="W61" i="1"/>
  <c r="X61" i="1"/>
  <c r="Y61" i="1"/>
  <c r="Z61" i="1"/>
  <c r="AA61" i="1"/>
  <c r="AB61" i="1"/>
  <c r="AC61" i="1"/>
  <c r="AD61" i="1"/>
  <c r="AE61" i="1"/>
  <c r="AF61" i="1"/>
  <c r="AG61" i="1"/>
  <c r="AH61" i="1"/>
  <c r="AI61" i="1"/>
  <c r="AJ61" i="1"/>
  <c r="AK61" i="1"/>
  <c r="AL61" i="1"/>
  <c r="AM61" i="1"/>
  <c r="AN61" i="1"/>
  <c r="AO61" i="1"/>
  <c r="AP61" i="1"/>
  <c r="AQ61" i="1"/>
  <c r="AR61" i="1"/>
  <c r="AS61" i="1"/>
  <c r="AT61" i="1"/>
  <c r="AU61" i="1"/>
  <c r="AV61" i="1"/>
  <c r="AW61" i="1"/>
  <c r="K62" i="1"/>
  <c r="L62" i="1"/>
  <c r="M62" i="1"/>
  <c r="N62" i="1"/>
  <c r="O62" i="1"/>
  <c r="P62" i="1"/>
  <c r="Q62" i="1"/>
  <c r="R62" i="1"/>
  <c r="S62" i="1"/>
  <c r="T62" i="1"/>
  <c r="U62" i="1"/>
  <c r="V62" i="1"/>
  <c r="W62" i="1"/>
  <c r="X62" i="1"/>
  <c r="Y62" i="1"/>
  <c r="Z62" i="1"/>
  <c r="AA62" i="1"/>
  <c r="AB62" i="1"/>
  <c r="AC62" i="1"/>
  <c r="AD62" i="1"/>
  <c r="AE62" i="1"/>
  <c r="AF62" i="1"/>
  <c r="AG62" i="1"/>
  <c r="AH62" i="1"/>
  <c r="AI62" i="1"/>
  <c r="AJ62" i="1"/>
  <c r="AK62" i="1"/>
  <c r="AL62" i="1"/>
  <c r="AM62" i="1"/>
  <c r="AN62" i="1"/>
  <c r="AO62" i="1"/>
  <c r="AP62" i="1"/>
  <c r="AQ62" i="1"/>
  <c r="AR62" i="1"/>
  <c r="AS62" i="1"/>
  <c r="AT62" i="1"/>
  <c r="AU62" i="1"/>
  <c r="AV62" i="1"/>
  <c r="AW62" i="1"/>
  <c r="K63" i="1"/>
  <c r="L63" i="1"/>
  <c r="M63" i="1"/>
  <c r="N63" i="1"/>
  <c r="O63" i="1"/>
  <c r="P63" i="1"/>
  <c r="Q63" i="1"/>
  <c r="R63" i="1"/>
  <c r="S63" i="1"/>
  <c r="T63" i="1"/>
  <c r="U63" i="1"/>
  <c r="V63" i="1"/>
  <c r="W63" i="1"/>
  <c r="X63" i="1"/>
  <c r="Y63" i="1"/>
  <c r="Z63" i="1"/>
  <c r="AA63" i="1"/>
  <c r="AB63" i="1"/>
  <c r="AC63" i="1"/>
  <c r="AD63" i="1"/>
  <c r="AE63" i="1"/>
  <c r="AF63" i="1"/>
  <c r="AG63" i="1"/>
  <c r="AH63" i="1"/>
  <c r="AI63" i="1"/>
  <c r="AJ63" i="1"/>
  <c r="AK63" i="1"/>
  <c r="AL63" i="1"/>
  <c r="AM63" i="1"/>
  <c r="AN63" i="1"/>
  <c r="AO63" i="1"/>
  <c r="AP63" i="1"/>
  <c r="AQ63" i="1"/>
  <c r="AR63" i="1"/>
  <c r="AS63" i="1"/>
  <c r="AT63" i="1"/>
  <c r="AU63" i="1"/>
  <c r="AV63" i="1"/>
  <c r="AW63" i="1"/>
  <c r="K64" i="1"/>
  <c r="L64" i="1"/>
  <c r="M64" i="1"/>
  <c r="N64" i="1"/>
  <c r="O64" i="1"/>
  <c r="P64" i="1"/>
  <c r="Q64" i="1"/>
  <c r="R64" i="1"/>
  <c r="S64" i="1"/>
  <c r="T64" i="1"/>
  <c r="U64" i="1"/>
  <c r="V64" i="1"/>
  <c r="W64" i="1"/>
  <c r="X64" i="1"/>
  <c r="Y64" i="1"/>
  <c r="Z64" i="1"/>
  <c r="AA64" i="1"/>
  <c r="AB64" i="1"/>
  <c r="AC64" i="1"/>
  <c r="AD64" i="1"/>
  <c r="AE64" i="1"/>
  <c r="AF64" i="1"/>
  <c r="AG64" i="1"/>
  <c r="AH64" i="1"/>
  <c r="AI64" i="1"/>
  <c r="AJ64" i="1"/>
  <c r="AK64" i="1"/>
  <c r="AL64" i="1"/>
  <c r="AM64" i="1"/>
  <c r="AN64" i="1"/>
  <c r="AO64" i="1"/>
  <c r="AP64" i="1"/>
  <c r="AQ64" i="1"/>
  <c r="AR64" i="1"/>
  <c r="AS64" i="1"/>
  <c r="AT64" i="1"/>
  <c r="AU64" i="1"/>
  <c r="AV64" i="1"/>
  <c r="AW64" i="1"/>
  <c r="K65" i="1"/>
  <c r="L65" i="1"/>
  <c r="M65" i="1"/>
  <c r="N65" i="1"/>
  <c r="O65" i="1"/>
  <c r="P65" i="1"/>
  <c r="Q65" i="1"/>
  <c r="R65" i="1"/>
  <c r="S65" i="1"/>
  <c r="T65" i="1"/>
  <c r="U65" i="1"/>
  <c r="V65" i="1"/>
  <c r="W65" i="1"/>
  <c r="X65" i="1"/>
  <c r="Y65" i="1"/>
  <c r="Z65" i="1"/>
  <c r="AA65" i="1"/>
  <c r="AB65" i="1"/>
  <c r="AC65" i="1"/>
  <c r="AD65" i="1"/>
  <c r="AE65" i="1"/>
  <c r="AF65" i="1"/>
  <c r="AG65" i="1"/>
  <c r="AH65" i="1"/>
  <c r="AI65" i="1"/>
  <c r="AJ65" i="1"/>
  <c r="AK65" i="1"/>
  <c r="AL65" i="1"/>
  <c r="AM65" i="1"/>
  <c r="AN65" i="1"/>
  <c r="AO65" i="1"/>
  <c r="AP65" i="1"/>
  <c r="AQ65" i="1"/>
  <c r="AR65" i="1"/>
  <c r="AS65" i="1"/>
  <c r="AT65" i="1"/>
  <c r="AU65" i="1"/>
  <c r="AV65" i="1"/>
  <c r="AW65" i="1"/>
  <c r="K66" i="1"/>
  <c r="L66" i="1"/>
  <c r="M66" i="1"/>
  <c r="N66" i="1"/>
  <c r="O66" i="1"/>
  <c r="P66" i="1"/>
  <c r="Q66" i="1"/>
  <c r="R66" i="1"/>
  <c r="S66" i="1"/>
  <c r="T66" i="1"/>
  <c r="U66" i="1"/>
  <c r="V66" i="1"/>
  <c r="W66" i="1"/>
  <c r="X66" i="1"/>
  <c r="Y66" i="1"/>
  <c r="Z66" i="1"/>
  <c r="AA66" i="1"/>
  <c r="AB66" i="1"/>
  <c r="AC66" i="1"/>
  <c r="AD66" i="1"/>
  <c r="AE66" i="1"/>
  <c r="AF66" i="1"/>
  <c r="AG66" i="1"/>
  <c r="AH66" i="1"/>
  <c r="AI66" i="1"/>
  <c r="AJ66" i="1"/>
  <c r="AK66" i="1"/>
  <c r="AL66" i="1"/>
  <c r="AM66" i="1"/>
  <c r="AN66" i="1"/>
  <c r="AO66" i="1"/>
  <c r="AP66" i="1"/>
  <c r="AQ66" i="1"/>
  <c r="AR66" i="1"/>
  <c r="AS66" i="1"/>
  <c r="AT66" i="1"/>
  <c r="AU66" i="1"/>
  <c r="AV66" i="1"/>
  <c r="AW66" i="1"/>
  <c r="K67" i="1"/>
  <c r="L67" i="1"/>
  <c r="M67" i="1"/>
  <c r="N67" i="1"/>
  <c r="O67" i="1"/>
  <c r="P67" i="1"/>
  <c r="Q67" i="1"/>
  <c r="R67" i="1"/>
  <c r="S67" i="1"/>
  <c r="T67" i="1"/>
  <c r="U67" i="1"/>
  <c r="V67" i="1"/>
  <c r="W67" i="1"/>
  <c r="X67" i="1"/>
  <c r="Y67" i="1"/>
  <c r="Z67" i="1"/>
  <c r="AA67" i="1"/>
  <c r="AB67" i="1"/>
  <c r="AC67" i="1"/>
  <c r="AD67" i="1"/>
  <c r="AE67" i="1"/>
  <c r="AF67" i="1"/>
  <c r="AG67" i="1"/>
  <c r="AH67" i="1"/>
  <c r="AI67" i="1"/>
  <c r="AJ67" i="1"/>
  <c r="AK67" i="1"/>
  <c r="AL67" i="1"/>
  <c r="AM67" i="1"/>
  <c r="AN67" i="1"/>
  <c r="AO67" i="1"/>
  <c r="AP67" i="1"/>
  <c r="AQ67" i="1"/>
  <c r="AR67" i="1"/>
  <c r="AS67" i="1"/>
  <c r="AT67" i="1"/>
  <c r="AU67" i="1"/>
  <c r="AV67" i="1"/>
  <c r="AW67" i="1"/>
  <c r="K68" i="1"/>
  <c r="L68" i="1"/>
  <c r="M68" i="1"/>
  <c r="N68" i="1"/>
  <c r="O68" i="1"/>
  <c r="P68" i="1"/>
  <c r="Q68" i="1"/>
  <c r="R68" i="1"/>
  <c r="S68" i="1"/>
  <c r="T68" i="1"/>
  <c r="U68" i="1"/>
  <c r="V68" i="1"/>
  <c r="W68" i="1"/>
  <c r="X68" i="1"/>
  <c r="Y68" i="1"/>
  <c r="Z68" i="1"/>
  <c r="AA68" i="1"/>
  <c r="AB68" i="1"/>
  <c r="AC68" i="1"/>
  <c r="AD68" i="1"/>
  <c r="AE68" i="1"/>
  <c r="AF68" i="1"/>
  <c r="AG68" i="1"/>
  <c r="AH68" i="1"/>
  <c r="AI68" i="1"/>
  <c r="AJ68" i="1"/>
  <c r="AK68" i="1"/>
  <c r="AL68" i="1"/>
  <c r="AM68" i="1"/>
  <c r="AN68" i="1"/>
  <c r="AO68" i="1"/>
  <c r="AP68" i="1"/>
  <c r="AQ68" i="1"/>
  <c r="AR68" i="1"/>
  <c r="AS68" i="1"/>
  <c r="AT68" i="1"/>
  <c r="AU68" i="1"/>
  <c r="AV68" i="1"/>
  <c r="AW68" i="1"/>
  <c r="K69" i="1"/>
  <c r="L69" i="1"/>
  <c r="M69" i="1"/>
  <c r="N69" i="1"/>
  <c r="O69" i="1"/>
  <c r="P69" i="1"/>
  <c r="Q69" i="1"/>
  <c r="R69" i="1"/>
  <c r="S69" i="1"/>
  <c r="T69" i="1"/>
  <c r="U69" i="1"/>
  <c r="V69" i="1"/>
  <c r="W69" i="1"/>
  <c r="X69" i="1"/>
  <c r="Y69" i="1"/>
  <c r="Z69" i="1"/>
  <c r="AA69" i="1"/>
  <c r="AB69" i="1"/>
  <c r="AC69" i="1"/>
  <c r="AD69" i="1"/>
  <c r="AE69" i="1"/>
  <c r="AF69" i="1"/>
  <c r="AG69" i="1"/>
  <c r="AH69" i="1"/>
  <c r="AI69" i="1"/>
  <c r="AJ69" i="1"/>
  <c r="AK69" i="1"/>
  <c r="AL69" i="1"/>
  <c r="AM69" i="1"/>
  <c r="AN69" i="1"/>
  <c r="AO69" i="1"/>
  <c r="AP69" i="1"/>
  <c r="AQ69" i="1"/>
  <c r="AR69" i="1"/>
  <c r="AS69" i="1"/>
  <c r="AT69" i="1"/>
  <c r="AU69" i="1"/>
  <c r="AV69" i="1"/>
  <c r="AW69" i="1"/>
  <c r="K70" i="1"/>
  <c r="L70" i="1"/>
  <c r="M70" i="1"/>
  <c r="N70" i="1"/>
  <c r="O70" i="1" s="1"/>
  <c r="P70" i="1"/>
  <c r="Q70" i="1"/>
  <c r="R70" i="1"/>
  <c r="S70" i="1"/>
  <c r="T70" i="1"/>
  <c r="U70" i="1"/>
  <c r="V70" i="1"/>
  <c r="W70" i="1"/>
  <c r="X70" i="1"/>
  <c r="Y70" i="1"/>
  <c r="Z70" i="1"/>
  <c r="AA70" i="1"/>
  <c r="AB70" i="1"/>
  <c r="AC70" i="1"/>
  <c r="AD70" i="1"/>
  <c r="AE70" i="1"/>
  <c r="AF70" i="1"/>
  <c r="AG70" i="1"/>
  <c r="AH70" i="1"/>
  <c r="AI70" i="1"/>
  <c r="AJ70" i="1"/>
  <c r="AK70" i="1"/>
  <c r="AL70" i="1"/>
  <c r="AM70" i="1"/>
  <c r="AN70" i="1"/>
  <c r="AO70" i="1"/>
  <c r="AP70" i="1"/>
  <c r="AQ70" i="1"/>
  <c r="AR70" i="1"/>
  <c r="AS70" i="1"/>
  <c r="AT70" i="1"/>
  <c r="AU70" i="1"/>
  <c r="AV70" i="1"/>
  <c r="AW70" i="1"/>
  <c r="AU11" i="1"/>
  <c r="AS11" i="1"/>
  <c r="AQ11" i="1"/>
  <c r="AO11" i="1"/>
  <c r="AM11" i="1"/>
  <c r="AI11" i="1"/>
  <c r="AG11" i="1"/>
  <c r="AE11" i="1"/>
  <c r="AV11" i="1"/>
  <c r="AW11" i="1" s="1"/>
  <c r="AT11" i="1"/>
  <c r="AR11" i="1"/>
  <c r="J12" i="1"/>
  <c r="J13" i="1"/>
  <c r="J14" i="1"/>
  <c r="J15" i="1"/>
  <c r="J16" i="1"/>
  <c r="K16" i="1" s="1"/>
  <c r="J17" i="1"/>
  <c r="J18" i="1"/>
  <c r="J19"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1" i="1"/>
  <c r="J52" i="1"/>
  <c r="J53" i="1"/>
  <c r="J54" i="1"/>
  <c r="J55" i="1"/>
  <c r="J56" i="1"/>
  <c r="J57" i="1"/>
  <c r="J58" i="1"/>
  <c r="J59" i="1"/>
  <c r="J60" i="1"/>
  <c r="J61" i="1"/>
  <c r="J62" i="1"/>
  <c r="J63" i="1"/>
  <c r="J64" i="1"/>
  <c r="J65" i="1"/>
  <c r="J66" i="1"/>
  <c r="J67" i="1"/>
  <c r="J68" i="1"/>
  <c r="J69" i="1"/>
  <c r="J70" i="1"/>
  <c r="AP11" i="1"/>
  <c r="AN11" i="1"/>
  <c r="AL11" i="1"/>
  <c r="AJ11" i="1"/>
  <c r="AK11" i="1" s="1"/>
  <c r="AH11" i="1"/>
  <c r="AF11" i="1"/>
  <c r="AD11" i="1"/>
  <c r="AB11" i="1"/>
  <c r="AC11" i="1" s="1"/>
  <c r="Z11" i="1"/>
  <c r="AA11" i="1" s="1"/>
  <c r="X11" i="1"/>
  <c r="Y11" i="1" s="1"/>
  <c r="V11" i="1"/>
  <c r="W11" i="1" s="1"/>
  <c r="T11" i="1"/>
  <c r="U11" i="1" s="1"/>
  <c r="R11" i="1"/>
  <c r="S11" i="1" s="1"/>
  <c r="P11" i="1"/>
  <c r="Q11" i="1" s="1"/>
  <c r="N11" i="1"/>
  <c r="O11" i="1" s="1"/>
  <c r="L11" i="1"/>
  <c r="M11" i="1" s="1"/>
  <c r="BD11" i="1" s="1"/>
  <c r="E2" i="6" s="1"/>
  <c r="K11" i="1"/>
  <c r="K71" i="1" l="1"/>
  <c r="AT71" i="1"/>
  <c r="O71" i="1"/>
  <c r="AV71" i="1"/>
  <c r="AR71" i="1"/>
  <c r="AS71" i="1"/>
  <c r="AU71" i="1"/>
  <c r="AW71" i="1"/>
  <c r="AO71" i="1"/>
  <c r="AK71" i="1"/>
  <c r="AG71" i="1"/>
  <c r="AC71" i="1"/>
  <c r="Y71" i="1"/>
  <c r="U71" i="1"/>
  <c r="Q71" i="1"/>
  <c r="M71" i="1"/>
  <c r="AQ71" i="1"/>
  <c r="AM71" i="1"/>
  <c r="AI71" i="1"/>
  <c r="AE71" i="1"/>
  <c r="AA71" i="1"/>
  <c r="W71" i="1"/>
  <c r="S71" i="1"/>
  <c r="H6" i="1" l="1"/>
  <c r="H7" i="1" s="1"/>
</calcChain>
</file>

<file path=xl/sharedStrings.xml><?xml version="1.0" encoding="utf-8"?>
<sst xmlns="http://schemas.openxmlformats.org/spreadsheetml/2006/main" count="75" uniqueCount="61">
  <si>
    <t>Fixed Asset and Depreciation Schedule</t>
  </si>
  <si>
    <t>Asset</t>
  </si>
  <si>
    <t>Useful Life (in years)</t>
  </si>
  <si>
    <t>Cost</t>
  </si>
  <si>
    <t>Fiscal Year put into service 
(yyyy)</t>
  </si>
  <si>
    <t>Enter input to yellow cells only</t>
  </si>
  <si>
    <t>Salvage Value
 (if other than $0)</t>
  </si>
  <si>
    <t>Depreciation Amount by Fiscal Year</t>
  </si>
  <si>
    <t>Category</t>
  </si>
  <si>
    <t>Instructions</t>
  </si>
  <si>
    <t>Cell / Column / Row</t>
  </si>
  <si>
    <t>INPUTS</t>
  </si>
  <si>
    <t>OUTPUTS</t>
  </si>
  <si>
    <t>Fixed Asset and Depreciation Schedule: Instructions</t>
  </si>
  <si>
    <t xml:space="preserve">Column A </t>
  </si>
  <si>
    <t>Enter the acquisition cost of the asset or group of assets.</t>
  </si>
  <si>
    <t xml:space="preserve">Column B </t>
  </si>
  <si>
    <t>Fiscal Year Put Into Service (YYYY)</t>
  </si>
  <si>
    <t xml:space="preserve">Column C </t>
  </si>
  <si>
    <t>Column D</t>
  </si>
  <si>
    <t>Salvage Value (if other than $0)</t>
  </si>
  <si>
    <t>Column E</t>
  </si>
  <si>
    <t>Enter the estimated useful life of the asset or group of assets in years (between 2 and 50). (For "Land," leave blank.)</t>
  </si>
  <si>
    <r>
      <t xml:space="preserve">This worksheet is intended to assist in tracking an organization's fixed assets and annual depreciation estimates.
</t>
    </r>
    <r>
      <rPr>
        <b/>
        <sz val="11"/>
        <color theme="1"/>
        <rFont val="Calibri"/>
        <family val="2"/>
        <scheme val="minor"/>
      </rPr>
      <t xml:space="preserve">Note: </t>
    </r>
    <r>
      <rPr>
        <sz val="11"/>
        <color theme="1"/>
        <rFont val="Calibri"/>
        <family val="2"/>
        <scheme val="minor"/>
      </rPr>
      <t xml:space="preserve">the template assumes that all assets are depreciated on a </t>
    </r>
    <r>
      <rPr>
        <i/>
        <sz val="11"/>
        <color theme="1"/>
        <rFont val="Calibri"/>
        <family val="2"/>
        <scheme val="minor"/>
      </rPr>
      <t>straight-line</t>
    </r>
    <r>
      <rPr>
        <sz val="11"/>
        <color theme="1"/>
        <rFont val="Calibri"/>
        <family val="2"/>
        <scheme val="minor"/>
      </rPr>
      <t xml:space="preserve"> basis. For simplicity, an asset's depreciation estimate for its first and last years in service will be calculated at a</t>
    </r>
    <r>
      <rPr>
        <i/>
        <sz val="11"/>
        <color theme="1"/>
        <rFont val="Calibri"/>
        <family val="2"/>
        <scheme val="minor"/>
      </rPr>
      <t xml:space="preserve"> half-year's</t>
    </r>
    <r>
      <rPr>
        <sz val="11"/>
        <color theme="1"/>
        <rFont val="Calibri"/>
        <family val="2"/>
        <scheme val="minor"/>
      </rPr>
      <t xml:space="preserve"> rate regardless of how many months the asset was actually in service.</t>
    </r>
  </si>
  <si>
    <t>Enter the salvage value of the asset or group of assets (in other words, the estimated amount that can be obtained for the asset after its useful life has ended). In most cases, salvage value is assumed to be $0, in which case this cell may be left blank.</t>
  </si>
  <si>
    <t xml:space="preserve">ANNUAL TOTAL    </t>
  </si>
  <si>
    <r>
      <t>Enter the fiscal year in which the asset or group of assets was put into service, in YYYY format (e.g. 2017).</t>
    </r>
    <r>
      <rPr>
        <b/>
        <sz val="11"/>
        <color theme="1"/>
        <rFont val="Calibri"/>
        <family val="2"/>
        <scheme val="minor"/>
      </rPr>
      <t/>
    </r>
  </si>
  <si>
    <t>Fixed Assets, at cost</t>
  </si>
  <si>
    <t>Accumulated Depreciation as of FYE</t>
  </si>
  <si>
    <t>Current Fiscal Year</t>
  </si>
  <si>
    <t>Prior</t>
  </si>
  <si>
    <t>Fixed Assets, net of depreciation, as of FYE</t>
  </si>
  <si>
    <t>Cell E4</t>
  </si>
  <si>
    <t>Fixed Assets, at Cost</t>
  </si>
  <si>
    <t>Cell E5</t>
  </si>
  <si>
    <t>Accumulated Depreciation, as of Fiscal Year End (FYE)</t>
  </si>
  <si>
    <t>Calculates the total value (cost basis) of all fixed assets on the schedule.</t>
  </si>
  <si>
    <t>Calculates the total accumulated depreciation of all fixed assets on the schedule as of the end of the current fiscal year (entered in cell E4).</t>
  </si>
  <si>
    <t>Cell E6</t>
  </si>
  <si>
    <t>Calculates the current book value of the organization's fixed assets (original cost minus accumulated depreciation) as of the end of the current fiscal year.</t>
  </si>
  <si>
    <t>Cell E7</t>
  </si>
  <si>
    <t>Calculates annual depreciation estimates for each individual asset or group of assets in columns H and following. Additionally, the template will calculate the organization's total annual depreciation estimate on row 67, columns H and following.</t>
  </si>
  <si>
    <t>Columns H - AT</t>
  </si>
  <si>
    <r>
      <t xml:space="preserve">Enter the name of the individual asset or group of assets being depreciated (e.g. van, copier, computers).
</t>
    </r>
    <r>
      <rPr>
        <b/>
        <sz val="11"/>
        <color theme="1"/>
        <rFont val="Calibri"/>
        <family val="2"/>
        <scheme val="minor"/>
      </rPr>
      <t xml:space="preserve">Note: </t>
    </r>
    <r>
      <rPr>
        <sz val="11"/>
        <color theme="1"/>
        <rFont val="Calibri"/>
        <family val="2"/>
        <scheme val="minor"/>
      </rPr>
      <t>use the "+" buttons in the left-hand margin of the template to open additional rows as needed.</t>
    </r>
  </si>
  <si>
    <t>Enter the current fiscal year in YYYY format (e.g. 2022).</t>
  </si>
  <si>
    <t>PostingDate</t>
  </si>
  <si>
    <t>EffectiveDate</t>
  </si>
  <si>
    <t>InstrumentId</t>
  </si>
  <si>
    <t>AttributeId</t>
  </si>
  <si>
    <t>BALANCES_ENDINGBALANCE_ASSETCOST</t>
  </si>
  <si>
    <t>ATTRIBUTE_USEFUL_LIFE_CURRENT</t>
  </si>
  <si>
    <t>ATTRIBUTE_ACQUISITION_YEAR_CURRENT</t>
  </si>
  <si>
    <t>ATTRIBUTE_SALVAGE_VALUE_CURRENT</t>
  </si>
  <si>
    <t>ATTRIBUTE_ASSET_NAME_CURRENT</t>
  </si>
  <si>
    <t>AtrributeID</t>
  </si>
  <si>
    <t>InstrumentID</t>
  </si>
  <si>
    <t>AttributeID</t>
  </si>
  <si>
    <t>TransactionName</t>
  </si>
  <si>
    <t>Amount</t>
  </si>
  <si>
    <t>Transaction</t>
  </si>
  <si>
    <t>TransactionDate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</si>
</sst>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2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name val="Arial"/>
      <family val="2"/>
    </font>
    <font>
      <b/>
      <sz val="10"/>
      <name val="Arial"/>
      <family val="2"/>
    </font>
    <font>
      <b/>
      <sz val="16"/>
      <color theme="1"/>
      <name val="Arial"/>
      <family val="2"/>
    </font>
    <font>
      <i/>
      <sz val="10"/>
      <name val="Arial"/>
      <family val="2"/>
    </font>
    <font>
      <b/>
      <sz val="14"/>
      <color theme="1"/>
      <name val="Arial"/>
      <family val="2"/>
    </font>
    <font>
      <b/>
      <sz val="10"/>
      <color theme="0"/>
      <name val="Arial"/>
      <family val="2"/>
    </font>
    <font>
      <b/>
      <i/>
      <u/>
      <sz val="11"/>
      <color theme="1"/>
      <name val="Calibri"/>
      <family val="2"/>
      <scheme val="minor"/>
    </font>
    <font>
      <i/>
      <sz val="11"/>
      <color theme="1"/>
      <name val="Calibri"/>
      <family val="2"/>
      <scheme val="minor"/>
    </font>
    <font>
      <i/>
      <sz val="9"/>
      <name val="Arial"/>
      <family val="2"/>
    </font>
    <font>
      <i/>
      <sz val="11"/>
      <color theme="0"/>
      <name val="Calibri"/>
      <family val="2"/>
      <scheme val="minor"/>
    </font>
    <font>
      <b/>
      <i/>
      <sz val="8"/>
      <name val="Arial"/>
      <family val="2"/>
    </font>
    <font>
      <sz val="11"/>
      <color theme="1"/>
      <name val="Calibri"/>
      <family val="2"/>
      <scheme val="minor"/>
    </font>
    <font>
      <b/>
      <sz val="10"/>
      <color theme="1"/>
      <name val="Arial"/>
      <family val="2"/>
    </font>
    <font>
      <sz val="10"/>
      <color theme="1"/>
      <name val="Arial"/>
      <family val="2"/>
    </font>
    <font>
      <b/>
      <sz val="11"/>
      <color theme="1"/>
      <name val="Calibri"/>
      <family val="2"/>
      <charset val="1"/>
    </font>
    <font>
      <b/>
      <sz val="11"/>
      <color theme="1"/>
      <name val="Calibri"/>
      <family val="2"/>
    </font>
  </fonts>
  <fills count="9">
    <fill>
      <patternFill patternType="none"/>
    </fill>
    <fill>
      <patternFill patternType="gray125"/>
    </fill>
    <fill>
      <patternFill patternType="solid">
        <fgColor rgb="FFFFFF99"/>
        <bgColor indexed="64"/>
      </patternFill>
    </fill>
    <fill>
      <patternFill patternType="solid">
        <fgColor rgb="FF000080"/>
        <bgColor indexed="64"/>
      </patternFill>
    </fill>
    <fill>
      <patternFill patternType="solid">
        <fgColor rgb="FF3366FF"/>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rgb="FFC5E0B4"/>
      </patternFill>
    </fill>
    <fill>
      <patternFill patternType="solid">
        <fgColor rgb="FFFFFF00"/>
        <bgColor rgb="FFFFFF00"/>
      </patternFill>
    </fill>
  </fills>
  <borders count="17">
    <border>
      <left/>
      <right/>
      <top/>
      <bottom/>
      <diagonal/>
    </border>
    <border>
      <left/>
      <right/>
      <top/>
      <bottom style="thin">
        <color indexed="22"/>
      </bottom>
      <diagonal/>
    </border>
    <border>
      <left style="thin">
        <color indexed="64"/>
      </left>
      <right style="thin">
        <color indexed="64"/>
      </right>
      <top style="thin">
        <color indexed="22"/>
      </top>
      <bottom style="thin">
        <color indexed="22"/>
      </bottom>
      <diagonal/>
    </border>
    <border>
      <left/>
      <right style="thin">
        <color auto="1"/>
      </right>
      <top/>
      <bottom/>
      <diagonal/>
    </border>
    <border>
      <left style="thin">
        <color indexed="64"/>
      </left>
      <right style="thin">
        <color indexed="64"/>
      </right>
      <top/>
      <bottom style="thin">
        <color theme="0" tint="-0.2499465926084170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4" fillId="0" borderId="0"/>
    <xf numFmtId="44" fontId="15" fillId="0" borderId="0" applyFont="0" applyFill="0" applyBorder="0" applyAlignment="0" applyProtection="0"/>
    <xf numFmtId="0" fontId="15" fillId="0" borderId="0"/>
  </cellStyleXfs>
  <cellXfs count="77">
    <xf numFmtId="0" fontId="0" fillId="0" borderId="0" xfId="0"/>
    <xf numFmtId="164" fontId="4" fillId="2" borderId="2" xfId="1" applyNumberFormat="1" applyFill="1" applyBorder="1" applyAlignment="1">
      <alignment vertical="center"/>
    </xf>
    <xf numFmtId="1" fontId="4" fillId="2" borderId="2" xfId="1" applyNumberFormat="1" applyFill="1" applyBorder="1" applyAlignment="1">
      <alignment horizontal="center" vertical="center"/>
    </xf>
    <xf numFmtId="0" fontId="3" fillId="4" borderId="3" xfId="0" applyFont="1" applyFill="1" applyBorder="1" applyAlignment="1">
      <alignment horizontal="center" wrapText="1"/>
    </xf>
    <xf numFmtId="164" fontId="4" fillId="5" borderId="4" xfId="1" applyNumberFormat="1" applyFill="1" applyBorder="1" applyAlignment="1">
      <alignment vertical="center"/>
    </xf>
    <xf numFmtId="164" fontId="4" fillId="5" borderId="9" xfId="1" applyNumberFormat="1" applyFill="1" applyBorder="1" applyAlignment="1">
      <alignment vertical="center"/>
    </xf>
    <xf numFmtId="164" fontId="5" fillId="5" borderId="11" xfId="1" applyNumberFormat="1" applyFont="1" applyFill="1" applyBorder="1" applyAlignment="1">
      <alignment vertical="center"/>
    </xf>
    <xf numFmtId="0" fontId="9" fillId="5" borderId="11" xfId="0" applyNumberFormat="1" applyFont="1" applyFill="1" applyBorder="1" applyAlignment="1"/>
    <xf numFmtId="0" fontId="9" fillId="5" borderId="11" xfId="0" applyNumberFormat="1" applyFont="1" applyFill="1" applyBorder="1"/>
    <xf numFmtId="0" fontId="10"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7" fillId="0" borderId="0" xfId="1" applyFont="1" applyProtection="1"/>
    <xf numFmtId="0" fontId="1" fillId="3" borderId="0" xfId="0" applyFont="1" applyFill="1" applyAlignment="1">
      <alignment horizontal="left"/>
    </xf>
    <xf numFmtId="0" fontId="12" fillId="0" borderId="0" xfId="1" applyFont="1" applyAlignment="1" applyProtection="1">
      <alignment horizontal="left" vertical="top" wrapText="1"/>
    </xf>
    <xf numFmtId="0" fontId="0" fillId="0" borderId="0" xfId="0" applyAlignment="1">
      <alignment horizontal="left" vertical="center" wrapText="1"/>
    </xf>
    <xf numFmtId="164" fontId="5" fillId="5" borderId="10" xfId="1" applyNumberFormat="1" applyFont="1" applyFill="1" applyBorder="1" applyAlignment="1">
      <alignment vertical="center"/>
    </xf>
    <xf numFmtId="0" fontId="13" fillId="4" borderId="0" xfId="0" applyFont="1" applyFill="1" applyBorder="1" applyAlignment="1">
      <alignment horizontal="center" wrapText="1"/>
    </xf>
    <xf numFmtId="0" fontId="13" fillId="4" borderId="3" xfId="0" applyFont="1" applyFill="1" applyBorder="1" applyAlignment="1">
      <alignment horizontal="center" wrapText="1"/>
    </xf>
    <xf numFmtId="0" fontId="7" fillId="0" borderId="0" xfId="1" applyFont="1" applyFill="1" applyBorder="1" applyAlignment="1">
      <alignment horizontal="center" vertical="center" wrapText="1"/>
    </xf>
    <xf numFmtId="0" fontId="0" fillId="0" borderId="0" xfId="0" applyAlignment="1">
      <alignment horizontal="left" vertical="center" wrapText="1"/>
    </xf>
    <xf numFmtId="0" fontId="1" fillId="3" borderId="0" xfId="0" applyFont="1" applyFill="1" applyAlignment="1">
      <alignment horizontal="left"/>
    </xf>
    <xf numFmtId="0" fontId="14" fillId="2" borderId="11" xfId="1" applyFont="1" applyFill="1" applyBorder="1" applyAlignment="1">
      <alignment horizontal="center" vertical="center" wrapText="1"/>
    </xf>
    <xf numFmtId="0" fontId="0" fillId="0" borderId="0" xfId="0" applyAlignment="1">
      <alignment horizontal="left" vertical="center" wrapText="1"/>
    </xf>
    <xf numFmtId="0" fontId="6" fillId="0" borderId="12" xfId="0" applyFont="1" applyBorder="1" applyAlignment="1">
      <alignment horizontal="center" vertical="center"/>
    </xf>
    <xf numFmtId="0" fontId="0" fillId="0" borderId="10" xfId="0" applyBorder="1"/>
    <xf numFmtId="0" fontId="6" fillId="0" borderId="13" xfId="0" applyFont="1" applyBorder="1" applyAlignment="1">
      <alignment horizontal="center" vertical="center"/>
    </xf>
    <xf numFmtId="0" fontId="0" fillId="0" borderId="0" xfId="0" applyBorder="1"/>
    <xf numFmtId="0" fontId="6" fillId="0" borderId="14" xfId="0" applyFont="1" applyBorder="1" applyAlignment="1">
      <alignment horizontal="center" vertical="center"/>
    </xf>
    <xf numFmtId="0" fontId="0" fillId="0" borderId="15" xfId="0" applyBorder="1"/>
    <xf numFmtId="0" fontId="16" fillId="0" borderId="15" xfId="0" applyFont="1" applyBorder="1" applyAlignment="1">
      <alignment horizontal="right" vertical="center" indent="1"/>
    </xf>
    <xf numFmtId="0" fontId="17" fillId="0" borderId="0" xfId="0" applyFont="1" applyBorder="1" applyAlignment="1">
      <alignment horizontal="center" vertical="center"/>
    </xf>
    <xf numFmtId="0" fontId="17" fillId="0" borderId="0" xfId="0" applyFont="1" applyBorder="1" applyAlignment="1">
      <alignment horizontal="right" vertical="center" indent="1"/>
    </xf>
    <xf numFmtId="0" fontId="17" fillId="0" borderId="16" xfId="0" applyFont="1" applyBorder="1" applyAlignment="1">
      <alignment horizontal="center" vertical="center"/>
    </xf>
    <xf numFmtId="0" fontId="17" fillId="0" borderId="8" xfId="0" applyFont="1" applyBorder="1" applyAlignment="1">
      <alignment horizontal="center" vertical="center"/>
    </xf>
    <xf numFmtId="0" fontId="17" fillId="0" borderId="8" xfId="0" applyFont="1" applyBorder="1" applyAlignment="1">
      <alignment horizontal="right" vertical="center" indent="1"/>
    </xf>
    <xf numFmtId="0" fontId="17" fillId="2" borderId="11" xfId="0" applyFont="1" applyFill="1" applyBorder="1" applyAlignment="1">
      <alignment horizontal="center" vertical="center"/>
    </xf>
    <xf numFmtId="164" fontId="16" fillId="6" borderId="11" xfId="0" applyNumberFormat="1" applyFont="1" applyFill="1" applyBorder="1" applyAlignment="1">
      <alignment horizontal="center" vertical="center"/>
    </xf>
    <xf numFmtId="0" fontId="17" fillId="0" borderId="10" xfId="0" applyFont="1" applyBorder="1" applyAlignment="1">
      <alignment horizontal="right" vertical="center" indent="1"/>
    </xf>
    <xf numFmtId="164" fontId="17" fillId="6" borderId="11" xfId="0" applyNumberFormat="1" applyFont="1" applyFill="1" applyBorder="1" applyAlignment="1">
      <alignment horizontal="center" vertical="center"/>
    </xf>
    <xf numFmtId="164" fontId="17" fillId="6" borderId="11" xfId="2" applyNumberFormat="1" applyFont="1" applyFill="1" applyBorder="1" applyAlignment="1">
      <alignment horizontal="center" vertical="center"/>
    </xf>
    <xf numFmtId="0" fontId="0" fillId="0" borderId="0" xfId="0" applyAlignment="1">
      <alignment vertical="center" wrapText="1"/>
    </xf>
    <xf numFmtId="0" fontId="0" fillId="0" borderId="0" xfId="0" applyAlignment="1">
      <alignment vertical="center"/>
    </xf>
    <xf numFmtId="0" fontId="12" fillId="0" borderId="0" xfId="1" applyFont="1" applyAlignment="1" applyProtection="1">
      <alignment horizontal="left" vertical="top" wrapText="1"/>
    </xf>
    <xf numFmtId="0" fontId="1" fillId="3" borderId="0" xfId="0" applyFont="1" applyFill="1" applyBorder="1" applyAlignment="1">
      <alignment horizontal="center"/>
    </xf>
    <xf numFmtId="0" fontId="1" fillId="3" borderId="1" xfId="0" applyFont="1" applyFill="1" applyBorder="1" applyAlignment="1">
      <alignment horizontal="center"/>
    </xf>
    <xf numFmtId="14" fontId="18" fillId="0" borderId="0" xfId="3" applyNumberFormat="1" applyFont="1"/>
    <xf numFmtId="14" fontId="18" fillId="0" borderId="0" xfId="0" applyNumberFormat="1" applyFont="1"/>
    <xf numFmtId="0" fontId="18" fillId="0" borderId="0" xfId="3" applyFont="1"/>
    <xf numFmtId="0" fontId="2" fillId="7" borderId="0" xfId="3" applyFont="1" applyFill="1"/>
    <xf numFmtId="14" fontId="18" fillId="7" borderId="0" xfId="3" applyNumberFormat="1" applyFont="1" applyFill="1"/>
    <xf numFmtId="14" fontId="0" fillId="0" borderId="0" xfId="0" applyNumberFormat="1"/>
    <xf numFmtId="1" fontId="4" fillId="2" borderId="2" xfId="1" applyNumberFormat="1" applyFill="1" applyBorder="1" applyAlignment="1">
      <alignment vertical="center"/>
    </xf>
    <xf numFmtId="14" fontId="4" fillId="2" borderId="2" xfId="1" applyNumberFormat="1" applyFill="1" applyBorder="1" applyAlignment="1">
      <alignment vertical="center"/>
    </xf>
    <xf numFmtId="164" fontId="0" fillId="0" borderId="0" xfId="0" applyNumberFormat="1"/>
    <xf numFmtId="1" fontId="0" fillId="0" borderId="0" xfId="0" applyNumberFormat="1"/>
    <xf numFmtId="14" fontId="19" fillId="0" borderId="0" xfId="3" applyNumberFormat="1" applyFont="1"/>
    <xf numFmtId="0" fontId="19" fillId="0" borderId="0" xfId="3" applyFont="1"/>
    <xf numFmtId="0" fontId="2" fillId="0" borderId="0" xfId="0" applyFont="1"/>
    <xf numFmtId="0" fontId="8" fillId="0" borderId="0" xfId="0" applyFont="1"/>
    <xf numFmtId="0" fontId="0" fillId="0" borderId="0" xfId="0" applyAlignment="1">
      <alignment horizontal="left" vertical="center" wrapText="1"/>
    </xf>
    <xf numFmtId="0" fontId="1" fillId="3" borderId="0" xfId="0" applyFont="1" applyFill="1" applyAlignment="1">
      <alignment horizontal="center"/>
    </xf>
    <xf numFmtId="0" fontId="1" fillId="3" borderId="0" xfId="0" applyFont="1" applyFill="1" applyAlignment="1">
      <alignment horizontal="left"/>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2" fillId="0" borderId="10" xfId="0" applyFont="1" applyBorder="1" applyAlignment="1">
      <alignment horizontal="right"/>
    </xf>
    <xf numFmtId="0" fontId="1" fillId="3" borderId="0" xfId="0" applyFont="1" applyFill="1" applyBorder="1" applyAlignment="1">
      <alignment horizontal="center"/>
    </xf>
    <xf numFmtId="0" fontId="1" fillId="3" borderId="1" xfId="0" applyFont="1" applyFill="1" applyBorder="1" applyAlignment="1">
      <alignment horizontal="center"/>
    </xf>
    <xf numFmtId="0" fontId="1" fillId="3" borderId="0" xfId="0" applyFont="1" applyFill="1" applyBorder="1" applyAlignment="1">
      <alignment horizontal="center" wrapText="1"/>
    </xf>
    <xf numFmtId="0" fontId="1" fillId="3" borderId="1" xfId="0" applyFont="1" applyFill="1" applyBorder="1" applyAlignment="1">
      <alignment horizontal="center" wrapText="1"/>
    </xf>
    <xf numFmtId="14" fontId="0" fillId="8" borderId="0" xfId="3" applyNumberFormat="1" applyFont="1" applyFill="1"/>
    <xf numFmtId="0" fontId="0" fillId="0" borderId="0" xfId="3" applyFont="1"/>
    <xf numFmtId="3" fontId="0" fillId="0" borderId="0" xfId="0" applyNumberFormat="1" applyAlignment="1">
      <alignment vertical="center" wrapText="1"/>
    </xf>
  </cellXfs>
  <cellStyles count="4">
    <cellStyle name="Currency" xfId="2" builtinId="4"/>
    <cellStyle name="Normal" xfId="0" builtinId="0"/>
    <cellStyle name="Normal 2" xfId="3" xr:uid="{EB5097B2-FD87-4F25-A32A-902773C64920}"/>
    <cellStyle name="Normal 4" xfId="1" xr:uid="{00000000-0005-0000-0000-000002000000}"/>
  </cellStyles>
  <dxfs count="0"/>
  <tableStyles count="0" defaultTableStyle="TableStyleMedium9" defaultPivotStyle="PivotStyleLight16"/>
  <colors>
    <mruColors>
      <color rgb="FFFFFF99"/>
      <color rgb="FFC0C0C0"/>
      <color rgb="FF0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7120</xdr:colOff>
      <xdr:row>0</xdr:row>
      <xdr:rowOff>44450</xdr:rowOff>
    </xdr:from>
    <xdr:to>
      <xdr:col>1</xdr:col>
      <xdr:colOff>9525</xdr:colOff>
      <xdr:row>3</xdr:row>
      <xdr:rowOff>247650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120" y="44450"/>
          <a:ext cx="1745480" cy="974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90162</xdr:colOff>
      <xdr:row>0</xdr:row>
      <xdr:rowOff>0</xdr:rowOff>
    </xdr:from>
    <xdr:to>
      <xdr:col>0</xdr:col>
      <xdr:colOff>1507920</xdr:colOff>
      <xdr:row>2</xdr:row>
      <xdr:rowOff>151293</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0162" y="0"/>
          <a:ext cx="1417758" cy="8275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C24"/>
  <sheetViews>
    <sheetView workbookViewId="0">
      <selection activeCell="C2" sqref="C2"/>
    </sheetView>
  </sheetViews>
  <sheetFormatPr defaultRowHeight="15" x14ac:dyDescent="0.25"/>
  <cols>
    <col min="1" max="1" width="25" customWidth="1"/>
    <col min="2" max="2" width="93" customWidth="1"/>
    <col min="3" max="3" width="23.85546875" customWidth="1"/>
  </cols>
  <sheetData>
    <row r="1" spans="1:3" ht="20.25" customHeight="1" x14ac:dyDescent="0.25"/>
    <row r="2" spans="1:3" ht="20.25" customHeight="1" x14ac:dyDescent="0.25"/>
    <row r="3" spans="1:3" ht="20.25" customHeight="1" x14ac:dyDescent="0.25"/>
    <row r="4" spans="1:3" ht="20.25" customHeight="1" x14ac:dyDescent="0.25"/>
    <row r="5" spans="1:3" ht="18" customHeight="1" x14ac:dyDescent="0.25">
      <c r="A5" s="62" t="s">
        <v>13</v>
      </c>
      <c r="B5" s="62"/>
    </row>
    <row r="6" spans="1:3" ht="76.5" customHeight="1" x14ac:dyDescent="0.25">
      <c r="A6" s="63" t="s">
        <v>23</v>
      </c>
      <c r="B6" s="63"/>
      <c r="C6" s="63"/>
    </row>
    <row r="7" spans="1:3" ht="9" customHeight="1" x14ac:dyDescent="0.25"/>
    <row r="8" spans="1:3" x14ac:dyDescent="0.25">
      <c r="A8" s="7" t="s">
        <v>8</v>
      </c>
      <c r="B8" s="8" t="s">
        <v>9</v>
      </c>
      <c r="C8" s="8" t="s">
        <v>10</v>
      </c>
    </row>
    <row r="9" spans="1:3" ht="26.25" customHeight="1" x14ac:dyDescent="0.25">
      <c r="A9" s="9" t="s">
        <v>11</v>
      </c>
      <c r="B9" s="10"/>
      <c r="C9" s="11"/>
    </row>
    <row r="10" spans="1:3" ht="33" customHeight="1" x14ac:dyDescent="0.25">
      <c r="A10" s="10" t="s">
        <v>29</v>
      </c>
      <c r="B10" s="26" t="s">
        <v>44</v>
      </c>
      <c r="C10" s="11" t="s">
        <v>32</v>
      </c>
    </row>
    <row r="11" spans="1:3" ht="62.25" customHeight="1" x14ac:dyDescent="0.25">
      <c r="A11" s="10" t="s">
        <v>1</v>
      </c>
      <c r="B11" s="14" t="s">
        <v>43</v>
      </c>
      <c r="C11" s="11" t="s">
        <v>14</v>
      </c>
    </row>
    <row r="12" spans="1:3" ht="26.25" customHeight="1" x14ac:dyDescent="0.25">
      <c r="A12" s="10" t="s">
        <v>3</v>
      </c>
      <c r="B12" s="10" t="s">
        <v>15</v>
      </c>
      <c r="C12" s="11" t="s">
        <v>16</v>
      </c>
    </row>
    <row r="13" spans="1:3" ht="39" customHeight="1" x14ac:dyDescent="0.25">
      <c r="A13" s="12" t="s">
        <v>17</v>
      </c>
      <c r="B13" s="18" t="s">
        <v>26</v>
      </c>
      <c r="C13" s="13" t="s">
        <v>18</v>
      </c>
    </row>
    <row r="14" spans="1:3" ht="39" customHeight="1" x14ac:dyDescent="0.25">
      <c r="A14" s="10" t="s">
        <v>2</v>
      </c>
      <c r="B14" s="14" t="s">
        <v>22</v>
      </c>
      <c r="C14" s="13" t="s">
        <v>19</v>
      </c>
    </row>
    <row r="15" spans="1:3" ht="54" customHeight="1" x14ac:dyDescent="0.25">
      <c r="A15" s="12" t="s">
        <v>20</v>
      </c>
      <c r="B15" s="23" t="s">
        <v>24</v>
      </c>
      <c r="C15" s="13" t="s">
        <v>21</v>
      </c>
    </row>
    <row r="16" spans="1:3" ht="20.25" customHeight="1" x14ac:dyDescent="0.25">
      <c r="A16" s="9"/>
      <c r="B16" s="10"/>
      <c r="C16" s="11"/>
    </row>
    <row r="17" spans="1:3" ht="26.25" customHeight="1" x14ac:dyDescent="0.25">
      <c r="A17" s="9" t="s">
        <v>12</v>
      </c>
      <c r="B17" s="10"/>
      <c r="C17" s="11"/>
    </row>
    <row r="18" spans="1:3" ht="26.25" customHeight="1" x14ac:dyDescent="0.25">
      <c r="A18" s="45" t="s">
        <v>33</v>
      </c>
      <c r="B18" s="26" t="s">
        <v>36</v>
      </c>
      <c r="C18" s="13" t="s">
        <v>34</v>
      </c>
    </row>
    <row r="19" spans="1:3" ht="42.75" customHeight="1" x14ac:dyDescent="0.25">
      <c r="A19" s="44" t="s">
        <v>35</v>
      </c>
      <c r="B19" s="26" t="s">
        <v>37</v>
      </c>
      <c r="C19" s="13" t="s">
        <v>38</v>
      </c>
    </row>
    <row r="20" spans="1:3" ht="42.75" customHeight="1" x14ac:dyDescent="0.25">
      <c r="A20" s="44" t="s">
        <v>31</v>
      </c>
      <c r="B20" s="26" t="s">
        <v>39</v>
      </c>
      <c r="C20" s="13" t="s">
        <v>40</v>
      </c>
    </row>
    <row r="21" spans="1:3" ht="51" customHeight="1" x14ac:dyDescent="0.25">
      <c r="A21" s="44" t="s">
        <v>7</v>
      </c>
      <c r="B21" s="44" t="s">
        <v>41</v>
      </c>
      <c r="C21" s="13" t="s">
        <v>42</v>
      </c>
    </row>
    <row r="22" spans="1:3" ht="18" customHeight="1" x14ac:dyDescent="0.25">
      <c r="A22" s="44"/>
      <c r="B22" s="44"/>
      <c r="C22" s="44"/>
    </row>
    <row r="24" spans="1:3" x14ac:dyDescent="0.25">
      <c r="B24" s="15"/>
    </row>
  </sheetData>
  <mergeCells count="2">
    <mergeCell ref="A5:B5"/>
    <mergeCell ref="A6:C6"/>
  </mergeCells>
  <pageMargins left="0.7" right="0.7" top="0.75" bottom="0.75" header="0.3" footer="0.3"/>
  <pageSetup scale="86" fitToHeight="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D50E8-639D-43A0-8C3E-5E8113A5494F}">
  <sheetPr>
    <tabColor rgb="FFFFC000"/>
  </sheetPr>
  <dimension ref="A1:I11"/>
  <sheetViews>
    <sheetView workbookViewId="0">
      <selection activeCell="A2" sqref="A2:XFD11"/>
    </sheetView>
  </sheetViews>
  <sheetFormatPr defaultRowHeight="15" x14ac:dyDescent="0.25"/>
  <cols>
    <col min="1" max="1" width="11.7109375" bestFit="1" customWidth="1"/>
    <col min="2" max="2" width="13.140625" bestFit="1" customWidth="1"/>
    <col min="3" max="3" width="45.85546875" customWidth="1"/>
    <col min="4" max="4" width="29.140625" customWidth="1"/>
    <col min="5" max="5" width="38.28515625" bestFit="1" customWidth="1"/>
    <col min="6" max="6" width="39.28515625" bestFit="1" customWidth="1"/>
    <col min="7" max="7" width="32.7109375" bestFit="1" customWidth="1"/>
    <col min="8" max="8" width="36.7109375" bestFit="1" customWidth="1"/>
    <col min="9" max="9" width="20.5703125" customWidth="1"/>
  </cols>
  <sheetData>
    <row r="1" spans="1:9" x14ac:dyDescent="0.25">
      <c r="A1" s="49" t="s">
        <v>45</v>
      </c>
      <c r="B1" s="50" t="s">
        <v>46</v>
      </c>
      <c r="C1" s="51" t="s">
        <v>47</v>
      </c>
      <c r="D1" s="51" t="s">
        <v>48</v>
      </c>
      <c r="E1" s="52" t="s">
        <v>49</v>
      </c>
      <c r="F1" s="53" t="s">
        <v>53</v>
      </c>
      <c r="G1" s="53" t="s">
        <v>51</v>
      </c>
      <c r="H1" s="53" t="s">
        <v>50</v>
      </c>
      <c r="I1" s="53" t="s">
        <v>52</v>
      </c>
    </row>
    <row r="2" spans="1:9" x14ac:dyDescent="0.25">
      <c r="A2" s="74"/>
      <c r="B2" s="74"/>
      <c r="C2" s="75"/>
      <c r="D2" s="75"/>
      <c r="E2" s="76"/>
      <c r="F2" s="75"/>
      <c r="G2" s="44"/>
      <c r="H2" s="44"/>
      <c r="I2" s="76"/>
    </row>
    <row r="3" spans="1:9" x14ac:dyDescent="0.25">
      <c r="A3" s="74"/>
      <c r="B3" s="74"/>
      <c r="C3" s="75"/>
      <c r="D3" s="75"/>
      <c r="E3" s="76"/>
      <c r="F3" s="75"/>
      <c r="G3" s="44"/>
      <c r="H3" s="44"/>
      <c r="I3" s="76"/>
    </row>
    <row r="4" spans="1:9" x14ac:dyDescent="0.25">
      <c r="A4" s="74"/>
      <c r="B4" s="74"/>
      <c r="C4" s="75"/>
      <c r="D4" s="75"/>
      <c r="E4" s="76"/>
      <c r="F4" s="75"/>
      <c r="G4" s="44"/>
      <c r="H4" s="44"/>
      <c r="I4" s="76"/>
    </row>
    <row r="5" spans="1:9" x14ac:dyDescent="0.25">
      <c r="A5" s="74"/>
      <c r="B5" s="74"/>
      <c r="D5" s="75"/>
      <c r="E5" s="76"/>
      <c r="G5" s="44"/>
      <c r="H5" s="44"/>
      <c r="I5" s="76"/>
    </row>
    <row r="6" spans="1:9" x14ac:dyDescent="0.25">
      <c r="A6" s="74"/>
      <c r="B6" s="74"/>
      <c r="D6" s="75"/>
      <c r="E6" s="76"/>
      <c r="G6" s="44"/>
      <c r="H6" s="44"/>
      <c r="I6" s="76"/>
    </row>
    <row r="7" spans="1:9" x14ac:dyDescent="0.25">
      <c r="A7" s="74"/>
      <c r="B7" s="74"/>
      <c r="D7" s="75"/>
      <c r="E7" s="76"/>
      <c r="G7" s="44"/>
      <c r="H7" s="44"/>
      <c r="I7" s="76"/>
    </row>
    <row r="8" spans="1:9" x14ac:dyDescent="0.25">
      <c r="A8" s="74"/>
      <c r="B8" s="74"/>
      <c r="D8" s="75"/>
      <c r="E8" s="76"/>
      <c r="G8" s="44"/>
      <c r="H8" s="44"/>
      <c r="I8" s="76"/>
    </row>
    <row r="9" spans="1:9" x14ac:dyDescent="0.25">
      <c r="A9" s="74"/>
      <c r="B9" s="74"/>
      <c r="D9" s="75"/>
      <c r="E9" s="76"/>
      <c r="G9" s="44"/>
      <c r="H9" s="44"/>
      <c r="I9" s="76"/>
    </row>
    <row r="10" spans="1:9" x14ac:dyDescent="0.25">
      <c r="A10" s="74"/>
      <c r="B10" s="74"/>
      <c r="D10" s="75"/>
      <c r="E10" s="76"/>
      <c r="G10" s="44"/>
      <c r="H10" s="44"/>
      <c r="I10" s="76"/>
    </row>
    <row r="11" spans="1:9" x14ac:dyDescent="0.25">
      <c r="A11" s="74"/>
      <c r="B11" s="74"/>
      <c r="D11" s="75"/>
      <c r="E11" s="76"/>
      <c r="G11" s="44"/>
      <c r="H11" s="44"/>
      <c r="I11" s="7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BD84"/>
  <sheetViews>
    <sheetView workbookViewId="0">
      <pane xSplit="1" ySplit="10" topLeftCell="B11" activePane="bottomRight" state="frozen"/>
      <selection pane="topRight" activeCell="C1" sqref="C1"/>
      <selection pane="bottomLeft" activeCell="A6" sqref="A6"/>
      <selection pane="bottomRight" activeCell="H4" sqref="H4"/>
    </sheetView>
  </sheetViews>
  <sheetFormatPr defaultRowHeight="15" outlineLevelRow="1" x14ac:dyDescent="0.25"/>
  <cols>
    <col min="1" max="4" width="39.42578125" customWidth="1"/>
    <col min="5" max="5" width="17.140625" customWidth="1"/>
    <col min="6" max="6" width="14.28515625" customWidth="1"/>
    <col min="7" max="7" width="11.42578125" customWidth="1"/>
    <col min="8" max="8" width="17.140625" customWidth="1"/>
    <col min="9" max="10" width="11.42578125" hidden="1" customWidth="1"/>
    <col min="11" max="11" width="11.42578125" customWidth="1"/>
    <col min="12" max="12" width="11.42578125" hidden="1" customWidth="1"/>
    <col min="13" max="13" width="11.42578125" customWidth="1"/>
    <col min="14" max="14" width="11.42578125" hidden="1" customWidth="1"/>
    <col min="15" max="15" width="11.42578125" customWidth="1"/>
    <col min="16" max="16" width="11.42578125" hidden="1" customWidth="1"/>
    <col min="17" max="17" width="11.42578125" customWidth="1"/>
    <col min="18" max="18" width="11.42578125" hidden="1" customWidth="1"/>
    <col min="19" max="19" width="11.42578125" customWidth="1"/>
    <col min="20" max="20" width="11.42578125" hidden="1" customWidth="1"/>
    <col min="21" max="21" width="11.42578125" customWidth="1"/>
    <col min="22" max="22" width="11.42578125" hidden="1" customWidth="1"/>
    <col min="23" max="23" width="11.42578125" customWidth="1"/>
    <col min="24" max="24" width="11.42578125" hidden="1" customWidth="1"/>
    <col min="25" max="25" width="11.42578125" customWidth="1"/>
    <col min="26" max="26" width="11.42578125" hidden="1" customWidth="1"/>
    <col min="27" max="27" width="11.42578125" customWidth="1"/>
    <col min="28" max="28" width="11.42578125" hidden="1" customWidth="1"/>
    <col min="29" max="29" width="11.42578125" customWidth="1"/>
    <col min="30" max="30" width="11.42578125" hidden="1" customWidth="1"/>
    <col min="31" max="31" width="11.42578125" customWidth="1"/>
    <col min="32" max="32" width="11.42578125" hidden="1" customWidth="1"/>
    <col min="33" max="33" width="11.42578125" customWidth="1"/>
    <col min="34" max="34" width="11.42578125" hidden="1" customWidth="1"/>
    <col min="35" max="35" width="11.42578125" customWidth="1"/>
    <col min="36" max="36" width="11.42578125" hidden="1" customWidth="1"/>
    <col min="37" max="37" width="11.42578125" customWidth="1"/>
    <col min="38" max="38" width="11.42578125" hidden="1" customWidth="1"/>
    <col min="39" max="39" width="11.42578125" customWidth="1"/>
    <col min="40" max="40" width="11.42578125" hidden="1" customWidth="1"/>
    <col min="41" max="41" width="11.42578125" customWidth="1"/>
    <col min="42" max="42" width="11.42578125" hidden="1" customWidth="1"/>
    <col min="43" max="43" width="11.42578125" customWidth="1"/>
    <col min="44" max="44" width="12.7109375" hidden="1" customWidth="1"/>
    <col min="45" max="45" width="11.42578125" customWidth="1"/>
    <col min="46" max="46" width="12.7109375" hidden="1" customWidth="1"/>
    <col min="47" max="47" width="11.42578125" customWidth="1"/>
    <col min="48" max="48" width="12.7109375" hidden="1" customWidth="1"/>
    <col min="49" max="49" width="11.42578125" customWidth="1"/>
    <col min="50" max="50" width="12.7109375" customWidth="1"/>
    <col min="51" max="51" width="17.7109375" customWidth="1"/>
    <col min="52" max="52" width="15" customWidth="1"/>
    <col min="53" max="53" width="20.42578125" bestFit="1" customWidth="1"/>
    <col min="54" max="54" width="18.5703125" customWidth="1"/>
    <col min="55" max="55" width="21.140625" bestFit="1" customWidth="1"/>
    <col min="56" max="56" width="8.140625" bestFit="1" customWidth="1"/>
  </cols>
  <sheetData>
    <row r="1" spans="1:56" ht="15.75" thickBot="1" x14ac:dyDescent="0.3"/>
    <row r="2" spans="1:56" ht="38.25" customHeight="1" thickBot="1" x14ac:dyDescent="0.3">
      <c r="E2" s="66" t="s">
        <v>0</v>
      </c>
      <c r="F2" s="67"/>
      <c r="G2" s="67"/>
      <c r="H2" s="68"/>
      <c r="M2" s="25" t="s">
        <v>5</v>
      </c>
    </row>
    <row r="3" spans="1:56" ht="15" customHeight="1" x14ac:dyDescent="0.25">
      <c r="E3" s="34"/>
      <c r="F3" s="34"/>
      <c r="G3" s="34"/>
      <c r="H3" s="34"/>
    </row>
    <row r="4" spans="1:56" ht="15" customHeight="1" x14ac:dyDescent="0.25">
      <c r="E4" s="36"/>
      <c r="F4" s="37"/>
      <c r="G4" s="38" t="s">
        <v>29</v>
      </c>
      <c r="H4" s="39" t="str">
        <f>IF(EOD!$A$2="","",YEAR(EOD!$A$2))</f>
        <v/>
      </c>
    </row>
    <row r="5" spans="1:56" ht="15" customHeight="1" x14ac:dyDescent="0.25">
      <c r="E5" s="27"/>
      <c r="F5" s="28"/>
      <c r="G5" s="41" t="s">
        <v>27</v>
      </c>
      <c r="H5" s="42">
        <f>SUM(E11:E70)</f>
        <v>0</v>
      </c>
    </row>
    <row r="6" spans="1:56" ht="15" customHeight="1" x14ac:dyDescent="0.25">
      <c r="E6" s="29"/>
      <c r="F6" s="30"/>
      <c r="G6" s="35" t="s">
        <v>28</v>
      </c>
      <c r="H6" s="43">
        <f>(SUMIF(J10:AW10,"&lt;="&amp;H4,J71:AW71))+I71</f>
        <v>0</v>
      </c>
    </row>
    <row r="7" spans="1:56" ht="15" customHeight="1" x14ac:dyDescent="0.25">
      <c r="E7" s="31"/>
      <c r="F7" s="32"/>
      <c r="G7" s="33" t="s">
        <v>31</v>
      </c>
      <c r="H7" s="40">
        <f>H5-H6</f>
        <v>0</v>
      </c>
      <c r="I7" s="22"/>
      <c r="J7" s="22"/>
    </row>
    <row r="8" spans="1:56" ht="15" customHeight="1" x14ac:dyDescent="0.25"/>
    <row r="9" spans="1:56" ht="15" customHeight="1" x14ac:dyDescent="0.25">
      <c r="A9" s="70" t="s">
        <v>1</v>
      </c>
      <c r="B9" s="47"/>
      <c r="C9" s="47"/>
      <c r="D9" s="47"/>
      <c r="E9" s="70" t="s">
        <v>3</v>
      </c>
      <c r="F9" s="72" t="s">
        <v>4</v>
      </c>
      <c r="G9" s="72" t="s">
        <v>2</v>
      </c>
      <c r="H9" s="72" t="s">
        <v>6</v>
      </c>
      <c r="I9" s="24"/>
      <c r="J9" s="16"/>
      <c r="K9" s="65" t="s">
        <v>7</v>
      </c>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Y9" s="64" t="s">
        <v>59</v>
      </c>
      <c r="AZ9" s="64"/>
      <c r="BA9" s="64"/>
      <c r="BB9" s="64"/>
      <c r="BC9" s="64"/>
      <c r="BD9" s="64"/>
    </row>
    <row r="10" spans="1:56" ht="30" customHeight="1" x14ac:dyDescent="0.25">
      <c r="A10" s="71"/>
      <c r="B10" s="48" t="s">
        <v>55</v>
      </c>
      <c r="C10" s="48" t="s">
        <v>45</v>
      </c>
      <c r="D10" s="48" t="s">
        <v>54</v>
      </c>
      <c r="E10" s="71"/>
      <c r="F10" s="73"/>
      <c r="G10" s="73"/>
      <c r="H10" s="73"/>
      <c r="I10" s="20" t="s">
        <v>30</v>
      </c>
      <c r="J10" s="20">
        <v>2023</v>
      </c>
      <c r="K10" s="3">
        <v>2023</v>
      </c>
      <c r="L10" s="21">
        <v>2024</v>
      </c>
      <c r="M10" s="3">
        <v>2024</v>
      </c>
      <c r="N10" s="21">
        <v>2025</v>
      </c>
      <c r="O10" s="3">
        <v>2025</v>
      </c>
      <c r="P10" s="21">
        <v>2026</v>
      </c>
      <c r="Q10" s="3">
        <v>2026</v>
      </c>
      <c r="R10" s="21">
        <v>2027</v>
      </c>
      <c r="S10" s="3">
        <v>2027</v>
      </c>
      <c r="T10" s="21">
        <v>2028</v>
      </c>
      <c r="U10" s="3">
        <v>2028</v>
      </c>
      <c r="V10" s="21">
        <v>2029</v>
      </c>
      <c r="W10" s="3">
        <v>2029</v>
      </c>
      <c r="X10" s="21">
        <v>2030</v>
      </c>
      <c r="Y10" s="3">
        <v>2030</v>
      </c>
      <c r="Z10" s="21">
        <v>2031</v>
      </c>
      <c r="AA10" s="3">
        <v>2031</v>
      </c>
      <c r="AB10" s="21">
        <v>2032</v>
      </c>
      <c r="AC10" s="3">
        <v>2032</v>
      </c>
      <c r="AD10" s="21">
        <v>2033</v>
      </c>
      <c r="AE10" s="3">
        <v>2033</v>
      </c>
      <c r="AF10" s="21">
        <v>2034</v>
      </c>
      <c r="AG10" s="3">
        <v>2034</v>
      </c>
      <c r="AH10" s="21">
        <v>2035</v>
      </c>
      <c r="AI10" s="3">
        <v>2035</v>
      </c>
      <c r="AJ10" s="21">
        <v>2036</v>
      </c>
      <c r="AK10" s="3">
        <v>2036</v>
      </c>
      <c r="AL10" s="21">
        <v>2037</v>
      </c>
      <c r="AM10" s="3">
        <v>2037</v>
      </c>
      <c r="AN10" s="21">
        <v>2038</v>
      </c>
      <c r="AO10" s="3">
        <v>2038</v>
      </c>
      <c r="AP10" s="21">
        <v>2039</v>
      </c>
      <c r="AQ10" s="3">
        <v>2039</v>
      </c>
      <c r="AR10" s="21">
        <v>2040</v>
      </c>
      <c r="AS10" s="3">
        <v>2040</v>
      </c>
      <c r="AT10" s="21">
        <v>2041</v>
      </c>
      <c r="AU10" s="3">
        <v>2041</v>
      </c>
      <c r="AV10" s="21">
        <v>2042</v>
      </c>
      <c r="AW10" s="3">
        <v>2042</v>
      </c>
      <c r="AY10" s="3" t="s">
        <v>45</v>
      </c>
      <c r="AZ10" s="3" t="s">
        <v>46</v>
      </c>
      <c r="BA10" s="3" t="s">
        <v>55</v>
      </c>
      <c r="BB10" s="3" t="s">
        <v>56</v>
      </c>
      <c r="BC10" s="3" t="s">
        <v>57</v>
      </c>
      <c r="BD10" s="3" t="s">
        <v>58</v>
      </c>
    </row>
    <row r="11" spans="1:56" x14ac:dyDescent="0.25">
      <c r="A11" s="1" t="str">
        <f>IF(EOD!$F2="","",EOD!$F2)</f>
        <v/>
      </c>
      <c r="B11" s="1" t="str">
        <f>IF(EOD!$C2="","",EOD!$C2)</f>
        <v/>
      </c>
      <c r="C11" s="56" t="str">
        <f>IF(EOD!$A2="","",EOD!$A2)</f>
        <v/>
      </c>
      <c r="D11" s="55" t="str">
        <f>IF(EOD!$D2="","",EOD!$D2)</f>
        <v/>
      </c>
      <c r="E11" s="1" t="str">
        <f>IF(EOD!E2="","",EOD!E2)</f>
        <v/>
      </c>
      <c r="F11" s="1" t="str">
        <f>IF(EOD!G2="","",EOD!G2)</f>
        <v/>
      </c>
      <c r="G11" s="1" t="str">
        <f>IF(EOD!H2="","",EOD!H2)</f>
        <v/>
      </c>
      <c r="H11" s="1" t="str">
        <f>IF(EOD!I2="","",EOD!I2)</f>
        <v/>
      </c>
      <c r="I11" s="5">
        <f t="shared" ref="I11:I12" si="0">IFERROR(IF(F11&lt;$K$10,(($K$10-F11-1)*((E11-H11)/G11)+(((E11-H11)/G11)/2)),0),0)</f>
        <v>0</v>
      </c>
      <c r="J11" s="5" t="e">
        <f>IF($F11+$G11=J$10,($E11-$H11)/$G11/2,(IF($F11=J$10,($E11-$H11)/$G11/2,0)))</f>
        <v>#VALUE!</v>
      </c>
      <c r="K11" s="4" t="str">
        <f>IFERROR(IF($F11+$G11=K$10,J11,(IF($F11=K$10,J11,(IF($F11&gt;K$10," ",IF(K$10&lt;$G11+$F11,SLN($E11,$H11,$G11)," "))))))," ")</f>
        <v xml:space="preserve"> </v>
      </c>
      <c r="L11" s="5" t="e">
        <f>IF($F11+$G11=L$10,($E11-$H11)/$G11/2,(IF($F11=L$10,($E11-$H11)/$G11/2,0)))</f>
        <v>#VALUE!</v>
      </c>
      <c r="M11" s="4" t="str">
        <f>IFERROR(IF($F11+$G11=M$10,L11,(IF($F11=M$10,L11,(IF($F11&gt;M$10," ",IF(M$10&lt;$G11+$F11,SLN($E11,$H11,$G11)," "))))))," ")</f>
        <v xml:space="preserve"> </v>
      </c>
      <c r="N11" s="5" t="e">
        <f>IF($F11+$G11=N$10,($E11-$H11)/$G11/2,(IF($F11=N$10,($E11-$H11)/$G11/2,0)))</f>
        <v>#VALUE!</v>
      </c>
      <c r="O11" s="4" t="str">
        <f>IFERROR(IF($F11+$G11=O$10,N11,(IF($F11=O$10,N11,(IF($F11&gt;O$10," ",IF(O$10&lt;$G11+$F11,SLN($E11,$H11,$G11)," "))))))," ")</f>
        <v xml:space="preserve"> </v>
      </c>
      <c r="P11" s="5" t="e">
        <f>IF($F11+$G11=P$10,($E11-$H11)/$G11/2,(IF($F11=P$10,($E11-$H11)/$G11/2,0)))</f>
        <v>#VALUE!</v>
      </c>
      <c r="Q11" s="4" t="str">
        <f>IFERROR(IF($F11+$G11=Q$10,P11,(IF($F11=Q$10,P11,(IF($F11&gt;Q$10," ",IF(Q$10&lt;$G11+$F11,SLN($E11,$H11,$G11)," "))))))," ")</f>
        <v xml:space="preserve"> </v>
      </c>
      <c r="R11" s="5" t="e">
        <f>IF($F11+$G11=R$10,($E11-$H11)/$G11/2,(IF($F11=R$10,($E11-$H11)/$G11/2,0)))</f>
        <v>#VALUE!</v>
      </c>
      <c r="S11" s="4" t="str">
        <f>IFERROR(IF($F11+$G11=S$10,R11,(IF($F11=S$10,R11,(IF($F11&gt;S$10," ",IF(S$10&lt;$G11+$F11,SLN($E11,$H11,$G11)," "))))))," ")</f>
        <v xml:space="preserve"> </v>
      </c>
      <c r="T11" s="5" t="e">
        <f>IF($F11+$G11=T$10,($E11-$H11)/$G11/2,(IF($F11=T$10,($E11-$H11)/$G11/2,0)))</f>
        <v>#VALUE!</v>
      </c>
      <c r="U11" s="4" t="str">
        <f>IFERROR(IF($F11+$G11=U$10,T11,(IF($F11=U$10,T11,(IF($F11&gt;U$10," ",IF(U$10&lt;$G11+$F11,SLN($E11,$H11,$G11)," "))))))," ")</f>
        <v xml:space="preserve"> </v>
      </c>
      <c r="V11" s="5" t="e">
        <f>IF($F11+$G11=V$10,($E11-$H11)/$G11/2,(IF($F11=V$10,($E11-$H11)/$G11/2,0)))</f>
        <v>#VALUE!</v>
      </c>
      <c r="W11" s="4" t="str">
        <f>IFERROR(IF($F11+$G11=W$10,V11,(IF($F11=W$10,V11,(IF($F11&gt;W$10," ",IF(W$10&lt;$G11+$F11,SLN($E11,$H11,$G11)," "))))))," ")</f>
        <v xml:space="preserve"> </v>
      </c>
      <c r="X11" s="5" t="e">
        <f>IF($F11+$G11=X$10,($E11-$H11)/$G11/2,(IF($F11=X$10,($E11-$H11)/$G11/2,0)))</f>
        <v>#VALUE!</v>
      </c>
      <c r="Y11" s="4" t="str">
        <f>IFERROR(IF($F11+$G11=Y$10,X11,(IF($F11=Y$10,X11,(IF($F11&gt;Y$10," ",IF(Y$10&lt;$G11+$F11,SLN($E11,$H11,$G11)," "))))))," ")</f>
        <v xml:space="preserve"> </v>
      </c>
      <c r="Z11" s="5" t="e">
        <f>IF($F11+$G11=Z$10,($E11-$H11)/$G11/2,(IF($F11=Z$10,($E11-$H11)/$G11/2,0)))</f>
        <v>#VALUE!</v>
      </c>
      <c r="AA11" s="4" t="str">
        <f>IFERROR(IF($F11+$G11=AA$10,Z11,(IF($F11=AA$10,Z11,(IF($F11&gt;AA$10," ",IF(AA$10&lt;$G11+$F11,SLN($E11,$H11,$G11)," "))))))," ")</f>
        <v xml:space="preserve"> </v>
      </c>
      <c r="AB11" s="5" t="e">
        <f>IF($F11+$G11=AB$10,($E11-$H11)/$G11/2,(IF($F11=AB$10,($E11-$H11)/$G11/2,0)))</f>
        <v>#VALUE!</v>
      </c>
      <c r="AC11" s="4" t="str">
        <f>IFERROR(IF($F11+$G11=AC$10,AB11,(IF($F11=AC$10,AB11,(IF($F11&gt;AC$10," ",IF(AC$10&lt;$G11+$F11,SLN($E11,$H11,$G11)," "))))))," ")</f>
        <v xml:space="preserve"> </v>
      </c>
      <c r="AD11" s="5" t="e">
        <f>IF($F11+$G11=AD$10,($E11-$H11)/$G11/2,(IF($F11=AD$10,($E11-$H11)/$G11/2,0)))</f>
        <v>#VALUE!</v>
      </c>
      <c r="AE11" s="4" t="str">
        <f>IFERROR(IF($F11+$G11=AE$10,AD11,(IF($F11=AE$10,AD11,(IF($F11&gt;AE$10," ",IF(AE$10&lt;$G11+$F11,SLN($E11,$H11,$G11)," "))))))," ")</f>
        <v xml:space="preserve"> </v>
      </c>
      <c r="AF11" s="5" t="e">
        <f>IF($F11+$G11=AF$10,($E11-$H11)/$G11/2,(IF($F11=AF$10,($E11-$H11)/$G11/2,0)))</f>
        <v>#VALUE!</v>
      </c>
      <c r="AG11" s="4" t="str">
        <f>IFERROR(IF($F11+$G11=AG$10,AF11,(IF($F11=AG$10,AF11,(IF($F11&gt;AG$10," ",IF(AG$10&lt;$G11+$F11,SLN($E11,$H11,$G11)," "))))))," ")</f>
        <v xml:space="preserve"> </v>
      </c>
      <c r="AH11" s="5" t="e">
        <f>IF($F11+$G11=AH$10,($E11-$H11)/$G11/2,(IF($F11=AH$10,($E11-$H11)/$G11/2,0)))</f>
        <v>#VALUE!</v>
      </c>
      <c r="AI11" s="4" t="str">
        <f>IFERROR(IF($F11+$G11=AI$10,AH11,(IF($F11=AI$10,AH11,(IF($F11&gt;AI$10," ",IF(AI$10&lt;$G11+$F11,SLN($E11,$H11,$G11)," "))))))," ")</f>
        <v xml:space="preserve"> </v>
      </c>
      <c r="AJ11" s="5" t="e">
        <f>IF($F11+$G11=AJ$10,($E11-$H11)/$G11/2,(IF($F11=AJ$10,($E11-$H11)/$G11/2,0)))</f>
        <v>#VALUE!</v>
      </c>
      <c r="AK11" s="4" t="str">
        <f>IFERROR(IF($F11+$G11=AK$10,AJ11,(IF($F11=AK$10,AJ11,(IF($F11&gt;AK$10," ",IF(AK$10&lt;$G11+$F11,SLN($E11,$H11,$G11)," "))))))," ")</f>
        <v xml:space="preserve"> </v>
      </c>
      <c r="AL11" s="5" t="e">
        <f>IF($F11+$G11=AL$10,($E11-$H11)/$G11/2,(IF($F11=AL$10,($E11-$H11)/$G11/2,0)))</f>
        <v>#VALUE!</v>
      </c>
      <c r="AM11" s="4" t="str">
        <f>IFERROR(IF($F11+$G11=AM$10,AL11,(IF($F11=AM$10,AL11,(IF($F11&gt;AM$10," ",IF(AM$10&lt;$G11+$F11,SLN($E11,$H11,$G11)," "))))))," ")</f>
        <v xml:space="preserve"> </v>
      </c>
      <c r="AN11" s="5" t="e">
        <f>IF($F11+$G11=AN$10,($E11-$H11)/$G11/2,(IF($F11=AN$10,($E11-$H11)/$G11/2,0)))</f>
        <v>#VALUE!</v>
      </c>
      <c r="AO11" s="4" t="str">
        <f>IFERROR(IF($F11+$G11=AO$10,AN11,(IF($F11=AO$10,AN11,(IF($F11&gt;AO$10," ",IF(AO$10&lt;$G11+$F11,SLN($E11,$H11,$G11)," "))))))," ")</f>
        <v xml:space="preserve"> </v>
      </c>
      <c r="AP11" s="5" t="e">
        <f>IF($F11+$G11=AP$10,($E11-$H11)/$G11/2,(IF($F11=AP$10,($E11-$H11)/$G11/2,0)))</f>
        <v>#VALUE!</v>
      </c>
      <c r="AQ11" s="4" t="str">
        <f>IFERROR(IF($F11+$G11=AQ$10,AP11,(IF($F11=AQ$10,AP11,(IF($F11&gt;AQ$10," ",IF(AQ$10&lt;$G11+$F11,SLN($E11,$H11,$G11)," "))))))," ")</f>
        <v xml:space="preserve"> </v>
      </c>
      <c r="AR11" s="5" t="e">
        <f>IF($F11+$G11=AR$10,($E11-$H11)/$G11/2,(IF($F11=AR$10,($E11-$H11)/$G11/2,0)))</f>
        <v>#VALUE!</v>
      </c>
      <c r="AS11" s="4" t="str">
        <f>IFERROR(IF($F11+$G11=AS$10,AR11,(IF($F11=AS$10,AR11,(IF($F11&gt;AS$10," ",IF(AS$10&lt;$G11+$F11,SLN($E11,$H11,$G11)," "))))))," ")</f>
        <v xml:space="preserve"> </v>
      </c>
      <c r="AT11" s="5" t="e">
        <f>IF($F11+$G11=AT$10,($E11-$H11)/$G11/2,(IF($F11=AT$10,($E11-$H11)/$G11/2,0)))</f>
        <v>#VALUE!</v>
      </c>
      <c r="AU11" s="4" t="str">
        <f>IFERROR(IF($F11+$G11=AU$10,AT11,(IF($F11=AU$10,AT11,(IF($F11&gt;AU$10," ",IF(AU$10&lt;$G11+$F11,SLN($E11,$H11,$G11)," "))))))," ")</f>
        <v xml:space="preserve"> </v>
      </c>
      <c r="AV11" s="5" t="e">
        <f>IF($F11+$G11=AV$10,($E11-$H11)/$G11/2,(IF($F11=AV$10,($E11-$H11)/$G11/2,0)))</f>
        <v>#VALUE!</v>
      </c>
      <c r="AW11" s="4" t="str">
        <f>IFERROR(IF($F11+$G11=AW$10,AV11,(IF($F11=AW$10,AV11,(IF($F11&gt;AW$10," ",IF(AW$10&lt;$G11+$F11,SLN($E11,$H11,$G11)," "))))))," ")</f>
        <v xml:space="preserve"> </v>
      </c>
      <c r="AY11" s="54" t="str">
        <f>C11</f>
        <v/>
      </c>
      <c r="AZ11" s="54" t="str">
        <f>AY11</f>
        <v/>
      </c>
      <c r="BA11" s="57" t="str">
        <f>B11</f>
        <v/>
      </c>
      <c r="BB11" s="58" t="str">
        <f>D11</f>
        <v/>
      </c>
      <c r="BC11" t="str">
        <f>IF(BB11="","","Depreciation_Expense")</f>
        <v/>
      </c>
      <c r="BD11" t="e">
        <f>INDEX($K$10:$BD$55, MATCH(BB11, $D$10:$D$55, 0), MATCH($H$4, $K$10:$BD$10, 1))</f>
        <v>#N/A</v>
      </c>
    </row>
    <row r="12" spans="1:56" x14ac:dyDescent="0.25">
      <c r="A12" s="1" t="str">
        <f>IF(EOD!$F3="","",EOD!$F3)</f>
        <v/>
      </c>
      <c r="B12" s="1" t="str">
        <f>IF(EOD!$C3="","",EOD!$C3)</f>
        <v/>
      </c>
      <c r="C12" s="56" t="str">
        <f>IF(EOD!$A3="","",EOD!$A3)</f>
        <v/>
      </c>
      <c r="D12" s="55" t="str">
        <f>IF(EOD!$D3="","",EOD!$D3)</f>
        <v/>
      </c>
      <c r="E12" s="1" t="str">
        <f>IF(EOD!E3="","",EOD!E3)</f>
        <v/>
      </c>
      <c r="F12" s="1" t="str">
        <f>IF(EOD!G3="","",EOD!G3)</f>
        <v/>
      </c>
      <c r="G12" s="1" t="str">
        <f>IF(EOD!H3="","",EOD!H3)</f>
        <v/>
      </c>
      <c r="H12" s="1" t="str">
        <f>IF(EOD!I3="","",EOD!I3)</f>
        <v/>
      </c>
      <c r="I12" s="5">
        <f t="shared" si="0"/>
        <v>0</v>
      </c>
      <c r="J12" s="5" t="e">
        <f t="shared" ref="J12:J70" si="1">IF($F12+$G12=J$10,($E12-$H12)/$G12/2,(IF($F12=J$10,($E12-$H12)/$G12/2,0)))</f>
        <v>#VALUE!</v>
      </c>
      <c r="K12" s="4" t="str">
        <f t="shared" ref="K12:K70" si="2">IFERROR(IF($F12+$G12=K$10,J12,(IF($F12=K$10,J12,(IF($F12&gt;K$10," ",IF(K$10&lt;$G12+$F12,SLN($E12,$H12,$G12)," "))))))," ")</f>
        <v xml:space="preserve"> </v>
      </c>
      <c r="L12" s="5" t="e">
        <f t="shared" ref="L12:L70" si="3">IF($F12+$G12=L$10,($E12-$H12)/$G12/2,(IF($F12=L$10,($E12-$H12)/$G12/2,0)))</f>
        <v>#VALUE!</v>
      </c>
      <c r="M12" s="4" t="str">
        <f t="shared" ref="M12:M70" si="4">IFERROR(IF($F12+$G12=M$10,L12,(IF($F12=M$10,L12,(IF($F12&gt;M$10," ",IF(M$10&lt;$G12+$F12,SLN($E12,$H12,$G12)," "))))))," ")</f>
        <v xml:space="preserve"> </v>
      </c>
      <c r="N12" s="5" t="e">
        <f t="shared" ref="N12:N70" si="5">IF($F12+$G12=N$10,($E12-$H12)/$G12/2,(IF($F12=N$10,($E12-$H12)/$G12/2,0)))</f>
        <v>#VALUE!</v>
      </c>
      <c r="O12" s="4" t="str">
        <f t="shared" ref="O12:O70" si="6">IFERROR(IF($F12+$G12=O$10,N12,(IF($F12=O$10,N12,(IF($F12&gt;O$10," ",IF(O$10&lt;$G12+$F12,SLN($E12,$H12,$G12)," "))))))," ")</f>
        <v xml:space="preserve"> </v>
      </c>
      <c r="P12" s="5" t="e">
        <f t="shared" ref="P12:P70" si="7">IF($F12+$G12=P$10,($E12-$H12)/$G12/2,(IF($F12=P$10,($E12-$H12)/$G12/2,0)))</f>
        <v>#VALUE!</v>
      </c>
      <c r="Q12" s="4" t="str">
        <f t="shared" ref="Q12:Q70" si="8">IFERROR(IF($F12+$G12=Q$10,P12,(IF($F12=Q$10,P12,(IF($F12&gt;Q$10," ",IF(Q$10&lt;$G12+$F12,SLN($E12,$H12,$G12)," "))))))," ")</f>
        <v xml:space="preserve"> </v>
      </c>
      <c r="R12" s="5" t="e">
        <f t="shared" ref="R12:R70" si="9">IF($F12+$G12=R$10,($E12-$H12)/$G12/2,(IF($F12=R$10,($E12-$H12)/$G12/2,0)))</f>
        <v>#VALUE!</v>
      </c>
      <c r="S12" s="4" t="str">
        <f t="shared" ref="S12:S70" si="10">IFERROR(IF($F12+$G12=S$10,R12,(IF($F12=S$10,R12,(IF($F12&gt;S$10," ",IF(S$10&lt;$G12+$F12,SLN($E12,$H12,$G12)," "))))))," ")</f>
        <v xml:space="preserve"> </v>
      </c>
      <c r="T12" s="5" t="e">
        <f t="shared" ref="T12:T70" si="11">IF($F12+$G12=T$10,($E12-$H12)/$G12/2,(IF($F12=T$10,($E12-$H12)/$G12/2,0)))</f>
        <v>#VALUE!</v>
      </c>
      <c r="U12" s="4" t="str">
        <f t="shared" ref="U12:U70" si="12">IFERROR(IF($F12+$G12=U$10,T12,(IF($F12=U$10,T12,(IF($F12&gt;U$10," ",IF(U$10&lt;$G12+$F12,SLN($E12,$H12,$G12)," "))))))," ")</f>
        <v xml:space="preserve"> </v>
      </c>
      <c r="V12" s="5" t="e">
        <f t="shared" ref="V12:V70" si="13">IF($F12+$G12=V$10,($E12-$H12)/$G12/2,(IF($F12=V$10,($E12-$H12)/$G12/2,0)))</f>
        <v>#VALUE!</v>
      </c>
      <c r="W12" s="4" t="str">
        <f t="shared" ref="W12:W70" si="14">IFERROR(IF($F12+$G12=W$10,V12,(IF($F12=W$10,V12,(IF($F12&gt;W$10," ",IF(W$10&lt;$G12+$F12,SLN($E12,$H12,$G12)," "))))))," ")</f>
        <v xml:space="preserve"> </v>
      </c>
      <c r="X12" s="5" t="e">
        <f t="shared" ref="X12:X70" si="15">IF($F12+$G12=X$10,($E12-$H12)/$G12/2,(IF($F12=X$10,($E12-$H12)/$G12/2,0)))</f>
        <v>#VALUE!</v>
      </c>
      <c r="Y12" s="4" t="str">
        <f t="shared" ref="Y12:Y70" si="16">IFERROR(IF($F12+$G12=Y$10,X12,(IF($F12=Y$10,X12,(IF($F12&gt;Y$10," ",IF(Y$10&lt;$G12+$F12,SLN($E12,$H12,$G12)," "))))))," ")</f>
        <v xml:space="preserve"> </v>
      </c>
      <c r="Z12" s="5" t="e">
        <f t="shared" ref="Z12:Z70" si="17">IF($F12+$G12=Z$10,($E12-$H12)/$G12/2,(IF($F12=Z$10,($E12-$H12)/$G12/2,0)))</f>
        <v>#VALUE!</v>
      </c>
      <c r="AA12" s="4" t="str">
        <f t="shared" ref="AA12:AA70" si="18">IFERROR(IF($F12+$G12=AA$10,Z12,(IF($F12=AA$10,Z12,(IF($F12&gt;AA$10," ",IF(AA$10&lt;$G12+$F12,SLN($E12,$H12,$G12)," "))))))," ")</f>
        <v xml:space="preserve"> </v>
      </c>
      <c r="AB12" s="5" t="e">
        <f t="shared" ref="AB12:AB70" si="19">IF($F12+$G12=AB$10,($E12-$H12)/$G12/2,(IF($F12=AB$10,($E12-$H12)/$G12/2,0)))</f>
        <v>#VALUE!</v>
      </c>
      <c r="AC12" s="4" t="str">
        <f t="shared" ref="AC12:AC70" si="20">IFERROR(IF($F12+$G12=AC$10,AB12,(IF($F12=AC$10,AB12,(IF($F12&gt;AC$10," ",IF(AC$10&lt;$G12+$F12,SLN($E12,$H12,$G12)," "))))))," ")</f>
        <v xml:space="preserve"> </v>
      </c>
      <c r="AD12" s="5" t="e">
        <f t="shared" ref="AD12:AD70" si="21">IF($F12+$G12=AD$10,($E12-$H12)/$G12/2,(IF($F12=AD$10,($E12-$H12)/$G12/2,0)))</f>
        <v>#VALUE!</v>
      </c>
      <c r="AE12" s="4" t="str">
        <f t="shared" ref="AE12:AE70" si="22">IFERROR(IF($F12+$G12=AE$10,AD12,(IF($F12=AE$10,AD12,(IF($F12&gt;AE$10," ",IF(AE$10&lt;$G12+$F12,SLN($E12,$H12,$G12)," "))))))," ")</f>
        <v xml:space="preserve"> </v>
      </c>
      <c r="AF12" s="5" t="e">
        <f t="shared" ref="AF12:AF70" si="23">IF($F12+$G12=AF$10,($E12-$H12)/$G12/2,(IF($F12=AF$10,($E12-$H12)/$G12/2,0)))</f>
        <v>#VALUE!</v>
      </c>
      <c r="AG12" s="4" t="str">
        <f t="shared" ref="AG12:AG70" si="24">IFERROR(IF($F12+$G12=AG$10,AF12,(IF($F12=AG$10,AF12,(IF($F12&gt;AG$10," ",IF(AG$10&lt;$G12+$F12,SLN($E12,$H12,$G12)," "))))))," ")</f>
        <v xml:space="preserve"> </v>
      </c>
      <c r="AH12" s="5" t="e">
        <f t="shared" ref="AH12:AH70" si="25">IF($F12+$G12=AH$10,($E12-$H12)/$G12/2,(IF($F12=AH$10,($E12-$H12)/$G12/2,0)))</f>
        <v>#VALUE!</v>
      </c>
      <c r="AI12" s="4" t="str">
        <f t="shared" ref="AI12:AI70" si="26">IFERROR(IF($F12+$G12=AI$10,AH12,(IF($F12=AI$10,AH12,(IF($F12&gt;AI$10," ",IF(AI$10&lt;$G12+$F12,SLN($E12,$H12,$G12)," "))))))," ")</f>
        <v xml:space="preserve"> </v>
      </c>
      <c r="AJ12" s="5" t="e">
        <f t="shared" ref="AJ12:AJ70" si="27">IF($F12+$G12=AJ$10,($E12-$H12)/$G12/2,(IF($F12=AJ$10,($E12-$H12)/$G12/2,0)))</f>
        <v>#VALUE!</v>
      </c>
      <c r="AK12" s="4" t="str">
        <f t="shared" ref="AK12:AK70" si="28">IFERROR(IF($F12+$G12=AK$10,AJ12,(IF($F12=AK$10,AJ12,(IF($F12&gt;AK$10," ",IF(AK$10&lt;$G12+$F12,SLN($E12,$H12,$G12)," "))))))," ")</f>
        <v xml:space="preserve"> </v>
      </c>
      <c r="AL12" s="5" t="e">
        <f t="shared" ref="AL12:AL70" si="29">IF($F12+$G12=AL$10,($E12-$H12)/$G12/2,(IF($F12=AL$10,($E12-$H12)/$G12/2,0)))</f>
        <v>#VALUE!</v>
      </c>
      <c r="AM12" s="4" t="str">
        <f t="shared" ref="AM12:AM70" si="30">IFERROR(IF($F12+$G12=AM$10,AL12,(IF($F12=AM$10,AL12,(IF($F12&gt;AM$10," ",IF(AM$10&lt;$G12+$F12,SLN($E12,$H12,$G12)," "))))))," ")</f>
        <v xml:space="preserve"> </v>
      </c>
      <c r="AN12" s="5" t="e">
        <f t="shared" ref="AN12:AN70" si="31">IF($F12+$G12=AN$10,($E12-$H12)/$G12/2,(IF($F12=AN$10,($E12-$H12)/$G12/2,0)))</f>
        <v>#VALUE!</v>
      </c>
      <c r="AO12" s="4" t="str">
        <f t="shared" ref="AO12:AO70" si="32">IFERROR(IF($F12+$G12=AO$10,AN12,(IF($F12=AO$10,AN12,(IF($F12&gt;AO$10," ",IF(AO$10&lt;$G12+$F12,SLN($E12,$H12,$G12)," "))))))," ")</f>
        <v xml:space="preserve"> </v>
      </c>
      <c r="AP12" s="5" t="e">
        <f t="shared" ref="AP12:AP70" si="33">IF($F12+$G12=AP$10,($E12-$H12)/$G12/2,(IF($F12=AP$10,($E12-$H12)/$G12/2,0)))</f>
        <v>#VALUE!</v>
      </c>
      <c r="AQ12" s="4" t="str">
        <f t="shared" ref="AQ12:AQ70" si="34">IFERROR(IF($F12+$G12=AQ$10,AP12,(IF($F12=AQ$10,AP12,(IF($F12&gt;AQ$10," ",IF(AQ$10&lt;$G12+$F12,SLN($E12,$H12,$G12)," "))))))," ")</f>
        <v xml:space="preserve"> </v>
      </c>
      <c r="AR12" s="5" t="e">
        <f t="shared" ref="AR12:AR70" si="35">IF($F12+$G12=AR$10,($E12-$H12)/$G12/2,(IF($F12=AR$10,($E12-$H12)/$G12/2,0)))</f>
        <v>#VALUE!</v>
      </c>
      <c r="AS12" s="4" t="str">
        <f t="shared" ref="AS12:AS70" si="36">IFERROR(IF($F12+$G12=AS$10,AR12,(IF($F12=AS$10,AR12,(IF($F12&gt;AS$10," ",IF(AS$10&lt;$G12+$F12,SLN($E12,$H12,$G12)," "))))))," ")</f>
        <v xml:space="preserve"> </v>
      </c>
      <c r="AT12" s="5" t="e">
        <f t="shared" ref="AT12:AT70" si="37">IF($F12+$G12=AT$10,($E12-$H12)/$G12/2,(IF($F12=AT$10,($E12-$H12)/$G12/2,0)))</f>
        <v>#VALUE!</v>
      </c>
      <c r="AU12" s="4" t="str">
        <f t="shared" ref="AU12:AU70" si="38">IFERROR(IF($F12+$G12=AU$10,AT12,(IF($F12=AU$10,AT12,(IF($F12&gt;AU$10," ",IF(AU$10&lt;$G12+$F12,SLN($E12,$H12,$G12)," "))))))," ")</f>
        <v xml:space="preserve"> </v>
      </c>
      <c r="AV12" s="5" t="e">
        <f t="shared" ref="AV12:AV70" si="39">IF($F12+$G12=AV$10,($E12-$H12)/$G12/2,(IF($F12=AV$10,($E12-$H12)/$G12/2,0)))</f>
        <v>#VALUE!</v>
      </c>
      <c r="AW12" s="4" t="str">
        <f t="shared" ref="AW12:AW70" si="40">IFERROR(IF($F12+$G12=AW$10,AV12,(IF($F12=AW$10,AV12,(IF($F12&gt;AW$10," ",IF(AW$10&lt;$G12+$F12,SLN($E12,$H12,$G12)," "))))))," ")</f>
        <v xml:space="preserve"> </v>
      </c>
      <c r="AY12" s="54" t="str">
        <f t="shared" ref="AY12:AY55" si="41">C12</f>
        <v/>
      </c>
      <c r="AZ12" s="54" t="str">
        <f t="shared" ref="AZ12:AZ55" si="42">AY12</f>
        <v/>
      </c>
      <c r="BA12" s="57" t="str">
        <f t="shared" ref="BA12:BA55" si="43">B12</f>
        <v/>
      </c>
      <c r="BB12" s="58" t="str">
        <f t="shared" ref="BB12:BB55" si="44">D12</f>
        <v/>
      </c>
      <c r="BC12" t="str">
        <f t="shared" ref="BC12:BC55" si="45">IF(BB12="","","Depreciation_Expense")</f>
        <v/>
      </c>
      <c r="BD12" t="e">
        <f t="shared" ref="BD12:BD55" si="46">INDEX($K$10:$BD$55, MATCH(BB12, $D$10:$D$55, 0), MATCH($H$4, $K$10:$BD$10, 1))</f>
        <v>#N/A</v>
      </c>
    </row>
    <row r="13" spans="1:56" x14ac:dyDescent="0.25">
      <c r="A13" s="1" t="str">
        <f>IF(EOD!$F4="","",EOD!$F4)</f>
        <v/>
      </c>
      <c r="B13" s="1" t="str">
        <f>IF(EOD!$C4="","",EOD!$C4)</f>
        <v/>
      </c>
      <c r="C13" s="56" t="str">
        <f>IF(EOD!$A4="","",EOD!$A4)</f>
        <v/>
      </c>
      <c r="D13" s="55" t="str">
        <f>IF(EOD!$D4="","",EOD!$D4)</f>
        <v/>
      </c>
      <c r="E13" s="1" t="str">
        <f>IF(EOD!E4="","",EOD!E4)</f>
        <v/>
      </c>
      <c r="F13" s="1" t="str">
        <f>IF(EOD!G4="","",EOD!G4)</f>
        <v/>
      </c>
      <c r="G13" s="1" t="str">
        <f>IF(EOD!H4="","",EOD!H4)</f>
        <v/>
      </c>
      <c r="H13" s="1" t="str">
        <f>IF(EOD!I4="","",EOD!I4)</f>
        <v/>
      </c>
      <c r="I13" s="5">
        <f>IFERROR(IF(F13&lt;$K$10,(($K$10-F13-1)*((E13-H13)/G13)+(((E13-H13)/G13)/2)),0),0)</f>
        <v>0</v>
      </c>
      <c r="J13" s="5" t="e">
        <f t="shared" si="1"/>
        <v>#VALUE!</v>
      </c>
      <c r="K13" s="4" t="str">
        <f t="shared" si="2"/>
        <v xml:space="preserve"> </v>
      </c>
      <c r="L13" s="5" t="e">
        <f t="shared" si="3"/>
        <v>#VALUE!</v>
      </c>
      <c r="M13" s="4" t="str">
        <f t="shared" si="4"/>
        <v xml:space="preserve"> </v>
      </c>
      <c r="N13" s="5" t="e">
        <f t="shared" si="5"/>
        <v>#VALUE!</v>
      </c>
      <c r="O13" s="4" t="str">
        <f t="shared" si="6"/>
        <v xml:space="preserve"> </v>
      </c>
      <c r="P13" s="5" t="e">
        <f t="shared" si="7"/>
        <v>#VALUE!</v>
      </c>
      <c r="Q13" s="4" t="str">
        <f t="shared" si="8"/>
        <v xml:space="preserve"> </v>
      </c>
      <c r="R13" s="5" t="e">
        <f t="shared" si="9"/>
        <v>#VALUE!</v>
      </c>
      <c r="S13" s="4" t="str">
        <f t="shared" si="10"/>
        <v xml:space="preserve"> </v>
      </c>
      <c r="T13" s="5" t="e">
        <f t="shared" si="11"/>
        <v>#VALUE!</v>
      </c>
      <c r="U13" s="4" t="str">
        <f t="shared" si="12"/>
        <v xml:space="preserve"> </v>
      </c>
      <c r="V13" s="5" t="e">
        <f t="shared" si="13"/>
        <v>#VALUE!</v>
      </c>
      <c r="W13" s="4" t="str">
        <f t="shared" si="14"/>
        <v xml:space="preserve"> </v>
      </c>
      <c r="X13" s="5" t="e">
        <f t="shared" si="15"/>
        <v>#VALUE!</v>
      </c>
      <c r="Y13" s="4" t="str">
        <f t="shared" si="16"/>
        <v xml:space="preserve"> </v>
      </c>
      <c r="Z13" s="5" t="e">
        <f t="shared" si="17"/>
        <v>#VALUE!</v>
      </c>
      <c r="AA13" s="4" t="str">
        <f t="shared" si="18"/>
        <v xml:space="preserve"> </v>
      </c>
      <c r="AB13" s="5" t="e">
        <f t="shared" si="19"/>
        <v>#VALUE!</v>
      </c>
      <c r="AC13" s="4" t="str">
        <f t="shared" si="20"/>
        <v xml:space="preserve"> </v>
      </c>
      <c r="AD13" s="5" t="e">
        <f t="shared" si="21"/>
        <v>#VALUE!</v>
      </c>
      <c r="AE13" s="4" t="str">
        <f t="shared" si="22"/>
        <v xml:space="preserve"> </v>
      </c>
      <c r="AF13" s="5" t="e">
        <f t="shared" si="23"/>
        <v>#VALUE!</v>
      </c>
      <c r="AG13" s="4" t="str">
        <f t="shared" si="24"/>
        <v xml:space="preserve"> </v>
      </c>
      <c r="AH13" s="5" t="e">
        <f t="shared" si="25"/>
        <v>#VALUE!</v>
      </c>
      <c r="AI13" s="4" t="str">
        <f t="shared" si="26"/>
        <v xml:space="preserve"> </v>
      </c>
      <c r="AJ13" s="5" t="e">
        <f t="shared" si="27"/>
        <v>#VALUE!</v>
      </c>
      <c r="AK13" s="4" t="str">
        <f t="shared" si="28"/>
        <v xml:space="preserve"> </v>
      </c>
      <c r="AL13" s="5" t="e">
        <f t="shared" si="29"/>
        <v>#VALUE!</v>
      </c>
      <c r="AM13" s="4" t="str">
        <f t="shared" si="30"/>
        <v xml:space="preserve"> </v>
      </c>
      <c r="AN13" s="5" t="e">
        <f t="shared" si="31"/>
        <v>#VALUE!</v>
      </c>
      <c r="AO13" s="4" t="str">
        <f t="shared" si="32"/>
        <v xml:space="preserve"> </v>
      </c>
      <c r="AP13" s="5" t="e">
        <f t="shared" si="33"/>
        <v>#VALUE!</v>
      </c>
      <c r="AQ13" s="4" t="str">
        <f t="shared" si="34"/>
        <v xml:space="preserve"> </v>
      </c>
      <c r="AR13" s="5" t="e">
        <f t="shared" si="35"/>
        <v>#VALUE!</v>
      </c>
      <c r="AS13" s="4" t="str">
        <f t="shared" si="36"/>
        <v xml:space="preserve"> </v>
      </c>
      <c r="AT13" s="5" t="e">
        <f t="shared" si="37"/>
        <v>#VALUE!</v>
      </c>
      <c r="AU13" s="4" t="str">
        <f t="shared" si="38"/>
        <v xml:space="preserve"> </v>
      </c>
      <c r="AV13" s="5" t="e">
        <f t="shared" si="39"/>
        <v>#VALUE!</v>
      </c>
      <c r="AW13" s="4" t="str">
        <f t="shared" si="40"/>
        <v xml:space="preserve"> </v>
      </c>
      <c r="AY13" s="54" t="str">
        <f t="shared" si="41"/>
        <v/>
      </c>
      <c r="AZ13" s="54" t="str">
        <f t="shared" si="42"/>
        <v/>
      </c>
      <c r="BA13" s="57" t="str">
        <f t="shared" si="43"/>
        <v/>
      </c>
      <c r="BB13" s="58" t="str">
        <f t="shared" si="44"/>
        <v/>
      </c>
      <c r="BC13" t="str">
        <f t="shared" si="45"/>
        <v/>
      </c>
      <c r="BD13" t="e">
        <f t="shared" si="46"/>
        <v>#N/A</v>
      </c>
    </row>
    <row r="14" spans="1:56" x14ac:dyDescent="0.25">
      <c r="A14" s="1" t="str">
        <f>IF(EOD!$F5="","",EOD!$F5)</f>
        <v/>
      </c>
      <c r="B14" s="1" t="str">
        <f>IF(EOD!$C5="","",EOD!$C5)</f>
        <v/>
      </c>
      <c r="C14" s="56" t="str">
        <f>IF(EOD!$A5="","",EOD!$A5)</f>
        <v/>
      </c>
      <c r="D14" s="55" t="str">
        <f>IF(EOD!$D5="","",EOD!$D5)</f>
        <v/>
      </c>
      <c r="E14" s="1" t="str">
        <f>IF(EOD!E5="","",EOD!E5)</f>
        <v/>
      </c>
      <c r="F14" s="1" t="str">
        <f>IF(EOD!G5="","",EOD!G5)</f>
        <v/>
      </c>
      <c r="G14" s="1" t="str">
        <f>IF(EOD!H5="","",EOD!H5)</f>
        <v/>
      </c>
      <c r="H14" s="1" t="str">
        <f>IF(EOD!I5="","",EOD!I5)</f>
        <v/>
      </c>
      <c r="I14" s="5">
        <f t="shared" ref="I14:I70" si="47">IFERROR(IF(F14&lt;$K$10,(($K$10-F14-1)*((E14-H14)/G14)+(((E14-H14)/G14)/2)),0),0)</f>
        <v>0</v>
      </c>
      <c r="J14" s="5" t="e">
        <f t="shared" si="1"/>
        <v>#VALUE!</v>
      </c>
      <c r="K14" s="4" t="str">
        <f t="shared" si="2"/>
        <v xml:space="preserve"> </v>
      </c>
      <c r="L14" s="5" t="e">
        <f t="shared" si="3"/>
        <v>#VALUE!</v>
      </c>
      <c r="M14" s="4" t="str">
        <f t="shared" si="4"/>
        <v xml:space="preserve"> </v>
      </c>
      <c r="N14" s="5" t="e">
        <f t="shared" si="5"/>
        <v>#VALUE!</v>
      </c>
      <c r="O14" s="4" t="str">
        <f t="shared" si="6"/>
        <v xml:space="preserve"> </v>
      </c>
      <c r="P14" s="5" t="e">
        <f t="shared" si="7"/>
        <v>#VALUE!</v>
      </c>
      <c r="Q14" s="4" t="str">
        <f t="shared" si="8"/>
        <v xml:space="preserve"> </v>
      </c>
      <c r="R14" s="5" t="e">
        <f t="shared" si="9"/>
        <v>#VALUE!</v>
      </c>
      <c r="S14" s="4" t="str">
        <f t="shared" si="10"/>
        <v xml:space="preserve"> </v>
      </c>
      <c r="T14" s="5" t="e">
        <f t="shared" si="11"/>
        <v>#VALUE!</v>
      </c>
      <c r="U14" s="4" t="str">
        <f t="shared" si="12"/>
        <v xml:space="preserve"> </v>
      </c>
      <c r="V14" s="5" t="e">
        <f t="shared" si="13"/>
        <v>#VALUE!</v>
      </c>
      <c r="W14" s="4" t="str">
        <f t="shared" si="14"/>
        <v xml:space="preserve"> </v>
      </c>
      <c r="X14" s="5" t="e">
        <f t="shared" si="15"/>
        <v>#VALUE!</v>
      </c>
      <c r="Y14" s="4" t="str">
        <f t="shared" si="16"/>
        <v xml:space="preserve"> </v>
      </c>
      <c r="Z14" s="5" t="e">
        <f t="shared" si="17"/>
        <v>#VALUE!</v>
      </c>
      <c r="AA14" s="4" t="str">
        <f t="shared" si="18"/>
        <v xml:space="preserve"> </v>
      </c>
      <c r="AB14" s="5" t="e">
        <f t="shared" si="19"/>
        <v>#VALUE!</v>
      </c>
      <c r="AC14" s="4" t="str">
        <f t="shared" si="20"/>
        <v xml:space="preserve"> </v>
      </c>
      <c r="AD14" s="5" t="e">
        <f t="shared" si="21"/>
        <v>#VALUE!</v>
      </c>
      <c r="AE14" s="4" t="str">
        <f t="shared" si="22"/>
        <v xml:space="preserve"> </v>
      </c>
      <c r="AF14" s="5" t="e">
        <f t="shared" si="23"/>
        <v>#VALUE!</v>
      </c>
      <c r="AG14" s="4" t="str">
        <f t="shared" si="24"/>
        <v xml:space="preserve"> </v>
      </c>
      <c r="AH14" s="5" t="e">
        <f t="shared" si="25"/>
        <v>#VALUE!</v>
      </c>
      <c r="AI14" s="4" t="str">
        <f t="shared" si="26"/>
        <v xml:space="preserve"> </v>
      </c>
      <c r="AJ14" s="5" t="e">
        <f t="shared" si="27"/>
        <v>#VALUE!</v>
      </c>
      <c r="AK14" s="4" t="str">
        <f t="shared" si="28"/>
        <v xml:space="preserve"> </v>
      </c>
      <c r="AL14" s="5" t="e">
        <f t="shared" si="29"/>
        <v>#VALUE!</v>
      </c>
      <c r="AM14" s="4" t="str">
        <f t="shared" si="30"/>
        <v xml:space="preserve"> </v>
      </c>
      <c r="AN14" s="5" t="e">
        <f t="shared" si="31"/>
        <v>#VALUE!</v>
      </c>
      <c r="AO14" s="4" t="str">
        <f t="shared" si="32"/>
        <v xml:space="preserve"> </v>
      </c>
      <c r="AP14" s="5" t="e">
        <f t="shared" si="33"/>
        <v>#VALUE!</v>
      </c>
      <c r="AQ14" s="4" t="str">
        <f t="shared" si="34"/>
        <v xml:space="preserve"> </v>
      </c>
      <c r="AR14" s="5" t="e">
        <f t="shared" si="35"/>
        <v>#VALUE!</v>
      </c>
      <c r="AS14" s="4" t="str">
        <f t="shared" si="36"/>
        <v xml:space="preserve"> </v>
      </c>
      <c r="AT14" s="5" t="e">
        <f t="shared" si="37"/>
        <v>#VALUE!</v>
      </c>
      <c r="AU14" s="4" t="str">
        <f t="shared" si="38"/>
        <v xml:space="preserve"> </v>
      </c>
      <c r="AV14" s="5" t="e">
        <f t="shared" si="39"/>
        <v>#VALUE!</v>
      </c>
      <c r="AW14" s="4" t="str">
        <f t="shared" si="40"/>
        <v xml:space="preserve"> </v>
      </c>
      <c r="AY14" s="54" t="str">
        <f t="shared" si="41"/>
        <v/>
      </c>
      <c r="AZ14" s="54" t="str">
        <f t="shared" si="42"/>
        <v/>
      </c>
      <c r="BA14" s="57" t="str">
        <f t="shared" si="43"/>
        <v/>
      </c>
      <c r="BB14" s="58" t="str">
        <f t="shared" si="44"/>
        <v/>
      </c>
      <c r="BC14" t="str">
        <f t="shared" si="45"/>
        <v/>
      </c>
      <c r="BD14" t="e">
        <f t="shared" si="46"/>
        <v>#N/A</v>
      </c>
    </row>
    <row r="15" spans="1:56" x14ac:dyDescent="0.25">
      <c r="A15" s="1" t="str">
        <f>IF(EOD!$F6="","",EOD!$F6)</f>
        <v/>
      </c>
      <c r="B15" s="1" t="str">
        <f>IF(EOD!$C6="","",EOD!$C6)</f>
        <v/>
      </c>
      <c r="C15" s="56" t="str">
        <f>IF(EOD!$A6="","",EOD!$A6)</f>
        <v/>
      </c>
      <c r="D15" s="55" t="str">
        <f>IF(EOD!$D6="","",EOD!$D6)</f>
        <v/>
      </c>
      <c r="E15" s="1" t="str">
        <f>IF(EOD!E6="","",EOD!E6)</f>
        <v/>
      </c>
      <c r="F15" s="1" t="str">
        <f>IF(EOD!G6="","",EOD!G6)</f>
        <v/>
      </c>
      <c r="G15" s="1" t="str">
        <f>IF(EOD!H6="","",EOD!H6)</f>
        <v/>
      </c>
      <c r="H15" s="1" t="str">
        <f>IF(EOD!I6="","",EOD!I6)</f>
        <v/>
      </c>
      <c r="I15" s="5">
        <f t="shared" si="47"/>
        <v>0</v>
      </c>
      <c r="J15" s="5" t="e">
        <f t="shared" si="1"/>
        <v>#VALUE!</v>
      </c>
      <c r="K15" s="4" t="str">
        <f t="shared" si="2"/>
        <v xml:space="preserve"> </v>
      </c>
      <c r="L15" s="5" t="e">
        <f t="shared" si="3"/>
        <v>#VALUE!</v>
      </c>
      <c r="M15" s="4" t="str">
        <f t="shared" si="4"/>
        <v xml:space="preserve"> </v>
      </c>
      <c r="N15" s="5" t="e">
        <f t="shared" si="5"/>
        <v>#VALUE!</v>
      </c>
      <c r="O15" s="4" t="str">
        <f t="shared" si="6"/>
        <v xml:space="preserve"> </v>
      </c>
      <c r="P15" s="5" t="e">
        <f t="shared" si="7"/>
        <v>#VALUE!</v>
      </c>
      <c r="Q15" s="4" t="str">
        <f t="shared" si="8"/>
        <v xml:space="preserve"> </v>
      </c>
      <c r="R15" s="5" t="e">
        <f t="shared" si="9"/>
        <v>#VALUE!</v>
      </c>
      <c r="S15" s="4" t="str">
        <f t="shared" si="10"/>
        <v xml:space="preserve"> </v>
      </c>
      <c r="T15" s="5" t="e">
        <f t="shared" si="11"/>
        <v>#VALUE!</v>
      </c>
      <c r="U15" s="4" t="str">
        <f t="shared" si="12"/>
        <v xml:space="preserve"> </v>
      </c>
      <c r="V15" s="5" t="e">
        <f t="shared" si="13"/>
        <v>#VALUE!</v>
      </c>
      <c r="W15" s="4" t="str">
        <f t="shared" si="14"/>
        <v xml:space="preserve"> </v>
      </c>
      <c r="X15" s="5" t="e">
        <f t="shared" si="15"/>
        <v>#VALUE!</v>
      </c>
      <c r="Y15" s="4" t="str">
        <f t="shared" si="16"/>
        <v xml:space="preserve"> </v>
      </c>
      <c r="Z15" s="5" t="e">
        <f t="shared" si="17"/>
        <v>#VALUE!</v>
      </c>
      <c r="AA15" s="4" t="str">
        <f t="shared" si="18"/>
        <v xml:space="preserve"> </v>
      </c>
      <c r="AB15" s="5" t="e">
        <f t="shared" si="19"/>
        <v>#VALUE!</v>
      </c>
      <c r="AC15" s="4" t="str">
        <f t="shared" si="20"/>
        <v xml:space="preserve"> </v>
      </c>
      <c r="AD15" s="5" t="e">
        <f t="shared" si="21"/>
        <v>#VALUE!</v>
      </c>
      <c r="AE15" s="4" t="str">
        <f t="shared" si="22"/>
        <v xml:space="preserve"> </v>
      </c>
      <c r="AF15" s="5" t="e">
        <f t="shared" si="23"/>
        <v>#VALUE!</v>
      </c>
      <c r="AG15" s="4" t="str">
        <f t="shared" si="24"/>
        <v xml:space="preserve"> </v>
      </c>
      <c r="AH15" s="5" t="e">
        <f t="shared" si="25"/>
        <v>#VALUE!</v>
      </c>
      <c r="AI15" s="4" t="str">
        <f t="shared" si="26"/>
        <v xml:space="preserve"> </v>
      </c>
      <c r="AJ15" s="5" t="e">
        <f t="shared" si="27"/>
        <v>#VALUE!</v>
      </c>
      <c r="AK15" s="4" t="str">
        <f t="shared" si="28"/>
        <v xml:space="preserve"> </v>
      </c>
      <c r="AL15" s="5" t="e">
        <f t="shared" si="29"/>
        <v>#VALUE!</v>
      </c>
      <c r="AM15" s="4" t="str">
        <f t="shared" si="30"/>
        <v xml:space="preserve"> </v>
      </c>
      <c r="AN15" s="5" t="e">
        <f t="shared" si="31"/>
        <v>#VALUE!</v>
      </c>
      <c r="AO15" s="4" t="str">
        <f t="shared" si="32"/>
        <v xml:space="preserve"> </v>
      </c>
      <c r="AP15" s="5" t="e">
        <f t="shared" si="33"/>
        <v>#VALUE!</v>
      </c>
      <c r="AQ15" s="4" t="str">
        <f t="shared" si="34"/>
        <v xml:space="preserve"> </v>
      </c>
      <c r="AR15" s="5" t="e">
        <f t="shared" si="35"/>
        <v>#VALUE!</v>
      </c>
      <c r="AS15" s="4" t="str">
        <f t="shared" si="36"/>
        <v xml:space="preserve"> </v>
      </c>
      <c r="AT15" s="5" t="e">
        <f t="shared" si="37"/>
        <v>#VALUE!</v>
      </c>
      <c r="AU15" s="4" t="str">
        <f t="shared" si="38"/>
        <v xml:space="preserve"> </v>
      </c>
      <c r="AV15" s="5" t="e">
        <f t="shared" si="39"/>
        <v>#VALUE!</v>
      </c>
      <c r="AW15" s="4" t="str">
        <f t="shared" si="40"/>
        <v xml:space="preserve"> </v>
      </c>
      <c r="AY15" s="54" t="str">
        <f t="shared" si="41"/>
        <v/>
      </c>
      <c r="AZ15" s="54" t="str">
        <f t="shared" si="42"/>
        <v/>
      </c>
      <c r="BA15" s="57" t="str">
        <f t="shared" si="43"/>
        <v/>
      </c>
      <c r="BB15" s="58" t="str">
        <f t="shared" si="44"/>
        <v/>
      </c>
      <c r="BC15" t="str">
        <f t="shared" si="45"/>
        <v/>
      </c>
      <c r="BD15" t="e">
        <f t="shared" si="46"/>
        <v>#N/A</v>
      </c>
    </row>
    <row r="16" spans="1:56" x14ac:dyDescent="0.25">
      <c r="A16" s="1" t="str">
        <f>IF(EOD!$F7="","",EOD!$F7)</f>
        <v/>
      </c>
      <c r="B16" s="1" t="str">
        <f>IF(EOD!$C7="","",EOD!$C7)</f>
        <v/>
      </c>
      <c r="C16" s="56" t="str">
        <f>IF(EOD!$A7="","",EOD!$A7)</f>
        <v/>
      </c>
      <c r="D16" s="55" t="str">
        <f>IF(EOD!$D7="","",EOD!$D7)</f>
        <v/>
      </c>
      <c r="E16" s="1" t="str">
        <f>IF(EOD!E7="","",EOD!E7)</f>
        <v/>
      </c>
      <c r="F16" s="1" t="str">
        <f>IF(EOD!G7="","",EOD!G7)</f>
        <v/>
      </c>
      <c r="G16" s="1" t="str">
        <f>IF(EOD!H7="","",EOD!H7)</f>
        <v/>
      </c>
      <c r="H16" s="1" t="str">
        <f>IF(EOD!I7="","",EOD!I7)</f>
        <v/>
      </c>
      <c r="I16" s="5">
        <f t="shared" si="47"/>
        <v>0</v>
      </c>
      <c r="J16" s="5" t="e">
        <f t="shared" si="1"/>
        <v>#VALUE!</v>
      </c>
      <c r="K16" s="4" t="str">
        <f t="shared" si="2"/>
        <v xml:space="preserve"> </v>
      </c>
      <c r="L16" s="5" t="e">
        <f t="shared" si="3"/>
        <v>#VALUE!</v>
      </c>
      <c r="M16" s="4" t="str">
        <f t="shared" si="4"/>
        <v xml:space="preserve"> </v>
      </c>
      <c r="N16" s="5" t="e">
        <f t="shared" si="5"/>
        <v>#VALUE!</v>
      </c>
      <c r="O16" s="4" t="str">
        <f t="shared" si="6"/>
        <v xml:space="preserve"> </v>
      </c>
      <c r="P16" s="5" t="e">
        <f t="shared" si="7"/>
        <v>#VALUE!</v>
      </c>
      <c r="Q16" s="4" t="str">
        <f t="shared" si="8"/>
        <v xml:space="preserve"> </v>
      </c>
      <c r="R16" s="5" t="e">
        <f t="shared" si="9"/>
        <v>#VALUE!</v>
      </c>
      <c r="S16" s="4" t="str">
        <f t="shared" si="10"/>
        <v xml:space="preserve"> </v>
      </c>
      <c r="T16" s="5" t="e">
        <f t="shared" si="11"/>
        <v>#VALUE!</v>
      </c>
      <c r="U16" s="4" t="str">
        <f t="shared" si="12"/>
        <v xml:space="preserve"> </v>
      </c>
      <c r="V16" s="5" t="e">
        <f t="shared" si="13"/>
        <v>#VALUE!</v>
      </c>
      <c r="W16" s="4" t="str">
        <f t="shared" si="14"/>
        <v xml:space="preserve"> </v>
      </c>
      <c r="X16" s="5" t="e">
        <f t="shared" si="15"/>
        <v>#VALUE!</v>
      </c>
      <c r="Y16" s="4" t="str">
        <f t="shared" si="16"/>
        <v xml:space="preserve"> </v>
      </c>
      <c r="Z16" s="5" t="e">
        <f t="shared" si="17"/>
        <v>#VALUE!</v>
      </c>
      <c r="AA16" s="4" t="str">
        <f t="shared" si="18"/>
        <v xml:space="preserve"> </v>
      </c>
      <c r="AB16" s="5" t="e">
        <f t="shared" si="19"/>
        <v>#VALUE!</v>
      </c>
      <c r="AC16" s="4" t="str">
        <f t="shared" si="20"/>
        <v xml:space="preserve"> </v>
      </c>
      <c r="AD16" s="5" t="e">
        <f t="shared" si="21"/>
        <v>#VALUE!</v>
      </c>
      <c r="AE16" s="4" t="str">
        <f t="shared" si="22"/>
        <v xml:space="preserve"> </v>
      </c>
      <c r="AF16" s="5" t="e">
        <f t="shared" si="23"/>
        <v>#VALUE!</v>
      </c>
      <c r="AG16" s="4" t="str">
        <f t="shared" si="24"/>
        <v xml:space="preserve"> </v>
      </c>
      <c r="AH16" s="5" t="e">
        <f t="shared" si="25"/>
        <v>#VALUE!</v>
      </c>
      <c r="AI16" s="4" t="str">
        <f t="shared" si="26"/>
        <v xml:space="preserve"> </v>
      </c>
      <c r="AJ16" s="5" t="e">
        <f t="shared" si="27"/>
        <v>#VALUE!</v>
      </c>
      <c r="AK16" s="4" t="str">
        <f t="shared" si="28"/>
        <v xml:space="preserve"> </v>
      </c>
      <c r="AL16" s="5" t="e">
        <f t="shared" si="29"/>
        <v>#VALUE!</v>
      </c>
      <c r="AM16" s="4" t="str">
        <f t="shared" si="30"/>
        <v xml:space="preserve"> </v>
      </c>
      <c r="AN16" s="5" t="e">
        <f t="shared" si="31"/>
        <v>#VALUE!</v>
      </c>
      <c r="AO16" s="4" t="str">
        <f t="shared" si="32"/>
        <v xml:space="preserve"> </v>
      </c>
      <c r="AP16" s="5" t="e">
        <f t="shared" si="33"/>
        <v>#VALUE!</v>
      </c>
      <c r="AQ16" s="4" t="str">
        <f t="shared" si="34"/>
        <v xml:space="preserve"> </v>
      </c>
      <c r="AR16" s="5" t="e">
        <f t="shared" si="35"/>
        <v>#VALUE!</v>
      </c>
      <c r="AS16" s="4" t="str">
        <f t="shared" si="36"/>
        <v xml:space="preserve"> </v>
      </c>
      <c r="AT16" s="5" t="e">
        <f t="shared" si="37"/>
        <v>#VALUE!</v>
      </c>
      <c r="AU16" s="4" t="str">
        <f t="shared" si="38"/>
        <v xml:space="preserve"> </v>
      </c>
      <c r="AV16" s="5" t="e">
        <f t="shared" si="39"/>
        <v>#VALUE!</v>
      </c>
      <c r="AW16" s="4" t="str">
        <f t="shared" si="40"/>
        <v xml:space="preserve"> </v>
      </c>
      <c r="AY16" s="54" t="str">
        <f t="shared" si="41"/>
        <v/>
      </c>
      <c r="AZ16" s="54" t="str">
        <f t="shared" si="42"/>
        <v/>
      </c>
      <c r="BA16" s="57" t="str">
        <f t="shared" si="43"/>
        <v/>
      </c>
      <c r="BB16" s="58" t="str">
        <f t="shared" si="44"/>
        <v/>
      </c>
      <c r="BC16" t="str">
        <f t="shared" si="45"/>
        <v/>
      </c>
      <c r="BD16" t="e">
        <f t="shared" si="46"/>
        <v>#N/A</v>
      </c>
    </row>
    <row r="17" spans="1:56" x14ac:dyDescent="0.25">
      <c r="A17" s="1" t="str">
        <f>IF(EOD!$F8="","",EOD!$F8)</f>
        <v/>
      </c>
      <c r="B17" s="1" t="str">
        <f>IF(EOD!$C8="","",EOD!$C8)</f>
        <v/>
      </c>
      <c r="C17" s="56" t="str">
        <f>IF(EOD!$A8="","",EOD!$A8)</f>
        <v/>
      </c>
      <c r="D17" s="55" t="str">
        <f>IF(EOD!$D8="","",EOD!$D8)</f>
        <v/>
      </c>
      <c r="E17" s="1" t="str">
        <f>IF(EOD!E8="","",EOD!E8)</f>
        <v/>
      </c>
      <c r="F17" s="1" t="str">
        <f>IF(EOD!G8="","",EOD!G8)</f>
        <v/>
      </c>
      <c r="G17" s="1" t="str">
        <f>IF(EOD!H8="","",EOD!H8)</f>
        <v/>
      </c>
      <c r="H17" s="1" t="str">
        <f>IF(EOD!I8="","",EOD!I8)</f>
        <v/>
      </c>
      <c r="I17" s="5">
        <f t="shared" si="47"/>
        <v>0</v>
      </c>
      <c r="J17" s="5" t="e">
        <f t="shared" si="1"/>
        <v>#VALUE!</v>
      </c>
      <c r="K17" s="4" t="str">
        <f t="shared" si="2"/>
        <v xml:space="preserve"> </v>
      </c>
      <c r="L17" s="5" t="e">
        <f t="shared" si="3"/>
        <v>#VALUE!</v>
      </c>
      <c r="M17" s="4" t="str">
        <f t="shared" si="4"/>
        <v xml:space="preserve"> </v>
      </c>
      <c r="N17" s="5" t="e">
        <f t="shared" si="5"/>
        <v>#VALUE!</v>
      </c>
      <c r="O17" s="4" t="str">
        <f t="shared" si="6"/>
        <v xml:space="preserve"> </v>
      </c>
      <c r="P17" s="5" t="e">
        <f t="shared" si="7"/>
        <v>#VALUE!</v>
      </c>
      <c r="Q17" s="4" t="str">
        <f t="shared" si="8"/>
        <v xml:space="preserve"> </v>
      </c>
      <c r="R17" s="5" t="e">
        <f t="shared" si="9"/>
        <v>#VALUE!</v>
      </c>
      <c r="S17" s="4" t="str">
        <f t="shared" si="10"/>
        <v xml:space="preserve"> </v>
      </c>
      <c r="T17" s="5" t="e">
        <f t="shared" si="11"/>
        <v>#VALUE!</v>
      </c>
      <c r="U17" s="4" t="str">
        <f t="shared" si="12"/>
        <v xml:space="preserve"> </v>
      </c>
      <c r="V17" s="5" t="e">
        <f t="shared" si="13"/>
        <v>#VALUE!</v>
      </c>
      <c r="W17" s="4" t="str">
        <f t="shared" si="14"/>
        <v xml:space="preserve"> </v>
      </c>
      <c r="X17" s="5" t="e">
        <f t="shared" si="15"/>
        <v>#VALUE!</v>
      </c>
      <c r="Y17" s="4" t="str">
        <f t="shared" si="16"/>
        <v xml:space="preserve"> </v>
      </c>
      <c r="Z17" s="5" t="e">
        <f t="shared" si="17"/>
        <v>#VALUE!</v>
      </c>
      <c r="AA17" s="4" t="str">
        <f t="shared" si="18"/>
        <v xml:space="preserve"> </v>
      </c>
      <c r="AB17" s="5" t="e">
        <f t="shared" si="19"/>
        <v>#VALUE!</v>
      </c>
      <c r="AC17" s="4" t="str">
        <f t="shared" si="20"/>
        <v xml:space="preserve"> </v>
      </c>
      <c r="AD17" s="5" t="e">
        <f t="shared" si="21"/>
        <v>#VALUE!</v>
      </c>
      <c r="AE17" s="4" t="str">
        <f t="shared" si="22"/>
        <v xml:space="preserve"> </v>
      </c>
      <c r="AF17" s="5" t="e">
        <f t="shared" si="23"/>
        <v>#VALUE!</v>
      </c>
      <c r="AG17" s="4" t="str">
        <f t="shared" si="24"/>
        <v xml:space="preserve"> </v>
      </c>
      <c r="AH17" s="5" t="e">
        <f t="shared" si="25"/>
        <v>#VALUE!</v>
      </c>
      <c r="AI17" s="4" t="str">
        <f t="shared" si="26"/>
        <v xml:space="preserve"> </v>
      </c>
      <c r="AJ17" s="5" t="e">
        <f t="shared" si="27"/>
        <v>#VALUE!</v>
      </c>
      <c r="AK17" s="4" t="str">
        <f t="shared" si="28"/>
        <v xml:space="preserve"> </v>
      </c>
      <c r="AL17" s="5" t="e">
        <f t="shared" si="29"/>
        <v>#VALUE!</v>
      </c>
      <c r="AM17" s="4" t="str">
        <f t="shared" si="30"/>
        <v xml:space="preserve"> </v>
      </c>
      <c r="AN17" s="5" t="e">
        <f t="shared" si="31"/>
        <v>#VALUE!</v>
      </c>
      <c r="AO17" s="4" t="str">
        <f t="shared" si="32"/>
        <v xml:space="preserve"> </v>
      </c>
      <c r="AP17" s="5" t="e">
        <f t="shared" si="33"/>
        <v>#VALUE!</v>
      </c>
      <c r="AQ17" s="4" t="str">
        <f t="shared" si="34"/>
        <v xml:space="preserve"> </v>
      </c>
      <c r="AR17" s="5" t="e">
        <f t="shared" si="35"/>
        <v>#VALUE!</v>
      </c>
      <c r="AS17" s="4" t="str">
        <f t="shared" si="36"/>
        <v xml:space="preserve"> </v>
      </c>
      <c r="AT17" s="5" t="e">
        <f t="shared" si="37"/>
        <v>#VALUE!</v>
      </c>
      <c r="AU17" s="4" t="str">
        <f t="shared" si="38"/>
        <v xml:space="preserve"> </v>
      </c>
      <c r="AV17" s="5" t="e">
        <f t="shared" si="39"/>
        <v>#VALUE!</v>
      </c>
      <c r="AW17" s="4" t="str">
        <f t="shared" si="40"/>
        <v xml:space="preserve"> </v>
      </c>
      <c r="AY17" s="54" t="str">
        <f t="shared" si="41"/>
        <v/>
      </c>
      <c r="AZ17" s="54" t="str">
        <f t="shared" si="42"/>
        <v/>
      </c>
      <c r="BA17" s="57" t="str">
        <f t="shared" si="43"/>
        <v/>
      </c>
      <c r="BB17" s="58" t="str">
        <f t="shared" si="44"/>
        <v/>
      </c>
      <c r="BC17" t="str">
        <f t="shared" si="45"/>
        <v/>
      </c>
      <c r="BD17" t="e">
        <f t="shared" si="46"/>
        <v>#N/A</v>
      </c>
    </row>
    <row r="18" spans="1:56" x14ac:dyDescent="0.25">
      <c r="A18" s="1" t="str">
        <f>IF(EOD!$F9="","",EOD!$F9)</f>
        <v/>
      </c>
      <c r="B18" s="1" t="str">
        <f>IF(EOD!$C9="","",EOD!$C9)</f>
        <v/>
      </c>
      <c r="C18" s="56" t="str">
        <f>IF(EOD!$A9="","",EOD!$A9)</f>
        <v/>
      </c>
      <c r="D18" s="55" t="str">
        <f>IF(EOD!$D9="","",EOD!$D9)</f>
        <v/>
      </c>
      <c r="E18" s="1" t="str">
        <f>IF(EOD!E9="","",EOD!E9)</f>
        <v/>
      </c>
      <c r="F18" s="1" t="str">
        <f>IF(EOD!G9="","",EOD!G9)</f>
        <v/>
      </c>
      <c r="G18" s="1" t="str">
        <f>IF(EOD!H9="","",EOD!H9)</f>
        <v/>
      </c>
      <c r="H18" s="1" t="str">
        <f>IF(EOD!I9="","",EOD!I9)</f>
        <v/>
      </c>
      <c r="I18" s="5">
        <f t="shared" si="47"/>
        <v>0</v>
      </c>
      <c r="J18" s="5" t="e">
        <f t="shared" si="1"/>
        <v>#VALUE!</v>
      </c>
      <c r="K18" s="4" t="str">
        <f t="shared" si="2"/>
        <v xml:space="preserve"> </v>
      </c>
      <c r="L18" s="5" t="e">
        <f t="shared" si="3"/>
        <v>#VALUE!</v>
      </c>
      <c r="M18" s="4" t="str">
        <f t="shared" si="4"/>
        <v xml:space="preserve"> </v>
      </c>
      <c r="N18" s="5" t="e">
        <f t="shared" si="5"/>
        <v>#VALUE!</v>
      </c>
      <c r="O18" s="4" t="str">
        <f t="shared" si="6"/>
        <v xml:space="preserve"> </v>
      </c>
      <c r="P18" s="5" t="e">
        <f t="shared" si="7"/>
        <v>#VALUE!</v>
      </c>
      <c r="Q18" s="4" t="str">
        <f t="shared" si="8"/>
        <v xml:space="preserve"> </v>
      </c>
      <c r="R18" s="5" t="e">
        <f t="shared" si="9"/>
        <v>#VALUE!</v>
      </c>
      <c r="S18" s="4" t="str">
        <f t="shared" si="10"/>
        <v xml:space="preserve"> </v>
      </c>
      <c r="T18" s="5" t="e">
        <f t="shared" si="11"/>
        <v>#VALUE!</v>
      </c>
      <c r="U18" s="4" t="str">
        <f t="shared" si="12"/>
        <v xml:space="preserve"> </v>
      </c>
      <c r="V18" s="5" t="e">
        <f t="shared" si="13"/>
        <v>#VALUE!</v>
      </c>
      <c r="W18" s="4" t="str">
        <f t="shared" si="14"/>
        <v xml:space="preserve"> </v>
      </c>
      <c r="X18" s="5" t="e">
        <f t="shared" si="15"/>
        <v>#VALUE!</v>
      </c>
      <c r="Y18" s="4" t="str">
        <f t="shared" si="16"/>
        <v xml:space="preserve"> </v>
      </c>
      <c r="Z18" s="5" t="e">
        <f t="shared" si="17"/>
        <v>#VALUE!</v>
      </c>
      <c r="AA18" s="4" t="str">
        <f t="shared" si="18"/>
        <v xml:space="preserve"> </v>
      </c>
      <c r="AB18" s="5" t="e">
        <f t="shared" si="19"/>
        <v>#VALUE!</v>
      </c>
      <c r="AC18" s="4" t="str">
        <f t="shared" si="20"/>
        <v xml:space="preserve"> </v>
      </c>
      <c r="AD18" s="5" t="e">
        <f t="shared" si="21"/>
        <v>#VALUE!</v>
      </c>
      <c r="AE18" s="4" t="str">
        <f t="shared" si="22"/>
        <v xml:space="preserve"> </v>
      </c>
      <c r="AF18" s="5" t="e">
        <f t="shared" si="23"/>
        <v>#VALUE!</v>
      </c>
      <c r="AG18" s="4" t="str">
        <f t="shared" si="24"/>
        <v xml:space="preserve"> </v>
      </c>
      <c r="AH18" s="5" t="e">
        <f t="shared" si="25"/>
        <v>#VALUE!</v>
      </c>
      <c r="AI18" s="4" t="str">
        <f t="shared" si="26"/>
        <v xml:space="preserve"> </v>
      </c>
      <c r="AJ18" s="5" t="e">
        <f t="shared" si="27"/>
        <v>#VALUE!</v>
      </c>
      <c r="AK18" s="4" t="str">
        <f t="shared" si="28"/>
        <v xml:space="preserve"> </v>
      </c>
      <c r="AL18" s="5" t="e">
        <f t="shared" si="29"/>
        <v>#VALUE!</v>
      </c>
      <c r="AM18" s="4" t="str">
        <f t="shared" si="30"/>
        <v xml:space="preserve"> </v>
      </c>
      <c r="AN18" s="5" t="e">
        <f t="shared" si="31"/>
        <v>#VALUE!</v>
      </c>
      <c r="AO18" s="4" t="str">
        <f t="shared" si="32"/>
        <v xml:space="preserve"> </v>
      </c>
      <c r="AP18" s="5" t="e">
        <f t="shared" si="33"/>
        <v>#VALUE!</v>
      </c>
      <c r="AQ18" s="4" t="str">
        <f t="shared" si="34"/>
        <v xml:space="preserve"> </v>
      </c>
      <c r="AR18" s="5" t="e">
        <f t="shared" si="35"/>
        <v>#VALUE!</v>
      </c>
      <c r="AS18" s="4" t="str">
        <f t="shared" si="36"/>
        <v xml:space="preserve"> </v>
      </c>
      <c r="AT18" s="5" t="e">
        <f t="shared" si="37"/>
        <v>#VALUE!</v>
      </c>
      <c r="AU18" s="4" t="str">
        <f t="shared" si="38"/>
        <v xml:space="preserve"> </v>
      </c>
      <c r="AV18" s="5" t="e">
        <f t="shared" si="39"/>
        <v>#VALUE!</v>
      </c>
      <c r="AW18" s="4" t="str">
        <f t="shared" si="40"/>
        <v xml:space="preserve"> </v>
      </c>
      <c r="AY18" s="54" t="str">
        <f t="shared" si="41"/>
        <v/>
      </c>
      <c r="AZ18" s="54" t="str">
        <f t="shared" si="42"/>
        <v/>
      </c>
      <c r="BA18" s="57" t="str">
        <f t="shared" si="43"/>
        <v/>
      </c>
      <c r="BB18" s="58" t="str">
        <f t="shared" si="44"/>
        <v/>
      </c>
      <c r="BC18" t="str">
        <f t="shared" si="45"/>
        <v/>
      </c>
      <c r="BD18" t="e">
        <f t="shared" si="46"/>
        <v>#N/A</v>
      </c>
    </row>
    <row r="19" spans="1:56" x14ac:dyDescent="0.25">
      <c r="A19" s="1" t="str">
        <f>IF(EOD!$F10="","",EOD!$F10)</f>
        <v/>
      </c>
      <c r="B19" s="1" t="str">
        <f>IF(EOD!$C10="","",EOD!$C10)</f>
        <v/>
      </c>
      <c r="C19" s="56" t="str">
        <f>IF(EOD!$A10="","",EOD!$A10)</f>
        <v/>
      </c>
      <c r="D19" s="55" t="str">
        <f>IF(EOD!$D10="","",EOD!$D10)</f>
        <v/>
      </c>
      <c r="E19" s="1" t="str">
        <f>IF(EOD!E10="","",EOD!E10)</f>
        <v/>
      </c>
      <c r="F19" s="1" t="str">
        <f>IF(EOD!G10="","",EOD!G10)</f>
        <v/>
      </c>
      <c r="G19" s="1" t="str">
        <f>IF(EOD!H10="","",EOD!H10)</f>
        <v/>
      </c>
      <c r="H19" s="1" t="str">
        <f>IF(EOD!I10="","",EOD!I10)</f>
        <v/>
      </c>
      <c r="I19" s="5">
        <f t="shared" si="47"/>
        <v>0</v>
      </c>
      <c r="J19" s="5" t="e">
        <f t="shared" si="1"/>
        <v>#VALUE!</v>
      </c>
      <c r="K19" s="4" t="str">
        <f t="shared" si="2"/>
        <v xml:space="preserve"> </v>
      </c>
      <c r="L19" s="5" t="e">
        <f t="shared" si="3"/>
        <v>#VALUE!</v>
      </c>
      <c r="M19" s="4" t="str">
        <f t="shared" si="4"/>
        <v xml:space="preserve"> </v>
      </c>
      <c r="N19" s="5" t="e">
        <f t="shared" si="5"/>
        <v>#VALUE!</v>
      </c>
      <c r="O19" s="4" t="str">
        <f t="shared" si="6"/>
        <v xml:space="preserve"> </v>
      </c>
      <c r="P19" s="5" t="e">
        <f t="shared" si="7"/>
        <v>#VALUE!</v>
      </c>
      <c r="Q19" s="4" t="str">
        <f t="shared" si="8"/>
        <v xml:space="preserve"> </v>
      </c>
      <c r="R19" s="5" t="e">
        <f t="shared" si="9"/>
        <v>#VALUE!</v>
      </c>
      <c r="S19" s="4" t="str">
        <f t="shared" si="10"/>
        <v xml:space="preserve"> </v>
      </c>
      <c r="T19" s="5" t="e">
        <f t="shared" si="11"/>
        <v>#VALUE!</v>
      </c>
      <c r="U19" s="4" t="str">
        <f t="shared" si="12"/>
        <v xml:space="preserve"> </v>
      </c>
      <c r="V19" s="5" t="e">
        <f t="shared" si="13"/>
        <v>#VALUE!</v>
      </c>
      <c r="W19" s="4" t="str">
        <f t="shared" si="14"/>
        <v xml:space="preserve"> </v>
      </c>
      <c r="X19" s="5" t="e">
        <f t="shared" si="15"/>
        <v>#VALUE!</v>
      </c>
      <c r="Y19" s="4" t="str">
        <f t="shared" si="16"/>
        <v xml:space="preserve"> </v>
      </c>
      <c r="Z19" s="5" t="e">
        <f t="shared" si="17"/>
        <v>#VALUE!</v>
      </c>
      <c r="AA19" s="4" t="str">
        <f t="shared" si="18"/>
        <v xml:space="preserve"> </v>
      </c>
      <c r="AB19" s="5" t="e">
        <f t="shared" si="19"/>
        <v>#VALUE!</v>
      </c>
      <c r="AC19" s="4" t="str">
        <f t="shared" si="20"/>
        <v xml:space="preserve"> </v>
      </c>
      <c r="AD19" s="5" t="e">
        <f t="shared" si="21"/>
        <v>#VALUE!</v>
      </c>
      <c r="AE19" s="4" t="str">
        <f t="shared" si="22"/>
        <v xml:space="preserve"> </v>
      </c>
      <c r="AF19" s="5" t="e">
        <f t="shared" si="23"/>
        <v>#VALUE!</v>
      </c>
      <c r="AG19" s="4" t="str">
        <f t="shared" si="24"/>
        <v xml:space="preserve"> </v>
      </c>
      <c r="AH19" s="5" t="e">
        <f t="shared" si="25"/>
        <v>#VALUE!</v>
      </c>
      <c r="AI19" s="4" t="str">
        <f t="shared" si="26"/>
        <v xml:space="preserve"> </v>
      </c>
      <c r="AJ19" s="5" t="e">
        <f t="shared" si="27"/>
        <v>#VALUE!</v>
      </c>
      <c r="AK19" s="4" t="str">
        <f t="shared" si="28"/>
        <v xml:space="preserve"> </v>
      </c>
      <c r="AL19" s="5" t="e">
        <f t="shared" si="29"/>
        <v>#VALUE!</v>
      </c>
      <c r="AM19" s="4" t="str">
        <f t="shared" si="30"/>
        <v xml:space="preserve"> </v>
      </c>
      <c r="AN19" s="5" t="e">
        <f t="shared" si="31"/>
        <v>#VALUE!</v>
      </c>
      <c r="AO19" s="4" t="str">
        <f t="shared" si="32"/>
        <v xml:space="preserve"> </v>
      </c>
      <c r="AP19" s="5" t="e">
        <f t="shared" si="33"/>
        <v>#VALUE!</v>
      </c>
      <c r="AQ19" s="4" t="str">
        <f t="shared" si="34"/>
        <v xml:space="preserve"> </v>
      </c>
      <c r="AR19" s="5" t="e">
        <f t="shared" si="35"/>
        <v>#VALUE!</v>
      </c>
      <c r="AS19" s="4" t="str">
        <f t="shared" si="36"/>
        <v xml:space="preserve"> </v>
      </c>
      <c r="AT19" s="5" t="e">
        <f t="shared" si="37"/>
        <v>#VALUE!</v>
      </c>
      <c r="AU19" s="4" t="str">
        <f t="shared" si="38"/>
        <v xml:space="preserve"> </v>
      </c>
      <c r="AV19" s="5" t="e">
        <f t="shared" si="39"/>
        <v>#VALUE!</v>
      </c>
      <c r="AW19" s="4" t="str">
        <f t="shared" si="40"/>
        <v xml:space="preserve"> </v>
      </c>
      <c r="AY19" s="54" t="str">
        <f t="shared" si="41"/>
        <v/>
      </c>
      <c r="AZ19" s="54" t="str">
        <f t="shared" si="42"/>
        <v/>
      </c>
      <c r="BA19" s="57" t="str">
        <f t="shared" si="43"/>
        <v/>
      </c>
      <c r="BB19" s="58" t="str">
        <f t="shared" si="44"/>
        <v/>
      </c>
      <c r="BC19" t="str">
        <f t="shared" si="45"/>
        <v/>
      </c>
      <c r="BD19" t="e">
        <f t="shared" si="46"/>
        <v>#N/A</v>
      </c>
    </row>
    <row r="20" spans="1:56" x14ac:dyDescent="0.25">
      <c r="A20" s="1" t="str">
        <f>IF(EOD!$F11="","",EOD!$F11)</f>
        <v/>
      </c>
      <c r="B20" s="1" t="str">
        <f>IF(EOD!$C11="","",EOD!$C11)</f>
        <v/>
      </c>
      <c r="C20" s="56" t="str">
        <f>IF(EOD!$A11="","",EOD!$A11)</f>
        <v/>
      </c>
      <c r="D20" s="55" t="str">
        <f>IF(EOD!$D11="","",EOD!$D11)</f>
        <v/>
      </c>
      <c r="E20" s="1" t="str">
        <f>IF(EOD!E11="","",EOD!E11)</f>
        <v/>
      </c>
      <c r="F20" s="1" t="str">
        <f>IF(EOD!G11="","",EOD!G11)</f>
        <v/>
      </c>
      <c r="G20" s="1" t="str">
        <f>IF(EOD!H11="","",EOD!H11)</f>
        <v/>
      </c>
      <c r="H20" s="1" t="str">
        <f>IF(EOD!I11="","",EOD!I11)</f>
        <v/>
      </c>
      <c r="I20" s="5">
        <f t="shared" si="47"/>
        <v>0</v>
      </c>
      <c r="J20" s="5" t="e">
        <f t="shared" si="1"/>
        <v>#VALUE!</v>
      </c>
      <c r="K20" s="4" t="str">
        <f t="shared" si="2"/>
        <v xml:space="preserve"> </v>
      </c>
      <c r="L20" s="5" t="e">
        <f t="shared" si="3"/>
        <v>#VALUE!</v>
      </c>
      <c r="M20" s="4" t="str">
        <f t="shared" si="4"/>
        <v xml:space="preserve"> </v>
      </c>
      <c r="N20" s="5" t="e">
        <f t="shared" si="5"/>
        <v>#VALUE!</v>
      </c>
      <c r="O20" s="4" t="str">
        <f t="shared" si="6"/>
        <v xml:space="preserve"> </v>
      </c>
      <c r="P20" s="5" t="e">
        <f t="shared" si="7"/>
        <v>#VALUE!</v>
      </c>
      <c r="Q20" s="4" t="str">
        <f t="shared" si="8"/>
        <v xml:space="preserve"> </v>
      </c>
      <c r="R20" s="5" t="e">
        <f t="shared" si="9"/>
        <v>#VALUE!</v>
      </c>
      <c r="S20" s="4" t="str">
        <f t="shared" si="10"/>
        <v xml:space="preserve"> </v>
      </c>
      <c r="T20" s="5" t="e">
        <f t="shared" si="11"/>
        <v>#VALUE!</v>
      </c>
      <c r="U20" s="4" t="str">
        <f t="shared" si="12"/>
        <v xml:space="preserve"> </v>
      </c>
      <c r="V20" s="5" t="e">
        <f t="shared" si="13"/>
        <v>#VALUE!</v>
      </c>
      <c r="W20" s="4" t="str">
        <f t="shared" si="14"/>
        <v xml:space="preserve"> </v>
      </c>
      <c r="X20" s="5" t="e">
        <f t="shared" si="15"/>
        <v>#VALUE!</v>
      </c>
      <c r="Y20" s="4" t="str">
        <f t="shared" si="16"/>
        <v xml:space="preserve"> </v>
      </c>
      <c r="Z20" s="5" t="e">
        <f t="shared" si="17"/>
        <v>#VALUE!</v>
      </c>
      <c r="AA20" s="4" t="str">
        <f t="shared" si="18"/>
        <v xml:space="preserve"> </v>
      </c>
      <c r="AB20" s="5" t="e">
        <f t="shared" si="19"/>
        <v>#VALUE!</v>
      </c>
      <c r="AC20" s="4" t="str">
        <f t="shared" si="20"/>
        <v xml:space="preserve"> </v>
      </c>
      <c r="AD20" s="5" t="e">
        <f t="shared" si="21"/>
        <v>#VALUE!</v>
      </c>
      <c r="AE20" s="4" t="str">
        <f t="shared" si="22"/>
        <v xml:space="preserve"> </v>
      </c>
      <c r="AF20" s="5" t="e">
        <f t="shared" si="23"/>
        <v>#VALUE!</v>
      </c>
      <c r="AG20" s="4" t="str">
        <f t="shared" si="24"/>
        <v xml:space="preserve"> </v>
      </c>
      <c r="AH20" s="5" t="e">
        <f t="shared" si="25"/>
        <v>#VALUE!</v>
      </c>
      <c r="AI20" s="4" t="str">
        <f t="shared" si="26"/>
        <v xml:space="preserve"> </v>
      </c>
      <c r="AJ20" s="5" t="e">
        <f t="shared" si="27"/>
        <v>#VALUE!</v>
      </c>
      <c r="AK20" s="4" t="str">
        <f t="shared" si="28"/>
        <v xml:space="preserve"> </v>
      </c>
      <c r="AL20" s="5" t="e">
        <f t="shared" si="29"/>
        <v>#VALUE!</v>
      </c>
      <c r="AM20" s="4" t="str">
        <f t="shared" si="30"/>
        <v xml:space="preserve"> </v>
      </c>
      <c r="AN20" s="5" t="e">
        <f t="shared" si="31"/>
        <v>#VALUE!</v>
      </c>
      <c r="AO20" s="4" t="str">
        <f t="shared" si="32"/>
        <v xml:space="preserve"> </v>
      </c>
      <c r="AP20" s="5" t="e">
        <f t="shared" si="33"/>
        <v>#VALUE!</v>
      </c>
      <c r="AQ20" s="4" t="str">
        <f t="shared" si="34"/>
        <v xml:space="preserve"> </v>
      </c>
      <c r="AR20" s="5" t="e">
        <f t="shared" si="35"/>
        <v>#VALUE!</v>
      </c>
      <c r="AS20" s="4" t="str">
        <f t="shared" si="36"/>
        <v xml:space="preserve"> </v>
      </c>
      <c r="AT20" s="5" t="e">
        <f t="shared" si="37"/>
        <v>#VALUE!</v>
      </c>
      <c r="AU20" s="4" t="str">
        <f t="shared" si="38"/>
        <v xml:space="preserve"> </v>
      </c>
      <c r="AV20" s="5" t="e">
        <f t="shared" si="39"/>
        <v>#VALUE!</v>
      </c>
      <c r="AW20" s="4" t="str">
        <f t="shared" si="40"/>
        <v xml:space="preserve"> </v>
      </c>
      <c r="AY20" s="54" t="str">
        <f t="shared" si="41"/>
        <v/>
      </c>
      <c r="AZ20" s="54" t="str">
        <f t="shared" si="42"/>
        <v/>
      </c>
      <c r="BA20" s="57" t="str">
        <f t="shared" si="43"/>
        <v/>
      </c>
      <c r="BB20" s="58" t="str">
        <f t="shared" si="44"/>
        <v/>
      </c>
      <c r="BC20" t="str">
        <f t="shared" si="45"/>
        <v/>
      </c>
      <c r="BD20" t="e">
        <f t="shared" si="46"/>
        <v>#N/A</v>
      </c>
    </row>
    <row r="21" spans="1:56" x14ac:dyDescent="0.25">
      <c r="A21" s="1" t="str">
        <f>IF(EOD!$F12="","",EOD!$F12)</f>
        <v/>
      </c>
      <c r="B21" s="1" t="str">
        <f>IF(EOD!$C12="","",EOD!$C12)</f>
        <v/>
      </c>
      <c r="C21" s="56" t="str">
        <f>IF(EOD!$A12="","",EOD!$A12)</f>
        <v/>
      </c>
      <c r="D21" s="55" t="str">
        <f>IF(EOD!$D12="","",EOD!$D12)</f>
        <v/>
      </c>
      <c r="E21" s="1" t="str">
        <f>IF(EOD!E12="","",EOD!E12)</f>
        <v/>
      </c>
      <c r="F21" s="1" t="str">
        <f>IF(EOD!G12="","",EOD!G12)</f>
        <v/>
      </c>
      <c r="G21" s="1" t="str">
        <f>IF(EOD!H12="","",EOD!H12)</f>
        <v/>
      </c>
      <c r="H21" s="1" t="str">
        <f>IF(EOD!I12="","",EOD!I12)</f>
        <v/>
      </c>
      <c r="I21" s="5">
        <f t="shared" si="47"/>
        <v>0</v>
      </c>
      <c r="J21" s="5" t="e">
        <f t="shared" si="1"/>
        <v>#VALUE!</v>
      </c>
      <c r="K21" s="4" t="str">
        <f t="shared" si="2"/>
        <v xml:space="preserve"> </v>
      </c>
      <c r="L21" s="5" t="e">
        <f t="shared" si="3"/>
        <v>#VALUE!</v>
      </c>
      <c r="M21" s="4" t="str">
        <f t="shared" si="4"/>
        <v xml:space="preserve"> </v>
      </c>
      <c r="N21" s="5" t="e">
        <f t="shared" si="5"/>
        <v>#VALUE!</v>
      </c>
      <c r="O21" s="4" t="str">
        <f t="shared" si="6"/>
        <v xml:space="preserve"> </v>
      </c>
      <c r="P21" s="5" t="e">
        <f t="shared" si="7"/>
        <v>#VALUE!</v>
      </c>
      <c r="Q21" s="4" t="str">
        <f t="shared" si="8"/>
        <v xml:space="preserve"> </v>
      </c>
      <c r="R21" s="5" t="e">
        <f t="shared" si="9"/>
        <v>#VALUE!</v>
      </c>
      <c r="S21" s="4" t="str">
        <f t="shared" si="10"/>
        <v xml:space="preserve"> </v>
      </c>
      <c r="T21" s="5" t="e">
        <f t="shared" si="11"/>
        <v>#VALUE!</v>
      </c>
      <c r="U21" s="4" t="str">
        <f t="shared" si="12"/>
        <v xml:space="preserve"> </v>
      </c>
      <c r="V21" s="5" t="e">
        <f t="shared" si="13"/>
        <v>#VALUE!</v>
      </c>
      <c r="W21" s="4" t="str">
        <f t="shared" si="14"/>
        <v xml:space="preserve"> </v>
      </c>
      <c r="X21" s="5" t="e">
        <f t="shared" si="15"/>
        <v>#VALUE!</v>
      </c>
      <c r="Y21" s="4" t="str">
        <f t="shared" si="16"/>
        <v xml:space="preserve"> </v>
      </c>
      <c r="Z21" s="5" t="e">
        <f t="shared" si="17"/>
        <v>#VALUE!</v>
      </c>
      <c r="AA21" s="4" t="str">
        <f t="shared" si="18"/>
        <v xml:space="preserve"> </v>
      </c>
      <c r="AB21" s="5" t="e">
        <f t="shared" si="19"/>
        <v>#VALUE!</v>
      </c>
      <c r="AC21" s="4" t="str">
        <f t="shared" si="20"/>
        <v xml:space="preserve"> </v>
      </c>
      <c r="AD21" s="5" t="e">
        <f t="shared" si="21"/>
        <v>#VALUE!</v>
      </c>
      <c r="AE21" s="4" t="str">
        <f t="shared" si="22"/>
        <v xml:space="preserve"> </v>
      </c>
      <c r="AF21" s="5" t="e">
        <f t="shared" si="23"/>
        <v>#VALUE!</v>
      </c>
      <c r="AG21" s="4" t="str">
        <f t="shared" si="24"/>
        <v xml:space="preserve"> </v>
      </c>
      <c r="AH21" s="5" t="e">
        <f t="shared" si="25"/>
        <v>#VALUE!</v>
      </c>
      <c r="AI21" s="4" t="str">
        <f t="shared" si="26"/>
        <v xml:space="preserve"> </v>
      </c>
      <c r="AJ21" s="5" t="e">
        <f t="shared" si="27"/>
        <v>#VALUE!</v>
      </c>
      <c r="AK21" s="4" t="str">
        <f t="shared" si="28"/>
        <v xml:space="preserve"> </v>
      </c>
      <c r="AL21" s="5" t="e">
        <f t="shared" si="29"/>
        <v>#VALUE!</v>
      </c>
      <c r="AM21" s="4" t="str">
        <f t="shared" si="30"/>
        <v xml:space="preserve"> </v>
      </c>
      <c r="AN21" s="5" t="e">
        <f t="shared" si="31"/>
        <v>#VALUE!</v>
      </c>
      <c r="AO21" s="4" t="str">
        <f t="shared" si="32"/>
        <v xml:space="preserve"> </v>
      </c>
      <c r="AP21" s="5" t="e">
        <f t="shared" si="33"/>
        <v>#VALUE!</v>
      </c>
      <c r="AQ21" s="4" t="str">
        <f t="shared" si="34"/>
        <v xml:space="preserve"> </v>
      </c>
      <c r="AR21" s="5" t="e">
        <f t="shared" si="35"/>
        <v>#VALUE!</v>
      </c>
      <c r="AS21" s="4" t="str">
        <f t="shared" si="36"/>
        <v xml:space="preserve"> </v>
      </c>
      <c r="AT21" s="5" t="e">
        <f t="shared" si="37"/>
        <v>#VALUE!</v>
      </c>
      <c r="AU21" s="4" t="str">
        <f t="shared" si="38"/>
        <v xml:space="preserve"> </v>
      </c>
      <c r="AV21" s="5" t="e">
        <f t="shared" si="39"/>
        <v>#VALUE!</v>
      </c>
      <c r="AW21" s="4" t="str">
        <f t="shared" si="40"/>
        <v xml:space="preserve"> </v>
      </c>
      <c r="AY21" s="54" t="str">
        <f t="shared" si="41"/>
        <v/>
      </c>
      <c r="AZ21" s="54" t="str">
        <f t="shared" si="42"/>
        <v/>
      </c>
      <c r="BA21" s="57" t="str">
        <f t="shared" si="43"/>
        <v/>
      </c>
      <c r="BB21" s="58" t="str">
        <f t="shared" si="44"/>
        <v/>
      </c>
      <c r="BC21" t="str">
        <f t="shared" si="45"/>
        <v/>
      </c>
      <c r="BD21" t="e">
        <f t="shared" si="46"/>
        <v>#N/A</v>
      </c>
    </row>
    <row r="22" spans="1:56" x14ac:dyDescent="0.25">
      <c r="A22" s="1" t="str">
        <f>IF(EOD!$F13="","",EOD!$F13)</f>
        <v/>
      </c>
      <c r="B22" s="1" t="str">
        <f>IF(EOD!$C13="","",EOD!$C13)</f>
        <v/>
      </c>
      <c r="C22" s="56" t="str">
        <f>IF(EOD!$A13="","",EOD!$A13)</f>
        <v/>
      </c>
      <c r="D22" s="55" t="str">
        <f>IF(EOD!$D13="","",EOD!$D13)</f>
        <v/>
      </c>
      <c r="E22" s="1" t="str">
        <f>IF(EOD!E13="","",EOD!E13)</f>
        <v/>
      </c>
      <c r="F22" s="1" t="str">
        <f>IF(EOD!G13="","",EOD!G13)</f>
        <v/>
      </c>
      <c r="G22" s="1" t="str">
        <f>IF(EOD!H13="","",EOD!H13)</f>
        <v/>
      </c>
      <c r="H22" s="1" t="str">
        <f>IF(EOD!I13="","",EOD!I13)</f>
        <v/>
      </c>
      <c r="I22" s="5">
        <f t="shared" si="47"/>
        <v>0</v>
      </c>
      <c r="J22" s="5" t="e">
        <f t="shared" si="1"/>
        <v>#VALUE!</v>
      </c>
      <c r="K22" s="4" t="str">
        <f t="shared" si="2"/>
        <v xml:space="preserve"> </v>
      </c>
      <c r="L22" s="5" t="e">
        <f t="shared" si="3"/>
        <v>#VALUE!</v>
      </c>
      <c r="M22" s="4" t="str">
        <f t="shared" si="4"/>
        <v xml:space="preserve"> </v>
      </c>
      <c r="N22" s="5" t="e">
        <f t="shared" si="5"/>
        <v>#VALUE!</v>
      </c>
      <c r="O22" s="4" t="str">
        <f t="shared" si="6"/>
        <v xml:space="preserve"> </v>
      </c>
      <c r="P22" s="5" t="e">
        <f t="shared" si="7"/>
        <v>#VALUE!</v>
      </c>
      <c r="Q22" s="4" t="str">
        <f t="shared" si="8"/>
        <v xml:space="preserve"> </v>
      </c>
      <c r="R22" s="5" t="e">
        <f t="shared" si="9"/>
        <v>#VALUE!</v>
      </c>
      <c r="S22" s="4" t="str">
        <f t="shared" si="10"/>
        <v xml:space="preserve"> </v>
      </c>
      <c r="T22" s="5" t="e">
        <f t="shared" si="11"/>
        <v>#VALUE!</v>
      </c>
      <c r="U22" s="4" t="str">
        <f t="shared" si="12"/>
        <v xml:space="preserve"> </v>
      </c>
      <c r="V22" s="5" t="e">
        <f t="shared" si="13"/>
        <v>#VALUE!</v>
      </c>
      <c r="W22" s="4" t="str">
        <f t="shared" si="14"/>
        <v xml:space="preserve"> </v>
      </c>
      <c r="X22" s="5" t="e">
        <f t="shared" si="15"/>
        <v>#VALUE!</v>
      </c>
      <c r="Y22" s="4" t="str">
        <f t="shared" si="16"/>
        <v xml:space="preserve"> </v>
      </c>
      <c r="Z22" s="5" t="e">
        <f t="shared" si="17"/>
        <v>#VALUE!</v>
      </c>
      <c r="AA22" s="4" t="str">
        <f t="shared" si="18"/>
        <v xml:space="preserve"> </v>
      </c>
      <c r="AB22" s="5" t="e">
        <f t="shared" si="19"/>
        <v>#VALUE!</v>
      </c>
      <c r="AC22" s="4" t="str">
        <f t="shared" si="20"/>
        <v xml:space="preserve"> </v>
      </c>
      <c r="AD22" s="5" t="e">
        <f t="shared" si="21"/>
        <v>#VALUE!</v>
      </c>
      <c r="AE22" s="4" t="str">
        <f t="shared" si="22"/>
        <v xml:space="preserve"> </v>
      </c>
      <c r="AF22" s="5" t="e">
        <f t="shared" si="23"/>
        <v>#VALUE!</v>
      </c>
      <c r="AG22" s="4" t="str">
        <f t="shared" si="24"/>
        <v xml:space="preserve"> </v>
      </c>
      <c r="AH22" s="5" t="e">
        <f t="shared" si="25"/>
        <v>#VALUE!</v>
      </c>
      <c r="AI22" s="4" t="str">
        <f t="shared" si="26"/>
        <v xml:space="preserve"> </v>
      </c>
      <c r="AJ22" s="5" t="e">
        <f t="shared" si="27"/>
        <v>#VALUE!</v>
      </c>
      <c r="AK22" s="4" t="str">
        <f t="shared" si="28"/>
        <v xml:space="preserve"> </v>
      </c>
      <c r="AL22" s="5" t="e">
        <f t="shared" si="29"/>
        <v>#VALUE!</v>
      </c>
      <c r="AM22" s="4" t="str">
        <f t="shared" si="30"/>
        <v xml:space="preserve"> </v>
      </c>
      <c r="AN22" s="5" t="e">
        <f t="shared" si="31"/>
        <v>#VALUE!</v>
      </c>
      <c r="AO22" s="4" t="str">
        <f t="shared" si="32"/>
        <v xml:space="preserve"> </v>
      </c>
      <c r="AP22" s="5" t="e">
        <f t="shared" si="33"/>
        <v>#VALUE!</v>
      </c>
      <c r="AQ22" s="4" t="str">
        <f t="shared" si="34"/>
        <v xml:space="preserve"> </v>
      </c>
      <c r="AR22" s="5" t="e">
        <f t="shared" si="35"/>
        <v>#VALUE!</v>
      </c>
      <c r="AS22" s="4" t="str">
        <f t="shared" si="36"/>
        <v xml:space="preserve"> </v>
      </c>
      <c r="AT22" s="5" t="e">
        <f t="shared" si="37"/>
        <v>#VALUE!</v>
      </c>
      <c r="AU22" s="4" t="str">
        <f t="shared" si="38"/>
        <v xml:space="preserve"> </v>
      </c>
      <c r="AV22" s="5" t="e">
        <f t="shared" si="39"/>
        <v>#VALUE!</v>
      </c>
      <c r="AW22" s="4" t="str">
        <f t="shared" si="40"/>
        <v xml:space="preserve"> </v>
      </c>
      <c r="AY22" s="54" t="str">
        <f t="shared" si="41"/>
        <v/>
      </c>
      <c r="AZ22" s="54" t="str">
        <f t="shared" si="42"/>
        <v/>
      </c>
      <c r="BA22" s="57" t="str">
        <f t="shared" si="43"/>
        <v/>
      </c>
      <c r="BB22" s="58" t="str">
        <f t="shared" si="44"/>
        <v/>
      </c>
      <c r="BC22" t="str">
        <f t="shared" si="45"/>
        <v/>
      </c>
      <c r="BD22" t="e">
        <f t="shared" si="46"/>
        <v>#N/A</v>
      </c>
    </row>
    <row r="23" spans="1:56" x14ac:dyDescent="0.25">
      <c r="A23" s="1" t="str">
        <f>IF(EOD!$F14="","",EOD!$F14)</f>
        <v/>
      </c>
      <c r="B23" s="1" t="str">
        <f>IF(EOD!$C14="","",EOD!$C14)</f>
        <v/>
      </c>
      <c r="C23" s="56" t="str">
        <f>IF(EOD!$A14="","",EOD!$A14)</f>
        <v/>
      </c>
      <c r="D23" s="55" t="str">
        <f>IF(EOD!$D14="","",EOD!$D14)</f>
        <v/>
      </c>
      <c r="E23" s="1" t="str">
        <f>IF(EOD!E14="","",EOD!E14)</f>
        <v/>
      </c>
      <c r="F23" s="1" t="str">
        <f>IF(EOD!G14="","",EOD!G14)</f>
        <v/>
      </c>
      <c r="G23" s="1" t="str">
        <f>IF(EOD!H14="","",EOD!H14)</f>
        <v/>
      </c>
      <c r="H23" s="1" t="str">
        <f>IF(EOD!I14="","",EOD!I14)</f>
        <v/>
      </c>
      <c r="I23" s="5">
        <f t="shared" si="47"/>
        <v>0</v>
      </c>
      <c r="J23" s="5" t="e">
        <f t="shared" si="1"/>
        <v>#VALUE!</v>
      </c>
      <c r="K23" s="4" t="str">
        <f t="shared" si="2"/>
        <v xml:space="preserve"> </v>
      </c>
      <c r="L23" s="5" t="e">
        <f t="shared" si="3"/>
        <v>#VALUE!</v>
      </c>
      <c r="M23" s="4" t="str">
        <f t="shared" si="4"/>
        <v xml:space="preserve"> </v>
      </c>
      <c r="N23" s="5" t="e">
        <f t="shared" si="5"/>
        <v>#VALUE!</v>
      </c>
      <c r="O23" s="4" t="str">
        <f t="shared" si="6"/>
        <v xml:space="preserve"> </v>
      </c>
      <c r="P23" s="5" t="e">
        <f t="shared" si="7"/>
        <v>#VALUE!</v>
      </c>
      <c r="Q23" s="4" t="str">
        <f t="shared" si="8"/>
        <v xml:space="preserve"> </v>
      </c>
      <c r="R23" s="5" t="e">
        <f t="shared" si="9"/>
        <v>#VALUE!</v>
      </c>
      <c r="S23" s="4" t="str">
        <f t="shared" si="10"/>
        <v xml:space="preserve"> </v>
      </c>
      <c r="T23" s="5" t="e">
        <f t="shared" si="11"/>
        <v>#VALUE!</v>
      </c>
      <c r="U23" s="4" t="str">
        <f t="shared" si="12"/>
        <v xml:space="preserve"> </v>
      </c>
      <c r="V23" s="5" t="e">
        <f t="shared" si="13"/>
        <v>#VALUE!</v>
      </c>
      <c r="W23" s="4" t="str">
        <f t="shared" si="14"/>
        <v xml:space="preserve"> </v>
      </c>
      <c r="X23" s="5" t="e">
        <f t="shared" si="15"/>
        <v>#VALUE!</v>
      </c>
      <c r="Y23" s="4" t="str">
        <f t="shared" si="16"/>
        <v xml:space="preserve"> </v>
      </c>
      <c r="Z23" s="5" t="e">
        <f t="shared" si="17"/>
        <v>#VALUE!</v>
      </c>
      <c r="AA23" s="4" t="str">
        <f t="shared" si="18"/>
        <v xml:space="preserve"> </v>
      </c>
      <c r="AB23" s="5" t="e">
        <f t="shared" si="19"/>
        <v>#VALUE!</v>
      </c>
      <c r="AC23" s="4" t="str">
        <f t="shared" si="20"/>
        <v xml:space="preserve"> </v>
      </c>
      <c r="AD23" s="5" t="e">
        <f t="shared" si="21"/>
        <v>#VALUE!</v>
      </c>
      <c r="AE23" s="4" t="str">
        <f t="shared" si="22"/>
        <v xml:space="preserve"> </v>
      </c>
      <c r="AF23" s="5" t="e">
        <f t="shared" si="23"/>
        <v>#VALUE!</v>
      </c>
      <c r="AG23" s="4" t="str">
        <f t="shared" si="24"/>
        <v xml:space="preserve"> </v>
      </c>
      <c r="AH23" s="5" t="e">
        <f t="shared" si="25"/>
        <v>#VALUE!</v>
      </c>
      <c r="AI23" s="4" t="str">
        <f t="shared" si="26"/>
        <v xml:space="preserve"> </v>
      </c>
      <c r="AJ23" s="5" t="e">
        <f t="shared" si="27"/>
        <v>#VALUE!</v>
      </c>
      <c r="AK23" s="4" t="str">
        <f t="shared" si="28"/>
        <v xml:space="preserve"> </v>
      </c>
      <c r="AL23" s="5" t="e">
        <f t="shared" si="29"/>
        <v>#VALUE!</v>
      </c>
      <c r="AM23" s="4" t="str">
        <f t="shared" si="30"/>
        <v xml:space="preserve"> </v>
      </c>
      <c r="AN23" s="5" t="e">
        <f t="shared" si="31"/>
        <v>#VALUE!</v>
      </c>
      <c r="AO23" s="4" t="str">
        <f t="shared" si="32"/>
        <v xml:space="preserve"> </v>
      </c>
      <c r="AP23" s="5" t="e">
        <f t="shared" si="33"/>
        <v>#VALUE!</v>
      </c>
      <c r="AQ23" s="4" t="str">
        <f t="shared" si="34"/>
        <v xml:space="preserve"> </v>
      </c>
      <c r="AR23" s="5" t="e">
        <f t="shared" si="35"/>
        <v>#VALUE!</v>
      </c>
      <c r="AS23" s="4" t="str">
        <f t="shared" si="36"/>
        <v xml:space="preserve"> </v>
      </c>
      <c r="AT23" s="5" t="e">
        <f t="shared" si="37"/>
        <v>#VALUE!</v>
      </c>
      <c r="AU23" s="4" t="str">
        <f t="shared" si="38"/>
        <v xml:space="preserve"> </v>
      </c>
      <c r="AV23" s="5" t="e">
        <f t="shared" si="39"/>
        <v>#VALUE!</v>
      </c>
      <c r="AW23" s="4" t="str">
        <f t="shared" si="40"/>
        <v xml:space="preserve"> </v>
      </c>
      <c r="AY23" s="54" t="str">
        <f t="shared" si="41"/>
        <v/>
      </c>
      <c r="AZ23" s="54" t="str">
        <f t="shared" si="42"/>
        <v/>
      </c>
      <c r="BA23" s="57" t="str">
        <f t="shared" si="43"/>
        <v/>
      </c>
      <c r="BB23" s="58" t="str">
        <f t="shared" si="44"/>
        <v/>
      </c>
      <c r="BC23" t="str">
        <f t="shared" si="45"/>
        <v/>
      </c>
      <c r="BD23" t="e">
        <f t="shared" si="46"/>
        <v>#N/A</v>
      </c>
    </row>
    <row r="24" spans="1:56" x14ac:dyDescent="0.25">
      <c r="A24" s="1" t="str">
        <f>IF(EOD!$F15="","",EOD!$F15)</f>
        <v/>
      </c>
      <c r="B24" s="1" t="str">
        <f>IF(EOD!$C15="","",EOD!$C15)</f>
        <v/>
      </c>
      <c r="C24" s="56" t="str">
        <f>IF(EOD!$A15="","",EOD!$A15)</f>
        <v/>
      </c>
      <c r="D24" s="55" t="str">
        <f>IF(EOD!$D15="","",EOD!$D15)</f>
        <v/>
      </c>
      <c r="E24" s="1" t="str">
        <f>IF(EOD!E15="","",EOD!E15)</f>
        <v/>
      </c>
      <c r="F24" s="1" t="str">
        <f>IF(EOD!G15="","",EOD!G15)</f>
        <v/>
      </c>
      <c r="G24" s="1" t="str">
        <f>IF(EOD!H15="","",EOD!H15)</f>
        <v/>
      </c>
      <c r="H24" s="1" t="str">
        <f>IF(EOD!I15="","",EOD!I15)</f>
        <v/>
      </c>
      <c r="I24" s="5">
        <f t="shared" si="47"/>
        <v>0</v>
      </c>
      <c r="J24" s="5" t="e">
        <f t="shared" si="1"/>
        <v>#VALUE!</v>
      </c>
      <c r="K24" s="4" t="str">
        <f t="shared" si="2"/>
        <v xml:space="preserve"> </v>
      </c>
      <c r="L24" s="5" t="e">
        <f t="shared" si="3"/>
        <v>#VALUE!</v>
      </c>
      <c r="M24" s="4" t="str">
        <f t="shared" si="4"/>
        <v xml:space="preserve"> </v>
      </c>
      <c r="N24" s="5" t="e">
        <f t="shared" si="5"/>
        <v>#VALUE!</v>
      </c>
      <c r="O24" s="4" t="str">
        <f t="shared" si="6"/>
        <v xml:space="preserve"> </v>
      </c>
      <c r="P24" s="5" t="e">
        <f t="shared" si="7"/>
        <v>#VALUE!</v>
      </c>
      <c r="Q24" s="4" t="str">
        <f t="shared" si="8"/>
        <v xml:space="preserve"> </v>
      </c>
      <c r="R24" s="5" t="e">
        <f t="shared" si="9"/>
        <v>#VALUE!</v>
      </c>
      <c r="S24" s="4" t="str">
        <f t="shared" si="10"/>
        <v xml:space="preserve"> </v>
      </c>
      <c r="T24" s="5" t="e">
        <f t="shared" si="11"/>
        <v>#VALUE!</v>
      </c>
      <c r="U24" s="4" t="str">
        <f t="shared" si="12"/>
        <v xml:space="preserve"> </v>
      </c>
      <c r="V24" s="5" t="e">
        <f t="shared" si="13"/>
        <v>#VALUE!</v>
      </c>
      <c r="W24" s="4" t="str">
        <f t="shared" si="14"/>
        <v xml:space="preserve"> </v>
      </c>
      <c r="X24" s="5" t="e">
        <f t="shared" si="15"/>
        <v>#VALUE!</v>
      </c>
      <c r="Y24" s="4" t="str">
        <f t="shared" si="16"/>
        <v xml:space="preserve"> </v>
      </c>
      <c r="Z24" s="5" t="e">
        <f t="shared" si="17"/>
        <v>#VALUE!</v>
      </c>
      <c r="AA24" s="4" t="str">
        <f t="shared" si="18"/>
        <v xml:space="preserve"> </v>
      </c>
      <c r="AB24" s="5" t="e">
        <f t="shared" si="19"/>
        <v>#VALUE!</v>
      </c>
      <c r="AC24" s="4" t="str">
        <f t="shared" si="20"/>
        <v xml:space="preserve"> </v>
      </c>
      <c r="AD24" s="5" t="e">
        <f t="shared" si="21"/>
        <v>#VALUE!</v>
      </c>
      <c r="AE24" s="4" t="str">
        <f t="shared" si="22"/>
        <v xml:space="preserve"> </v>
      </c>
      <c r="AF24" s="5" t="e">
        <f t="shared" si="23"/>
        <v>#VALUE!</v>
      </c>
      <c r="AG24" s="4" t="str">
        <f t="shared" si="24"/>
        <v xml:space="preserve"> </v>
      </c>
      <c r="AH24" s="5" t="e">
        <f t="shared" si="25"/>
        <v>#VALUE!</v>
      </c>
      <c r="AI24" s="4" t="str">
        <f t="shared" si="26"/>
        <v xml:space="preserve"> </v>
      </c>
      <c r="AJ24" s="5" t="e">
        <f t="shared" si="27"/>
        <v>#VALUE!</v>
      </c>
      <c r="AK24" s="4" t="str">
        <f t="shared" si="28"/>
        <v xml:space="preserve"> </v>
      </c>
      <c r="AL24" s="5" t="e">
        <f t="shared" si="29"/>
        <v>#VALUE!</v>
      </c>
      <c r="AM24" s="4" t="str">
        <f t="shared" si="30"/>
        <v xml:space="preserve"> </v>
      </c>
      <c r="AN24" s="5" t="e">
        <f t="shared" si="31"/>
        <v>#VALUE!</v>
      </c>
      <c r="AO24" s="4" t="str">
        <f t="shared" si="32"/>
        <v xml:space="preserve"> </v>
      </c>
      <c r="AP24" s="5" t="e">
        <f t="shared" si="33"/>
        <v>#VALUE!</v>
      </c>
      <c r="AQ24" s="4" t="str">
        <f t="shared" si="34"/>
        <v xml:space="preserve"> </v>
      </c>
      <c r="AR24" s="5" t="e">
        <f t="shared" si="35"/>
        <v>#VALUE!</v>
      </c>
      <c r="AS24" s="4" t="str">
        <f t="shared" si="36"/>
        <v xml:space="preserve"> </v>
      </c>
      <c r="AT24" s="5" t="e">
        <f t="shared" si="37"/>
        <v>#VALUE!</v>
      </c>
      <c r="AU24" s="4" t="str">
        <f t="shared" si="38"/>
        <v xml:space="preserve"> </v>
      </c>
      <c r="AV24" s="5" t="e">
        <f t="shared" si="39"/>
        <v>#VALUE!</v>
      </c>
      <c r="AW24" s="4" t="str">
        <f t="shared" si="40"/>
        <v xml:space="preserve"> </v>
      </c>
      <c r="AY24" s="54" t="str">
        <f t="shared" si="41"/>
        <v/>
      </c>
      <c r="AZ24" s="54" t="str">
        <f t="shared" si="42"/>
        <v/>
      </c>
      <c r="BA24" s="57" t="str">
        <f t="shared" si="43"/>
        <v/>
      </c>
      <c r="BB24" s="58" t="str">
        <f t="shared" si="44"/>
        <v/>
      </c>
      <c r="BC24" t="str">
        <f t="shared" si="45"/>
        <v/>
      </c>
      <c r="BD24" t="e">
        <f t="shared" si="46"/>
        <v>#N/A</v>
      </c>
    </row>
    <row r="25" spans="1:56" x14ac:dyDescent="0.25">
      <c r="A25" s="1" t="str">
        <f>IF(EOD!$F16="","",EOD!$F16)</f>
        <v/>
      </c>
      <c r="B25" s="1" t="str">
        <f>IF(EOD!$C16="","",EOD!$C16)</f>
        <v/>
      </c>
      <c r="C25" s="56" t="str">
        <f>IF(EOD!$A16="","",EOD!$A16)</f>
        <v/>
      </c>
      <c r="D25" s="55" t="str">
        <f>IF(EOD!$D16="","",EOD!$D16)</f>
        <v/>
      </c>
      <c r="E25" s="1" t="str">
        <f>IF(EOD!E16="","",EOD!E16)</f>
        <v/>
      </c>
      <c r="F25" s="1" t="str">
        <f>IF(EOD!G16="","",EOD!G16)</f>
        <v/>
      </c>
      <c r="G25" s="1" t="str">
        <f>IF(EOD!H16="","",EOD!H16)</f>
        <v/>
      </c>
      <c r="H25" s="1" t="str">
        <f>IF(EOD!I16="","",EOD!I16)</f>
        <v/>
      </c>
      <c r="I25" s="5">
        <f t="shared" si="47"/>
        <v>0</v>
      </c>
      <c r="J25" s="5" t="e">
        <f t="shared" si="1"/>
        <v>#VALUE!</v>
      </c>
      <c r="K25" s="4" t="str">
        <f t="shared" si="2"/>
        <v xml:space="preserve"> </v>
      </c>
      <c r="L25" s="5" t="e">
        <f t="shared" si="3"/>
        <v>#VALUE!</v>
      </c>
      <c r="M25" s="4" t="str">
        <f t="shared" si="4"/>
        <v xml:space="preserve"> </v>
      </c>
      <c r="N25" s="5" t="e">
        <f t="shared" si="5"/>
        <v>#VALUE!</v>
      </c>
      <c r="O25" s="4" t="str">
        <f t="shared" si="6"/>
        <v xml:space="preserve"> </v>
      </c>
      <c r="P25" s="5" t="e">
        <f t="shared" si="7"/>
        <v>#VALUE!</v>
      </c>
      <c r="Q25" s="4" t="str">
        <f t="shared" si="8"/>
        <v xml:space="preserve"> </v>
      </c>
      <c r="R25" s="5" t="e">
        <f t="shared" si="9"/>
        <v>#VALUE!</v>
      </c>
      <c r="S25" s="4" t="str">
        <f t="shared" si="10"/>
        <v xml:space="preserve"> </v>
      </c>
      <c r="T25" s="5" t="e">
        <f t="shared" si="11"/>
        <v>#VALUE!</v>
      </c>
      <c r="U25" s="4" t="str">
        <f t="shared" si="12"/>
        <v xml:space="preserve"> </v>
      </c>
      <c r="V25" s="5" t="e">
        <f t="shared" si="13"/>
        <v>#VALUE!</v>
      </c>
      <c r="W25" s="4" t="str">
        <f t="shared" si="14"/>
        <v xml:space="preserve"> </v>
      </c>
      <c r="X25" s="5" t="e">
        <f t="shared" si="15"/>
        <v>#VALUE!</v>
      </c>
      <c r="Y25" s="4" t="str">
        <f t="shared" si="16"/>
        <v xml:space="preserve"> </v>
      </c>
      <c r="Z25" s="5" t="e">
        <f t="shared" si="17"/>
        <v>#VALUE!</v>
      </c>
      <c r="AA25" s="4" t="str">
        <f t="shared" si="18"/>
        <v xml:space="preserve"> </v>
      </c>
      <c r="AB25" s="5" t="e">
        <f t="shared" si="19"/>
        <v>#VALUE!</v>
      </c>
      <c r="AC25" s="4" t="str">
        <f t="shared" si="20"/>
        <v xml:space="preserve"> </v>
      </c>
      <c r="AD25" s="5" t="e">
        <f t="shared" si="21"/>
        <v>#VALUE!</v>
      </c>
      <c r="AE25" s="4" t="str">
        <f t="shared" si="22"/>
        <v xml:space="preserve"> </v>
      </c>
      <c r="AF25" s="5" t="e">
        <f t="shared" si="23"/>
        <v>#VALUE!</v>
      </c>
      <c r="AG25" s="4" t="str">
        <f t="shared" si="24"/>
        <v xml:space="preserve"> </v>
      </c>
      <c r="AH25" s="5" t="e">
        <f t="shared" si="25"/>
        <v>#VALUE!</v>
      </c>
      <c r="AI25" s="4" t="str">
        <f t="shared" si="26"/>
        <v xml:space="preserve"> </v>
      </c>
      <c r="AJ25" s="5" t="e">
        <f t="shared" si="27"/>
        <v>#VALUE!</v>
      </c>
      <c r="AK25" s="4" t="str">
        <f t="shared" si="28"/>
        <v xml:space="preserve"> </v>
      </c>
      <c r="AL25" s="5" t="e">
        <f t="shared" si="29"/>
        <v>#VALUE!</v>
      </c>
      <c r="AM25" s="4" t="str">
        <f t="shared" si="30"/>
        <v xml:space="preserve"> </v>
      </c>
      <c r="AN25" s="5" t="e">
        <f t="shared" si="31"/>
        <v>#VALUE!</v>
      </c>
      <c r="AO25" s="4" t="str">
        <f t="shared" si="32"/>
        <v xml:space="preserve"> </v>
      </c>
      <c r="AP25" s="5" t="e">
        <f t="shared" si="33"/>
        <v>#VALUE!</v>
      </c>
      <c r="AQ25" s="4" t="str">
        <f t="shared" si="34"/>
        <v xml:space="preserve"> </v>
      </c>
      <c r="AR25" s="5" t="e">
        <f t="shared" si="35"/>
        <v>#VALUE!</v>
      </c>
      <c r="AS25" s="4" t="str">
        <f t="shared" si="36"/>
        <v xml:space="preserve"> </v>
      </c>
      <c r="AT25" s="5" t="e">
        <f t="shared" si="37"/>
        <v>#VALUE!</v>
      </c>
      <c r="AU25" s="4" t="str">
        <f t="shared" si="38"/>
        <v xml:space="preserve"> </v>
      </c>
      <c r="AV25" s="5" t="e">
        <f t="shared" si="39"/>
        <v>#VALUE!</v>
      </c>
      <c r="AW25" s="4" t="str">
        <f t="shared" si="40"/>
        <v xml:space="preserve"> </v>
      </c>
      <c r="AY25" s="54" t="str">
        <f t="shared" si="41"/>
        <v/>
      </c>
      <c r="AZ25" s="54" t="str">
        <f t="shared" si="42"/>
        <v/>
      </c>
      <c r="BA25" s="57" t="str">
        <f t="shared" si="43"/>
        <v/>
      </c>
      <c r="BB25" s="58" t="str">
        <f t="shared" si="44"/>
        <v/>
      </c>
      <c r="BC25" t="str">
        <f t="shared" si="45"/>
        <v/>
      </c>
      <c r="BD25" t="e">
        <f t="shared" si="46"/>
        <v>#N/A</v>
      </c>
    </row>
    <row r="26" spans="1:56" x14ac:dyDescent="0.25">
      <c r="A26" s="1" t="str">
        <f>IF(EOD!$F17="","",EOD!$F17)</f>
        <v/>
      </c>
      <c r="B26" s="1" t="str">
        <f>IF(EOD!$C17="","",EOD!$C17)</f>
        <v/>
      </c>
      <c r="C26" s="56" t="str">
        <f>IF(EOD!$A17="","",EOD!$A17)</f>
        <v/>
      </c>
      <c r="D26" s="55" t="str">
        <f>IF(EOD!$D17="","",EOD!$D17)</f>
        <v/>
      </c>
      <c r="E26" s="1" t="str">
        <f>IF(EOD!E17="","",EOD!E17)</f>
        <v/>
      </c>
      <c r="F26" s="1" t="str">
        <f>IF(EOD!G17="","",EOD!G17)</f>
        <v/>
      </c>
      <c r="G26" s="1" t="str">
        <f>IF(EOD!H17="","",EOD!H17)</f>
        <v/>
      </c>
      <c r="H26" s="1" t="str">
        <f>IF(EOD!I17="","",EOD!I17)</f>
        <v/>
      </c>
      <c r="I26" s="5">
        <f t="shared" si="47"/>
        <v>0</v>
      </c>
      <c r="J26" s="5" t="e">
        <f t="shared" si="1"/>
        <v>#VALUE!</v>
      </c>
      <c r="K26" s="4" t="str">
        <f t="shared" si="2"/>
        <v xml:space="preserve"> </v>
      </c>
      <c r="L26" s="5" t="e">
        <f t="shared" si="3"/>
        <v>#VALUE!</v>
      </c>
      <c r="M26" s="4" t="str">
        <f t="shared" si="4"/>
        <v xml:space="preserve"> </v>
      </c>
      <c r="N26" s="5" t="e">
        <f t="shared" si="5"/>
        <v>#VALUE!</v>
      </c>
      <c r="O26" s="4" t="str">
        <f t="shared" si="6"/>
        <v xml:space="preserve"> </v>
      </c>
      <c r="P26" s="5" t="e">
        <f t="shared" si="7"/>
        <v>#VALUE!</v>
      </c>
      <c r="Q26" s="4" t="str">
        <f t="shared" si="8"/>
        <v xml:space="preserve"> </v>
      </c>
      <c r="R26" s="5" t="e">
        <f t="shared" si="9"/>
        <v>#VALUE!</v>
      </c>
      <c r="S26" s="4" t="str">
        <f t="shared" si="10"/>
        <v xml:space="preserve"> </v>
      </c>
      <c r="T26" s="5" t="e">
        <f t="shared" si="11"/>
        <v>#VALUE!</v>
      </c>
      <c r="U26" s="4" t="str">
        <f t="shared" si="12"/>
        <v xml:space="preserve"> </v>
      </c>
      <c r="V26" s="5" t="e">
        <f t="shared" si="13"/>
        <v>#VALUE!</v>
      </c>
      <c r="W26" s="4" t="str">
        <f t="shared" si="14"/>
        <v xml:space="preserve"> </v>
      </c>
      <c r="X26" s="5" t="e">
        <f t="shared" si="15"/>
        <v>#VALUE!</v>
      </c>
      <c r="Y26" s="4" t="str">
        <f t="shared" si="16"/>
        <v xml:space="preserve"> </v>
      </c>
      <c r="Z26" s="5" t="e">
        <f t="shared" si="17"/>
        <v>#VALUE!</v>
      </c>
      <c r="AA26" s="4" t="str">
        <f t="shared" si="18"/>
        <v xml:space="preserve"> </v>
      </c>
      <c r="AB26" s="5" t="e">
        <f t="shared" si="19"/>
        <v>#VALUE!</v>
      </c>
      <c r="AC26" s="4" t="str">
        <f t="shared" si="20"/>
        <v xml:space="preserve"> </v>
      </c>
      <c r="AD26" s="5" t="e">
        <f t="shared" si="21"/>
        <v>#VALUE!</v>
      </c>
      <c r="AE26" s="4" t="str">
        <f t="shared" si="22"/>
        <v xml:space="preserve"> </v>
      </c>
      <c r="AF26" s="5" t="e">
        <f t="shared" si="23"/>
        <v>#VALUE!</v>
      </c>
      <c r="AG26" s="4" t="str">
        <f t="shared" si="24"/>
        <v xml:space="preserve"> </v>
      </c>
      <c r="AH26" s="5" t="e">
        <f t="shared" si="25"/>
        <v>#VALUE!</v>
      </c>
      <c r="AI26" s="4" t="str">
        <f t="shared" si="26"/>
        <v xml:space="preserve"> </v>
      </c>
      <c r="AJ26" s="5" t="e">
        <f t="shared" si="27"/>
        <v>#VALUE!</v>
      </c>
      <c r="AK26" s="4" t="str">
        <f t="shared" si="28"/>
        <v xml:space="preserve"> </v>
      </c>
      <c r="AL26" s="5" t="e">
        <f t="shared" si="29"/>
        <v>#VALUE!</v>
      </c>
      <c r="AM26" s="4" t="str">
        <f t="shared" si="30"/>
        <v xml:space="preserve"> </v>
      </c>
      <c r="AN26" s="5" t="e">
        <f t="shared" si="31"/>
        <v>#VALUE!</v>
      </c>
      <c r="AO26" s="4" t="str">
        <f t="shared" si="32"/>
        <v xml:space="preserve"> </v>
      </c>
      <c r="AP26" s="5" t="e">
        <f t="shared" si="33"/>
        <v>#VALUE!</v>
      </c>
      <c r="AQ26" s="4" t="str">
        <f t="shared" si="34"/>
        <v xml:space="preserve"> </v>
      </c>
      <c r="AR26" s="5" t="e">
        <f t="shared" si="35"/>
        <v>#VALUE!</v>
      </c>
      <c r="AS26" s="4" t="str">
        <f t="shared" si="36"/>
        <v xml:space="preserve"> </v>
      </c>
      <c r="AT26" s="5" t="e">
        <f t="shared" si="37"/>
        <v>#VALUE!</v>
      </c>
      <c r="AU26" s="4" t="str">
        <f t="shared" si="38"/>
        <v xml:space="preserve"> </v>
      </c>
      <c r="AV26" s="5" t="e">
        <f t="shared" si="39"/>
        <v>#VALUE!</v>
      </c>
      <c r="AW26" s="4" t="str">
        <f t="shared" si="40"/>
        <v xml:space="preserve"> </v>
      </c>
      <c r="AY26" s="54" t="str">
        <f t="shared" si="41"/>
        <v/>
      </c>
      <c r="AZ26" s="54" t="str">
        <f t="shared" si="42"/>
        <v/>
      </c>
      <c r="BA26" s="57" t="str">
        <f t="shared" si="43"/>
        <v/>
      </c>
      <c r="BB26" s="58" t="str">
        <f t="shared" si="44"/>
        <v/>
      </c>
      <c r="BC26" t="str">
        <f t="shared" si="45"/>
        <v/>
      </c>
      <c r="BD26" t="e">
        <f t="shared" si="46"/>
        <v>#N/A</v>
      </c>
    </row>
    <row r="27" spans="1:56" x14ac:dyDescent="0.25">
      <c r="A27" s="1" t="str">
        <f>IF(EOD!$F18="","",EOD!$F18)</f>
        <v/>
      </c>
      <c r="B27" s="1" t="str">
        <f>IF(EOD!$C18="","",EOD!$C18)</f>
        <v/>
      </c>
      <c r="C27" s="56" t="str">
        <f>IF(EOD!$A18="","",EOD!$A18)</f>
        <v/>
      </c>
      <c r="D27" s="55" t="str">
        <f>IF(EOD!$D18="","",EOD!$D18)</f>
        <v/>
      </c>
      <c r="E27" s="1" t="str">
        <f>IF(EOD!E18="","",EOD!E18)</f>
        <v/>
      </c>
      <c r="F27" s="1" t="str">
        <f>IF(EOD!G18="","",EOD!G18)</f>
        <v/>
      </c>
      <c r="G27" s="1" t="str">
        <f>IF(EOD!H18="","",EOD!H18)</f>
        <v/>
      </c>
      <c r="H27" s="1" t="str">
        <f>IF(EOD!I18="","",EOD!I18)</f>
        <v/>
      </c>
      <c r="I27" s="5">
        <f t="shared" si="47"/>
        <v>0</v>
      </c>
      <c r="J27" s="5" t="e">
        <f t="shared" si="1"/>
        <v>#VALUE!</v>
      </c>
      <c r="K27" s="4" t="str">
        <f t="shared" si="2"/>
        <v xml:space="preserve"> </v>
      </c>
      <c r="L27" s="5" t="e">
        <f t="shared" si="3"/>
        <v>#VALUE!</v>
      </c>
      <c r="M27" s="4" t="str">
        <f t="shared" si="4"/>
        <v xml:space="preserve"> </v>
      </c>
      <c r="N27" s="5" t="e">
        <f t="shared" si="5"/>
        <v>#VALUE!</v>
      </c>
      <c r="O27" s="4" t="str">
        <f t="shared" si="6"/>
        <v xml:space="preserve"> </v>
      </c>
      <c r="P27" s="5" t="e">
        <f t="shared" si="7"/>
        <v>#VALUE!</v>
      </c>
      <c r="Q27" s="4" t="str">
        <f t="shared" si="8"/>
        <v xml:space="preserve"> </v>
      </c>
      <c r="R27" s="5" t="e">
        <f t="shared" si="9"/>
        <v>#VALUE!</v>
      </c>
      <c r="S27" s="4" t="str">
        <f t="shared" si="10"/>
        <v xml:space="preserve"> </v>
      </c>
      <c r="T27" s="5" t="e">
        <f t="shared" si="11"/>
        <v>#VALUE!</v>
      </c>
      <c r="U27" s="4" t="str">
        <f t="shared" si="12"/>
        <v xml:space="preserve"> </v>
      </c>
      <c r="V27" s="5" t="e">
        <f t="shared" si="13"/>
        <v>#VALUE!</v>
      </c>
      <c r="W27" s="4" t="str">
        <f t="shared" si="14"/>
        <v xml:space="preserve"> </v>
      </c>
      <c r="X27" s="5" t="e">
        <f t="shared" si="15"/>
        <v>#VALUE!</v>
      </c>
      <c r="Y27" s="4" t="str">
        <f t="shared" si="16"/>
        <v xml:space="preserve"> </v>
      </c>
      <c r="Z27" s="5" t="e">
        <f t="shared" si="17"/>
        <v>#VALUE!</v>
      </c>
      <c r="AA27" s="4" t="str">
        <f t="shared" si="18"/>
        <v xml:space="preserve"> </v>
      </c>
      <c r="AB27" s="5" t="e">
        <f t="shared" si="19"/>
        <v>#VALUE!</v>
      </c>
      <c r="AC27" s="4" t="str">
        <f t="shared" si="20"/>
        <v xml:space="preserve"> </v>
      </c>
      <c r="AD27" s="5" t="e">
        <f t="shared" si="21"/>
        <v>#VALUE!</v>
      </c>
      <c r="AE27" s="4" t="str">
        <f t="shared" si="22"/>
        <v xml:space="preserve"> </v>
      </c>
      <c r="AF27" s="5" t="e">
        <f t="shared" si="23"/>
        <v>#VALUE!</v>
      </c>
      <c r="AG27" s="4" t="str">
        <f t="shared" si="24"/>
        <v xml:space="preserve"> </v>
      </c>
      <c r="AH27" s="5" t="e">
        <f t="shared" si="25"/>
        <v>#VALUE!</v>
      </c>
      <c r="AI27" s="4" t="str">
        <f t="shared" si="26"/>
        <v xml:space="preserve"> </v>
      </c>
      <c r="AJ27" s="5" t="e">
        <f t="shared" si="27"/>
        <v>#VALUE!</v>
      </c>
      <c r="AK27" s="4" t="str">
        <f t="shared" si="28"/>
        <v xml:space="preserve"> </v>
      </c>
      <c r="AL27" s="5" t="e">
        <f t="shared" si="29"/>
        <v>#VALUE!</v>
      </c>
      <c r="AM27" s="4" t="str">
        <f t="shared" si="30"/>
        <v xml:space="preserve"> </v>
      </c>
      <c r="AN27" s="5" t="e">
        <f t="shared" si="31"/>
        <v>#VALUE!</v>
      </c>
      <c r="AO27" s="4" t="str">
        <f t="shared" si="32"/>
        <v xml:space="preserve"> </v>
      </c>
      <c r="AP27" s="5" t="e">
        <f t="shared" si="33"/>
        <v>#VALUE!</v>
      </c>
      <c r="AQ27" s="4" t="str">
        <f t="shared" si="34"/>
        <v xml:space="preserve"> </v>
      </c>
      <c r="AR27" s="5" t="e">
        <f t="shared" si="35"/>
        <v>#VALUE!</v>
      </c>
      <c r="AS27" s="4" t="str">
        <f t="shared" si="36"/>
        <v xml:space="preserve"> </v>
      </c>
      <c r="AT27" s="5" t="e">
        <f t="shared" si="37"/>
        <v>#VALUE!</v>
      </c>
      <c r="AU27" s="4" t="str">
        <f t="shared" si="38"/>
        <v xml:space="preserve"> </v>
      </c>
      <c r="AV27" s="5" t="e">
        <f t="shared" si="39"/>
        <v>#VALUE!</v>
      </c>
      <c r="AW27" s="4" t="str">
        <f t="shared" si="40"/>
        <v xml:space="preserve"> </v>
      </c>
      <c r="AY27" s="54" t="str">
        <f t="shared" si="41"/>
        <v/>
      </c>
      <c r="AZ27" s="54" t="str">
        <f t="shared" si="42"/>
        <v/>
      </c>
      <c r="BA27" s="57" t="str">
        <f t="shared" si="43"/>
        <v/>
      </c>
      <c r="BB27" s="58" t="str">
        <f t="shared" si="44"/>
        <v/>
      </c>
      <c r="BC27" t="str">
        <f t="shared" si="45"/>
        <v/>
      </c>
      <c r="BD27" t="e">
        <f t="shared" si="46"/>
        <v>#N/A</v>
      </c>
    </row>
    <row r="28" spans="1:56" x14ac:dyDescent="0.25">
      <c r="A28" s="1" t="str">
        <f>IF(EOD!$F19="","",EOD!$F19)</f>
        <v/>
      </c>
      <c r="B28" s="1" t="str">
        <f>IF(EOD!$C19="","",EOD!$C19)</f>
        <v/>
      </c>
      <c r="C28" s="56" t="str">
        <f>IF(EOD!$A19="","",EOD!$A19)</f>
        <v/>
      </c>
      <c r="D28" s="55" t="str">
        <f>IF(EOD!$D19="","",EOD!$D19)</f>
        <v/>
      </c>
      <c r="E28" s="1" t="str">
        <f>IF(EOD!E19="","",EOD!E19)</f>
        <v/>
      </c>
      <c r="F28" s="1" t="str">
        <f>IF(EOD!G19="","",EOD!G19)</f>
        <v/>
      </c>
      <c r="G28" s="1" t="str">
        <f>IF(EOD!H19="","",EOD!H19)</f>
        <v/>
      </c>
      <c r="H28" s="1" t="str">
        <f>IF(EOD!I19="","",EOD!I19)</f>
        <v/>
      </c>
      <c r="I28" s="5">
        <f t="shared" si="47"/>
        <v>0</v>
      </c>
      <c r="J28" s="5" t="e">
        <f t="shared" si="1"/>
        <v>#VALUE!</v>
      </c>
      <c r="K28" s="4" t="str">
        <f t="shared" si="2"/>
        <v xml:space="preserve"> </v>
      </c>
      <c r="L28" s="5" t="e">
        <f t="shared" si="3"/>
        <v>#VALUE!</v>
      </c>
      <c r="M28" s="4" t="str">
        <f t="shared" si="4"/>
        <v xml:space="preserve"> </v>
      </c>
      <c r="N28" s="5" t="e">
        <f t="shared" si="5"/>
        <v>#VALUE!</v>
      </c>
      <c r="O28" s="4" t="str">
        <f t="shared" si="6"/>
        <v xml:space="preserve"> </v>
      </c>
      <c r="P28" s="5" t="e">
        <f t="shared" si="7"/>
        <v>#VALUE!</v>
      </c>
      <c r="Q28" s="4" t="str">
        <f t="shared" si="8"/>
        <v xml:space="preserve"> </v>
      </c>
      <c r="R28" s="5" t="e">
        <f t="shared" si="9"/>
        <v>#VALUE!</v>
      </c>
      <c r="S28" s="4" t="str">
        <f t="shared" si="10"/>
        <v xml:space="preserve"> </v>
      </c>
      <c r="T28" s="5" t="e">
        <f t="shared" si="11"/>
        <v>#VALUE!</v>
      </c>
      <c r="U28" s="4" t="str">
        <f t="shared" si="12"/>
        <v xml:space="preserve"> </v>
      </c>
      <c r="V28" s="5" t="e">
        <f t="shared" si="13"/>
        <v>#VALUE!</v>
      </c>
      <c r="W28" s="4" t="str">
        <f t="shared" si="14"/>
        <v xml:space="preserve"> </v>
      </c>
      <c r="X28" s="5" t="e">
        <f t="shared" si="15"/>
        <v>#VALUE!</v>
      </c>
      <c r="Y28" s="4" t="str">
        <f t="shared" si="16"/>
        <v xml:space="preserve"> </v>
      </c>
      <c r="Z28" s="5" t="e">
        <f t="shared" si="17"/>
        <v>#VALUE!</v>
      </c>
      <c r="AA28" s="4" t="str">
        <f t="shared" si="18"/>
        <v xml:space="preserve"> </v>
      </c>
      <c r="AB28" s="5" t="e">
        <f t="shared" si="19"/>
        <v>#VALUE!</v>
      </c>
      <c r="AC28" s="4" t="str">
        <f t="shared" si="20"/>
        <v xml:space="preserve"> </v>
      </c>
      <c r="AD28" s="5" t="e">
        <f t="shared" si="21"/>
        <v>#VALUE!</v>
      </c>
      <c r="AE28" s="4" t="str">
        <f t="shared" si="22"/>
        <v xml:space="preserve"> </v>
      </c>
      <c r="AF28" s="5" t="e">
        <f t="shared" si="23"/>
        <v>#VALUE!</v>
      </c>
      <c r="AG28" s="4" t="str">
        <f t="shared" si="24"/>
        <v xml:space="preserve"> </v>
      </c>
      <c r="AH28" s="5" t="e">
        <f t="shared" si="25"/>
        <v>#VALUE!</v>
      </c>
      <c r="AI28" s="4" t="str">
        <f t="shared" si="26"/>
        <v xml:space="preserve"> </v>
      </c>
      <c r="AJ28" s="5" t="e">
        <f t="shared" si="27"/>
        <v>#VALUE!</v>
      </c>
      <c r="AK28" s="4" t="str">
        <f t="shared" si="28"/>
        <v xml:space="preserve"> </v>
      </c>
      <c r="AL28" s="5" t="e">
        <f t="shared" si="29"/>
        <v>#VALUE!</v>
      </c>
      <c r="AM28" s="4" t="str">
        <f t="shared" si="30"/>
        <v xml:space="preserve"> </v>
      </c>
      <c r="AN28" s="5" t="e">
        <f t="shared" si="31"/>
        <v>#VALUE!</v>
      </c>
      <c r="AO28" s="4" t="str">
        <f t="shared" si="32"/>
        <v xml:space="preserve"> </v>
      </c>
      <c r="AP28" s="5" t="e">
        <f t="shared" si="33"/>
        <v>#VALUE!</v>
      </c>
      <c r="AQ28" s="4" t="str">
        <f t="shared" si="34"/>
        <v xml:space="preserve"> </v>
      </c>
      <c r="AR28" s="5" t="e">
        <f t="shared" si="35"/>
        <v>#VALUE!</v>
      </c>
      <c r="AS28" s="4" t="str">
        <f t="shared" si="36"/>
        <v xml:space="preserve"> </v>
      </c>
      <c r="AT28" s="5" t="e">
        <f t="shared" si="37"/>
        <v>#VALUE!</v>
      </c>
      <c r="AU28" s="4" t="str">
        <f t="shared" si="38"/>
        <v xml:space="preserve"> </v>
      </c>
      <c r="AV28" s="5" t="e">
        <f t="shared" si="39"/>
        <v>#VALUE!</v>
      </c>
      <c r="AW28" s="4" t="str">
        <f t="shared" si="40"/>
        <v xml:space="preserve"> </v>
      </c>
      <c r="AY28" s="54" t="str">
        <f t="shared" si="41"/>
        <v/>
      </c>
      <c r="AZ28" s="54" t="str">
        <f t="shared" si="42"/>
        <v/>
      </c>
      <c r="BA28" s="57" t="str">
        <f t="shared" si="43"/>
        <v/>
      </c>
      <c r="BB28" s="58" t="str">
        <f t="shared" si="44"/>
        <v/>
      </c>
      <c r="BC28" t="str">
        <f t="shared" si="45"/>
        <v/>
      </c>
      <c r="BD28" t="e">
        <f t="shared" si="46"/>
        <v>#N/A</v>
      </c>
    </row>
    <row r="29" spans="1:56" hidden="1" outlineLevel="1" x14ac:dyDescent="0.25">
      <c r="A29" s="1" t="str">
        <f>IF(EOD!$F20="","",EOD!$F20)</f>
        <v/>
      </c>
      <c r="B29" s="1" t="str">
        <f>IF(EOD!$C20="","",EOD!$C20)</f>
        <v/>
      </c>
      <c r="C29" s="56" t="str">
        <f>IF(EOD!$A20="","",EOD!$A20)</f>
        <v/>
      </c>
      <c r="D29" s="55" t="str">
        <f>IF(EOD!$D20="","",EOD!$D20)</f>
        <v/>
      </c>
      <c r="E29" s="1" t="str">
        <f>IF(EOD!E20="","",EOD!E20)</f>
        <v/>
      </c>
      <c r="F29" s="1" t="str">
        <f>IF(EOD!G20="","",EOD!G20)</f>
        <v/>
      </c>
      <c r="G29" s="1" t="str">
        <f>IF(EOD!H20="","",EOD!H20)</f>
        <v/>
      </c>
      <c r="H29" s="1" t="str">
        <f>IF(EOD!I20="","",EOD!I20)</f>
        <v/>
      </c>
      <c r="I29" s="5">
        <f t="shared" si="47"/>
        <v>0</v>
      </c>
      <c r="J29" s="5" t="e">
        <f t="shared" si="1"/>
        <v>#VALUE!</v>
      </c>
      <c r="K29" s="4" t="str">
        <f t="shared" si="2"/>
        <v xml:space="preserve"> </v>
      </c>
      <c r="L29" s="5" t="e">
        <f t="shared" si="3"/>
        <v>#VALUE!</v>
      </c>
      <c r="M29" s="4" t="str">
        <f t="shared" si="4"/>
        <v xml:space="preserve"> </v>
      </c>
      <c r="N29" s="5" t="e">
        <f t="shared" si="5"/>
        <v>#VALUE!</v>
      </c>
      <c r="O29" s="4" t="str">
        <f t="shared" si="6"/>
        <v xml:space="preserve"> </v>
      </c>
      <c r="P29" s="5" t="e">
        <f t="shared" si="7"/>
        <v>#VALUE!</v>
      </c>
      <c r="Q29" s="4" t="str">
        <f t="shared" si="8"/>
        <v xml:space="preserve"> </v>
      </c>
      <c r="R29" s="5" t="e">
        <f t="shared" si="9"/>
        <v>#VALUE!</v>
      </c>
      <c r="S29" s="4" t="str">
        <f t="shared" si="10"/>
        <v xml:space="preserve"> </v>
      </c>
      <c r="T29" s="5" t="e">
        <f t="shared" si="11"/>
        <v>#VALUE!</v>
      </c>
      <c r="U29" s="4" t="str">
        <f t="shared" si="12"/>
        <v xml:space="preserve"> </v>
      </c>
      <c r="V29" s="5" t="e">
        <f t="shared" si="13"/>
        <v>#VALUE!</v>
      </c>
      <c r="W29" s="4" t="str">
        <f t="shared" si="14"/>
        <v xml:space="preserve"> </v>
      </c>
      <c r="X29" s="5" t="e">
        <f t="shared" si="15"/>
        <v>#VALUE!</v>
      </c>
      <c r="Y29" s="4" t="str">
        <f t="shared" si="16"/>
        <v xml:space="preserve"> </v>
      </c>
      <c r="Z29" s="5" t="e">
        <f t="shared" si="17"/>
        <v>#VALUE!</v>
      </c>
      <c r="AA29" s="4" t="str">
        <f t="shared" si="18"/>
        <v xml:space="preserve"> </v>
      </c>
      <c r="AB29" s="5" t="e">
        <f t="shared" si="19"/>
        <v>#VALUE!</v>
      </c>
      <c r="AC29" s="4" t="str">
        <f t="shared" si="20"/>
        <v xml:space="preserve"> </v>
      </c>
      <c r="AD29" s="5" t="e">
        <f t="shared" si="21"/>
        <v>#VALUE!</v>
      </c>
      <c r="AE29" s="4" t="str">
        <f t="shared" si="22"/>
        <v xml:space="preserve"> </v>
      </c>
      <c r="AF29" s="5" t="e">
        <f t="shared" si="23"/>
        <v>#VALUE!</v>
      </c>
      <c r="AG29" s="4" t="str">
        <f t="shared" si="24"/>
        <v xml:space="preserve"> </v>
      </c>
      <c r="AH29" s="5" t="e">
        <f t="shared" si="25"/>
        <v>#VALUE!</v>
      </c>
      <c r="AI29" s="4" t="str">
        <f t="shared" si="26"/>
        <v xml:space="preserve"> </v>
      </c>
      <c r="AJ29" s="5" t="e">
        <f t="shared" si="27"/>
        <v>#VALUE!</v>
      </c>
      <c r="AK29" s="4" t="str">
        <f t="shared" si="28"/>
        <v xml:space="preserve"> </v>
      </c>
      <c r="AL29" s="5" t="e">
        <f t="shared" si="29"/>
        <v>#VALUE!</v>
      </c>
      <c r="AM29" s="4" t="str">
        <f t="shared" si="30"/>
        <v xml:space="preserve"> </v>
      </c>
      <c r="AN29" s="5" t="e">
        <f t="shared" si="31"/>
        <v>#VALUE!</v>
      </c>
      <c r="AO29" s="4" t="str">
        <f t="shared" si="32"/>
        <v xml:space="preserve"> </v>
      </c>
      <c r="AP29" s="5" t="e">
        <f t="shared" si="33"/>
        <v>#VALUE!</v>
      </c>
      <c r="AQ29" s="4" t="str">
        <f t="shared" si="34"/>
        <v xml:space="preserve"> </v>
      </c>
      <c r="AR29" s="5" t="e">
        <f t="shared" si="35"/>
        <v>#VALUE!</v>
      </c>
      <c r="AS29" s="4" t="str">
        <f t="shared" si="36"/>
        <v xml:space="preserve"> </v>
      </c>
      <c r="AT29" s="5" t="e">
        <f t="shared" si="37"/>
        <v>#VALUE!</v>
      </c>
      <c r="AU29" s="4" t="str">
        <f t="shared" si="38"/>
        <v xml:space="preserve"> </v>
      </c>
      <c r="AV29" s="5" t="e">
        <f t="shared" si="39"/>
        <v>#VALUE!</v>
      </c>
      <c r="AW29" s="4" t="str">
        <f t="shared" si="40"/>
        <v xml:space="preserve"> </v>
      </c>
      <c r="AY29" s="54" t="str">
        <f t="shared" si="41"/>
        <v/>
      </c>
      <c r="AZ29" s="54" t="str">
        <f t="shared" si="42"/>
        <v/>
      </c>
      <c r="BA29" s="57" t="str">
        <f t="shared" si="43"/>
        <v/>
      </c>
      <c r="BB29" s="58" t="str">
        <f t="shared" si="44"/>
        <v/>
      </c>
      <c r="BC29" t="str">
        <f t="shared" si="45"/>
        <v/>
      </c>
      <c r="BD29" t="e">
        <f t="shared" si="46"/>
        <v>#N/A</v>
      </c>
    </row>
    <row r="30" spans="1:56" hidden="1" outlineLevel="1" x14ac:dyDescent="0.25">
      <c r="A30" s="1" t="str">
        <f>IF(EOD!$F21="","",EOD!$F21)</f>
        <v/>
      </c>
      <c r="B30" s="1" t="str">
        <f>IF(EOD!$C21="","",EOD!$C21)</f>
        <v/>
      </c>
      <c r="C30" s="56" t="str">
        <f>IF(EOD!$A21="","",EOD!$A21)</f>
        <v/>
      </c>
      <c r="D30" s="55" t="str">
        <f>IF(EOD!$D21="","",EOD!$D21)</f>
        <v/>
      </c>
      <c r="E30" s="1" t="str">
        <f>IF(EOD!E21="","",EOD!E21)</f>
        <v/>
      </c>
      <c r="F30" s="1" t="str">
        <f>IF(EOD!G21="","",EOD!G21)</f>
        <v/>
      </c>
      <c r="G30" s="1" t="str">
        <f>IF(EOD!H21="","",EOD!H21)</f>
        <v/>
      </c>
      <c r="H30" s="1" t="str">
        <f>IF(EOD!I21="","",EOD!I21)</f>
        <v/>
      </c>
      <c r="I30" s="5">
        <f t="shared" si="47"/>
        <v>0</v>
      </c>
      <c r="J30" s="5" t="e">
        <f t="shared" si="1"/>
        <v>#VALUE!</v>
      </c>
      <c r="K30" s="4" t="str">
        <f t="shared" si="2"/>
        <v xml:space="preserve"> </v>
      </c>
      <c r="L30" s="5" t="e">
        <f t="shared" si="3"/>
        <v>#VALUE!</v>
      </c>
      <c r="M30" s="4" t="str">
        <f t="shared" si="4"/>
        <v xml:space="preserve"> </v>
      </c>
      <c r="N30" s="5" t="e">
        <f t="shared" si="5"/>
        <v>#VALUE!</v>
      </c>
      <c r="O30" s="4" t="str">
        <f t="shared" si="6"/>
        <v xml:space="preserve"> </v>
      </c>
      <c r="P30" s="5" t="e">
        <f t="shared" si="7"/>
        <v>#VALUE!</v>
      </c>
      <c r="Q30" s="4" t="str">
        <f t="shared" si="8"/>
        <v xml:space="preserve"> </v>
      </c>
      <c r="R30" s="5" t="e">
        <f t="shared" si="9"/>
        <v>#VALUE!</v>
      </c>
      <c r="S30" s="4" t="str">
        <f t="shared" si="10"/>
        <v xml:space="preserve"> </v>
      </c>
      <c r="T30" s="5" t="e">
        <f t="shared" si="11"/>
        <v>#VALUE!</v>
      </c>
      <c r="U30" s="4" t="str">
        <f t="shared" si="12"/>
        <v xml:space="preserve"> </v>
      </c>
      <c r="V30" s="5" t="e">
        <f t="shared" si="13"/>
        <v>#VALUE!</v>
      </c>
      <c r="W30" s="4" t="str">
        <f t="shared" si="14"/>
        <v xml:space="preserve"> </v>
      </c>
      <c r="X30" s="5" t="e">
        <f t="shared" si="15"/>
        <v>#VALUE!</v>
      </c>
      <c r="Y30" s="4" t="str">
        <f t="shared" si="16"/>
        <v xml:space="preserve"> </v>
      </c>
      <c r="Z30" s="5" t="e">
        <f t="shared" si="17"/>
        <v>#VALUE!</v>
      </c>
      <c r="AA30" s="4" t="str">
        <f t="shared" si="18"/>
        <v xml:space="preserve"> </v>
      </c>
      <c r="AB30" s="5" t="e">
        <f t="shared" si="19"/>
        <v>#VALUE!</v>
      </c>
      <c r="AC30" s="4" t="str">
        <f t="shared" si="20"/>
        <v xml:space="preserve"> </v>
      </c>
      <c r="AD30" s="5" t="e">
        <f t="shared" si="21"/>
        <v>#VALUE!</v>
      </c>
      <c r="AE30" s="4" t="str">
        <f t="shared" si="22"/>
        <v xml:space="preserve"> </v>
      </c>
      <c r="AF30" s="5" t="e">
        <f t="shared" si="23"/>
        <v>#VALUE!</v>
      </c>
      <c r="AG30" s="4" t="str">
        <f t="shared" si="24"/>
        <v xml:space="preserve"> </v>
      </c>
      <c r="AH30" s="5" t="e">
        <f t="shared" si="25"/>
        <v>#VALUE!</v>
      </c>
      <c r="AI30" s="4" t="str">
        <f t="shared" si="26"/>
        <v xml:space="preserve"> </v>
      </c>
      <c r="AJ30" s="5" t="e">
        <f t="shared" si="27"/>
        <v>#VALUE!</v>
      </c>
      <c r="AK30" s="4" t="str">
        <f t="shared" si="28"/>
        <v xml:space="preserve"> </v>
      </c>
      <c r="AL30" s="5" t="e">
        <f t="shared" si="29"/>
        <v>#VALUE!</v>
      </c>
      <c r="AM30" s="4" t="str">
        <f t="shared" si="30"/>
        <v xml:space="preserve"> </v>
      </c>
      <c r="AN30" s="5" t="e">
        <f t="shared" si="31"/>
        <v>#VALUE!</v>
      </c>
      <c r="AO30" s="4" t="str">
        <f t="shared" si="32"/>
        <v xml:space="preserve"> </v>
      </c>
      <c r="AP30" s="5" t="e">
        <f t="shared" si="33"/>
        <v>#VALUE!</v>
      </c>
      <c r="AQ30" s="4" t="str">
        <f t="shared" si="34"/>
        <v xml:space="preserve"> </v>
      </c>
      <c r="AR30" s="5" t="e">
        <f t="shared" si="35"/>
        <v>#VALUE!</v>
      </c>
      <c r="AS30" s="4" t="str">
        <f t="shared" si="36"/>
        <v xml:space="preserve"> </v>
      </c>
      <c r="AT30" s="5" t="e">
        <f t="shared" si="37"/>
        <v>#VALUE!</v>
      </c>
      <c r="AU30" s="4" t="str">
        <f t="shared" si="38"/>
        <v xml:space="preserve"> </v>
      </c>
      <c r="AV30" s="5" t="e">
        <f t="shared" si="39"/>
        <v>#VALUE!</v>
      </c>
      <c r="AW30" s="4" t="str">
        <f t="shared" si="40"/>
        <v xml:space="preserve"> </v>
      </c>
      <c r="AY30" s="54" t="str">
        <f t="shared" si="41"/>
        <v/>
      </c>
      <c r="AZ30" s="54" t="str">
        <f t="shared" si="42"/>
        <v/>
      </c>
      <c r="BA30" s="57" t="str">
        <f t="shared" si="43"/>
        <v/>
      </c>
      <c r="BB30" s="58" t="str">
        <f t="shared" si="44"/>
        <v/>
      </c>
      <c r="BC30" t="str">
        <f t="shared" si="45"/>
        <v/>
      </c>
      <c r="BD30" t="e">
        <f t="shared" si="46"/>
        <v>#N/A</v>
      </c>
    </row>
    <row r="31" spans="1:56" hidden="1" outlineLevel="1" x14ac:dyDescent="0.25">
      <c r="A31" s="1" t="str">
        <f>IF(EOD!$F22="","",EOD!$F22)</f>
        <v/>
      </c>
      <c r="B31" s="1" t="str">
        <f>IF(EOD!$C22="","",EOD!$C22)</f>
        <v/>
      </c>
      <c r="C31" s="56" t="str">
        <f>IF(EOD!$A22="","",EOD!$A22)</f>
        <v/>
      </c>
      <c r="D31" s="55" t="str">
        <f>IF(EOD!$D22="","",EOD!$D22)</f>
        <v/>
      </c>
      <c r="E31" s="1" t="str">
        <f>IF(EOD!E22="","",EOD!E22)</f>
        <v/>
      </c>
      <c r="F31" s="1" t="str">
        <f>IF(EOD!G22="","",EOD!G22)</f>
        <v/>
      </c>
      <c r="G31" s="1" t="str">
        <f>IF(EOD!H22="","",EOD!H22)</f>
        <v/>
      </c>
      <c r="H31" s="1" t="str">
        <f>IF(EOD!I22="","",EOD!I22)</f>
        <v/>
      </c>
      <c r="I31" s="5">
        <f t="shared" si="47"/>
        <v>0</v>
      </c>
      <c r="J31" s="5" t="e">
        <f t="shared" si="1"/>
        <v>#VALUE!</v>
      </c>
      <c r="K31" s="4" t="str">
        <f t="shared" si="2"/>
        <v xml:space="preserve"> </v>
      </c>
      <c r="L31" s="5" t="e">
        <f t="shared" si="3"/>
        <v>#VALUE!</v>
      </c>
      <c r="M31" s="4" t="str">
        <f t="shared" si="4"/>
        <v xml:space="preserve"> </v>
      </c>
      <c r="N31" s="5" t="e">
        <f t="shared" si="5"/>
        <v>#VALUE!</v>
      </c>
      <c r="O31" s="4" t="str">
        <f t="shared" si="6"/>
        <v xml:space="preserve"> </v>
      </c>
      <c r="P31" s="5" t="e">
        <f t="shared" si="7"/>
        <v>#VALUE!</v>
      </c>
      <c r="Q31" s="4" t="str">
        <f t="shared" si="8"/>
        <v xml:space="preserve"> </v>
      </c>
      <c r="R31" s="5" t="e">
        <f t="shared" si="9"/>
        <v>#VALUE!</v>
      </c>
      <c r="S31" s="4" t="str">
        <f t="shared" si="10"/>
        <v xml:space="preserve"> </v>
      </c>
      <c r="T31" s="5" t="e">
        <f t="shared" si="11"/>
        <v>#VALUE!</v>
      </c>
      <c r="U31" s="4" t="str">
        <f t="shared" si="12"/>
        <v xml:space="preserve"> </v>
      </c>
      <c r="V31" s="5" t="e">
        <f t="shared" si="13"/>
        <v>#VALUE!</v>
      </c>
      <c r="W31" s="4" t="str">
        <f t="shared" si="14"/>
        <v xml:space="preserve"> </v>
      </c>
      <c r="X31" s="5" t="e">
        <f t="shared" si="15"/>
        <v>#VALUE!</v>
      </c>
      <c r="Y31" s="4" t="str">
        <f t="shared" si="16"/>
        <v xml:space="preserve"> </v>
      </c>
      <c r="Z31" s="5" t="e">
        <f t="shared" si="17"/>
        <v>#VALUE!</v>
      </c>
      <c r="AA31" s="4" t="str">
        <f t="shared" si="18"/>
        <v xml:space="preserve"> </v>
      </c>
      <c r="AB31" s="5" t="e">
        <f t="shared" si="19"/>
        <v>#VALUE!</v>
      </c>
      <c r="AC31" s="4" t="str">
        <f t="shared" si="20"/>
        <v xml:space="preserve"> </v>
      </c>
      <c r="AD31" s="5" t="e">
        <f t="shared" si="21"/>
        <v>#VALUE!</v>
      </c>
      <c r="AE31" s="4" t="str">
        <f t="shared" si="22"/>
        <v xml:space="preserve"> </v>
      </c>
      <c r="AF31" s="5" t="e">
        <f t="shared" si="23"/>
        <v>#VALUE!</v>
      </c>
      <c r="AG31" s="4" t="str">
        <f t="shared" si="24"/>
        <v xml:space="preserve"> </v>
      </c>
      <c r="AH31" s="5" t="e">
        <f t="shared" si="25"/>
        <v>#VALUE!</v>
      </c>
      <c r="AI31" s="4" t="str">
        <f t="shared" si="26"/>
        <v xml:space="preserve"> </v>
      </c>
      <c r="AJ31" s="5" t="e">
        <f t="shared" si="27"/>
        <v>#VALUE!</v>
      </c>
      <c r="AK31" s="4" t="str">
        <f t="shared" si="28"/>
        <v xml:space="preserve"> </v>
      </c>
      <c r="AL31" s="5" t="e">
        <f t="shared" si="29"/>
        <v>#VALUE!</v>
      </c>
      <c r="AM31" s="4" t="str">
        <f t="shared" si="30"/>
        <v xml:space="preserve"> </v>
      </c>
      <c r="AN31" s="5" t="e">
        <f t="shared" si="31"/>
        <v>#VALUE!</v>
      </c>
      <c r="AO31" s="4" t="str">
        <f t="shared" si="32"/>
        <v xml:space="preserve"> </v>
      </c>
      <c r="AP31" s="5" t="e">
        <f t="shared" si="33"/>
        <v>#VALUE!</v>
      </c>
      <c r="AQ31" s="4" t="str">
        <f t="shared" si="34"/>
        <v xml:space="preserve"> </v>
      </c>
      <c r="AR31" s="5" t="e">
        <f t="shared" si="35"/>
        <v>#VALUE!</v>
      </c>
      <c r="AS31" s="4" t="str">
        <f t="shared" si="36"/>
        <v xml:space="preserve"> </v>
      </c>
      <c r="AT31" s="5" t="e">
        <f t="shared" si="37"/>
        <v>#VALUE!</v>
      </c>
      <c r="AU31" s="4" t="str">
        <f t="shared" si="38"/>
        <v xml:space="preserve"> </v>
      </c>
      <c r="AV31" s="5" t="e">
        <f t="shared" si="39"/>
        <v>#VALUE!</v>
      </c>
      <c r="AW31" s="4" t="str">
        <f t="shared" si="40"/>
        <v xml:space="preserve"> </v>
      </c>
      <c r="AY31" s="54" t="str">
        <f t="shared" si="41"/>
        <v/>
      </c>
      <c r="AZ31" s="54" t="str">
        <f t="shared" si="42"/>
        <v/>
      </c>
      <c r="BA31" s="57" t="str">
        <f t="shared" si="43"/>
        <v/>
      </c>
      <c r="BB31" s="58" t="str">
        <f t="shared" si="44"/>
        <v/>
      </c>
      <c r="BC31" t="str">
        <f t="shared" si="45"/>
        <v/>
      </c>
      <c r="BD31" t="e">
        <f t="shared" si="46"/>
        <v>#N/A</v>
      </c>
    </row>
    <row r="32" spans="1:56" hidden="1" outlineLevel="1" x14ac:dyDescent="0.25">
      <c r="A32" s="1" t="str">
        <f>IF(EOD!$F23="","",EOD!$F23)</f>
        <v/>
      </c>
      <c r="B32" s="1" t="str">
        <f>IF(EOD!$C23="","",EOD!$C23)</f>
        <v/>
      </c>
      <c r="C32" s="56" t="str">
        <f>IF(EOD!$A23="","",EOD!$A23)</f>
        <v/>
      </c>
      <c r="D32" s="55" t="str">
        <f>IF(EOD!$D23="","",EOD!$D23)</f>
        <v/>
      </c>
      <c r="E32" s="1" t="str">
        <f>IF(EOD!E23="","",EOD!E23)</f>
        <v/>
      </c>
      <c r="F32" s="1" t="str">
        <f>IF(EOD!G23="","",EOD!G23)</f>
        <v/>
      </c>
      <c r="G32" s="1" t="str">
        <f>IF(EOD!H23="","",EOD!H23)</f>
        <v/>
      </c>
      <c r="H32" s="1" t="str">
        <f>IF(EOD!I23="","",EOD!I23)</f>
        <v/>
      </c>
      <c r="I32" s="5">
        <f t="shared" si="47"/>
        <v>0</v>
      </c>
      <c r="J32" s="5" t="e">
        <f t="shared" si="1"/>
        <v>#VALUE!</v>
      </c>
      <c r="K32" s="4" t="str">
        <f t="shared" si="2"/>
        <v xml:space="preserve"> </v>
      </c>
      <c r="L32" s="5" t="e">
        <f t="shared" si="3"/>
        <v>#VALUE!</v>
      </c>
      <c r="M32" s="4" t="str">
        <f t="shared" si="4"/>
        <v xml:space="preserve"> </v>
      </c>
      <c r="N32" s="5" t="e">
        <f t="shared" si="5"/>
        <v>#VALUE!</v>
      </c>
      <c r="O32" s="4" t="str">
        <f t="shared" si="6"/>
        <v xml:space="preserve"> </v>
      </c>
      <c r="P32" s="5" t="e">
        <f t="shared" si="7"/>
        <v>#VALUE!</v>
      </c>
      <c r="Q32" s="4" t="str">
        <f t="shared" si="8"/>
        <v xml:space="preserve"> </v>
      </c>
      <c r="R32" s="5" t="e">
        <f t="shared" si="9"/>
        <v>#VALUE!</v>
      </c>
      <c r="S32" s="4" t="str">
        <f t="shared" si="10"/>
        <v xml:space="preserve"> </v>
      </c>
      <c r="T32" s="5" t="e">
        <f t="shared" si="11"/>
        <v>#VALUE!</v>
      </c>
      <c r="U32" s="4" t="str">
        <f t="shared" si="12"/>
        <v xml:space="preserve"> </v>
      </c>
      <c r="V32" s="5" t="e">
        <f t="shared" si="13"/>
        <v>#VALUE!</v>
      </c>
      <c r="W32" s="4" t="str">
        <f t="shared" si="14"/>
        <v xml:space="preserve"> </v>
      </c>
      <c r="X32" s="5" t="e">
        <f t="shared" si="15"/>
        <v>#VALUE!</v>
      </c>
      <c r="Y32" s="4" t="str">
        <f t="shared" si="16"/>
        <v xml:space="preserve"> </v>
      </c>
      <c r="Z32" s="5" t="e">
        <f t="shared" si="17"/>
        <v>#VALUE!</v>
      </c>
      <c r="AA32" s="4" t="str">
        <f t="shared" si="18"/>
        <v xml:space="preserve"> </v>
      </c>
      <c r="AB32" s="5" t="e">
        <f t="shared" si="19"/>
        <v>#VALUE!</v>
      </c>
      <c r="AC32" s="4" t="str">
        <f t="shared" si="20"/>
        <v xml:space="preserve"> </v>
      </c>
      <c r="AD32" s="5" t="e">
        <f t="shared" si="21"/>
        <v>#VALUE!</v>
      </c>
      <c r="AE32" s="4" t="str">
        <f t="shared" si="22"/>
        <v xml:space="preserve"> </v>
      </c>
      <c r="AF32" s="5" t="e">
        <f t="shared" si="23"/>
        <v>#VALUE!</v>
      </c>
      <c r="AG32" s="4" t="str">
        <f t="shared" si="24"/>
        <v xml:space="preserve"> </v>
      </c>
      <c r="AH32" s="5" t="e">
        <f t="shared" si="25"/>
        <v>#VALUE!</v>
      </c>
      <c r="AI32" s="4" t="str">
        <f t="shared" si="26"/>
        <v xml:space="preserve"> </v>
      </c>
      <c r="AJ32" s="5" t="e">
        <f t="shared" si="27"/>
        <v>#VALUE!</v>
      </c>
      <c r="AK32" s="4" t="str">
        <f t="shared" si="28"/>
        <v xml:space="preserve"> </v>
      </c>
      <c r="AL32" s="5" t="e">
        <f t="shared" si="29"/>
        <v>#VALUE!</v>
      </c>
      <c r="AM32" s="4" t="str">
        <f t="shared" si="30"/>
        <v xml:space="preserve"> </v>
      </c>
      <c r="AN32" s="5" t="e">
        <f t="shared" si="31"/>
        <v>#VALUE!</v>
      </c>
      <c r="AO32" s="4" t="str">
        <f t="shared" si="32"/>
        <v xml:space="preserve"> </v>
      </c>
      <c r="AP32" s="5" t="e">
        <f t="shared" si="33"/>
        <v>#VALUE!</v>
      </c>
      <c r="AQ32" s="4" t="str">
        <f t="shared" si="34"/>
        <v xml:space="preserve"> </v>
      </c>
      <c r="AR32" s="5" t="e">
        <f t="shared" si="35"/>
        <v>#VALUE!</v>
      </c>
      <c r="AS32" s="4" t="str">
        <f t="shared" si="36"/>
        <v xml:space="preserve"> </v>
      </c>
      <c r="AT32" s="5" t="e">
        <f t="shared" si="37"/>
        <v>#VALUE!</v>
      </c>
      <c r="AU32" s="4" t="str">
        <f t="shared" si="38"/>
        <v xml:space="preserve"> </v>
      </c>
      <c r="AV32" s="5" t="e">
        <f t="shared" si="39"/>
        <v>#VALUE!</v>
      </c>
      <c r="AW32" s="4" t="str">
        <f t="shared" si="40"/>
        <v xml:space="preserve"> </v>
      </c>
      <c r="AY32" s="54" t="str">
        <f t="shared" si="41"/>
        <v/>
      </c>
      <c r="AZ32" s="54" t="str">
        <f t="shared" si="42"/>
        <v/>
      </c>
      <c r="BA32" s="57" t="str">
        <f t="shared" si="43"/>
        <v/>
      </c>
      <c r="BB32" s="58" t="str">
        <f t="shared" si="44"/>
        <v/>
      </c>
      <c r="BC32" t="str">
        <f t="shared" si="45"/>
        <v/>
      </c>
      <c r="BD32" t="e">
        <f t="shared" si="46"/>
        <v>#N/A</v>
      </c>
    </row>
    <row r="33" spans="1:56" hidden="1" outlineLevel="1" x14ac:dyDescent="0.25">
      <c r="A33" s="1" t="str">
        <f>IF(EOD!$F24="","",EOD!$F24)</f>
        <v/>
      </c>
      <c r="B33" s="1" t="str">
        <f>IF(EOD!$C24="","",EOD!$C24)</f>
        <v/>
      </c>
      <c r="C33" s="56" t="str">
        <f>IF(EOD!$A24="","",EOD!$A24)</f>
        <v/>
      </c>
      <c r="D33" s="55" t="str">
        <f>IF(EOD!$D24="","",EOD!$D24)</f>
        <v/>
      </c>
      <c r="E33" s="1" t="str">
        <f>IF(EOD!E24="","",EOD!E24)</f>
        <v/>
      </c>
      <c r="F33" s="1" t="str">
        <f>IF(EOD!G24="","",EOD!G24)</f>
        <v/>
      </c>
      <c r="G33" s="1" t="str">
        <f>IF(EOD!H24="","",EOD!H24)</f>
        <v/>
      </c>
      <c r="H33" s="1" t="str">
        <f>IF(EOD!I24="","",EOD!I24)</f>
        <v/>
      </c>
      <c r="I33" s="5">
        <f t="shared" si="47"/>
        <v>0</v>
      </c>
      <c r="J33" s="5" t="e">
        <f t="shared" si="1"/>
        <v>#VALUE!</v>
      </c>
      <c r="K33" s="4" t="str">
        <f t="shared" si="2"/>
        <v xml:space="preserve"> </v>
      </c>
      <c r="L33" s="5" t="e">
        <f t="shared" si="3"/>
        <v>#VALUE!</v>
      </c>
      <c r="M33" s="4" t="str">
        <f t="shared" si="4"/>
        <v xml:space="preserve"> </v>
      </c>
      <c r="N33" s="5" t="e">
        <f t="shared" si="5"/>
        <v>#VALUE!</v>
      </c>
      <c r="O33" s="4" t="str">
        <f t="shared" si="6"/>
        <v xml:space="preserve"> </v>
      </c>
      <c r="P33" s="5" t="e">
        <f t="shared" si="7"/>
        <v>#VALUE!</v>
      </c>
      <c r="Q33" s="4" t="str">
        <f t="shared" si="8"/>
        <v xml:space="preserve"> </v>
      </c>
      <c r="R33" s="5" t="e">
        <f t="shared" si="9"/>
        <v>#VALUE!</v>
      </c>
      <c r="S33" s="4" t="str">
        <f t="shared" si="10"/>
        <v xml:space="preserve"> </v>
      </c>
      <c r="T33" s="5" t="e">
        <f t="shared" si="11"/>
        <v>#VALUE!</v>
      </c>
      <c r="U33" s="4" t="str">
        <f t="shared" si="12"/>
        <v xml:space="preserve"> </v>
      </c>
      <c r="V33" s="5" t="e">
        <f t="shared" si="13"/>
        <v>#VALUE!</v>
      </c>
      <c r="W33" s="4" t="str">
        <f t="shared" si="14"/>
        <v xml:space="preserve"> </v>
      </c>
      <c r="X33" s="5" t="e">
        <f t="shared" si="15"/>
        <v>#VALUE!</v>
      </c>
      <c r="Y33" s="4" t="str">
        <f t="shared" si="16"/>
        <v xml:space="preserve"> </v>
      </c>
      <c r="Z33" s="5" t="e">
        <f t="shared" si="17"/>
        <v>#VALUE!</v>
      </c>
      <c r="AA33" s="4" t="str">
        <f t="shared" si="18"/>
        <v xml:space="preserve"> </v>
      </c>
      <c r="AB33" s="5" t="e">
        <f t="shared" si="19"/>
        <v>#VALUE!</v>
      </c>
      <c r="AC33" s="4" t="str">
        <f t="shared" si="20"/>
        <v xml:space="preserve"> </v>
      </c>
      <c r="AD33" s="5" t="e">
        <f t="shared" si="21"/>
        <v>#VALUE!</v>
      </c>
      <c r="AE33" s="4" t="str">
        <f t="shared" si="22"/>
        <v xml:space="preserve"> </v>
      </c>
      <c r="AF33" s="5" t="e">
        <f t="shared" si="23"/>
        <v>#VALUE!</v>
      </c>
      <c r="AG33" s="4" t="str">
        <f t="shared" si="24"/>
        <v xml:space="preserve"> </v>
      </c>
      <c r="AH33" s="5" t="e">
        <f t="shared" si="25"/>
        <v>#VALUE!</v>
      </c>
      <c r="AI33" s="4" t="str">
        <f t="shared" si="26"/>
        <v xml:space="preserve"> </v>
      </c>
      <c r="AJ33" s="5" t="e">
        <f t="shared" si="27"/>
        <v>#VALUE!</v>
      </c>
      <c r="AK33" s="4" t="str">
        <f t="shared" si="28"/>
        <v xml:space="preserve"> </v>
      </c>
      <c r="AL33" s="5" t="e">
        <f t="shared" si="29"/>
        <v>#VALUE!</v>
      </c>
      <c r="AM33" s="4" t="str">
        <f t="shared" si="30"/>
        <v xml:space="preserve"> </v>
      </c>
      <c r="AN33" s="5" t="e">
        <f t="shared" si="31"/>
        <v>#VALUE!</v>
      </c>
      <c r="AO33" s="4" t="str">
        <f t="shared" si="32"/>
        <v xml:space="preserve"> </v>
      </c>
      <c r="AP33" s="5" t="e">
        <f t="shared" si="33"/>
        <v>#VALUE!</v>
      </c>
      <c r="AQ33" s="4" t="str">
        <f t="shared" si="34"/>
        <v xml:space="preserve"> </v>
      </c>
      <c r="AR33" s="5" t="e">
        <f t="shared" si="35"/>
        <v>#VALUE!</v>
      </c>
      <c r="AS33" s="4" t="str">
        <f t="shared" si="36"/>
        <v xml:space="preserve"> </v>
      </c>
      <c r="AT33" s="5" t="e">
        <f t="shared" si="37"/>
        <v>#VALUE!</v>
      </c>
      <c r="AU33" s="4" t="str">
        <f t="shared" si="38"/>
        <v xml:space="preserve"> </v>
      </c>
      <c r="AV33" s="5" t="e">
        <f t="shared" si="39"/>
        <v>#VALUE!</v>
      </c>
      <c r="AW33" s="4" t="str">
        <f t="shared" si="40"/>
        <v xml:space="preserve"> </v>
      </c>
      <c r="AY33" s="54" t="str">
        <f t="shared" si="41"/>
        <v/>
      </c>
      <c r="AZ33" s="54" t="str">
        <f t="shared" si="42"/>
        <v/>
      </c>
      <c r="BA33" s="57" t="str">
        <f t="shared" si="43"/>
        <v/>
      </c>
      <c r="BB33" s="58" t="str">
        <f t="shared" si="44"/>
        <v/>
      </c>
      <c r="BC33" t="str">
        <f t="shared" si="45"/>
        <v/>
      </c>
      <c r="BD33" t="e">
        <f t="shared" si="46"/>
        <v>#N/A</v>
      </c>
    </row>
    <row r="34" spans="1:56" hidden="1" outlineLevel="1" x14ac:dyDescent="0.25">
      <c r="A34" s="1" t="str">
        <f>IF(EOD!$F25="","",EOD!$F25)</f>
        <v/>
      </c>
      <c r="B34" s="1" t="str">
        <f>IF(EOD!$C25="","",EOD!$C25)</f>
        <v/>
      </c>
      <c r="C34" s="56" t="str">
        <f>IF(EOD!$A25="","",EOD!$A25)</f>
        <v/>
      </c>
      <c r="D34" s="55" t="str">
        <f>IF(EOD!$D25="","",EOD!$D25)</f>
        <v/>
      </c>
      <c r="E34" s="1" t="str">
        <f>IF(EOD!E25="","",EOD!E25)</f>
        <v/>
      </c>
      <c r="F34" s="1" t="str">
        <f>IF(EOD!G25="","",EOD!G25)</f>
        <v/>
      </c>
      <c r="G34" s="1" t="str">
        <f>IF(EOD!H25="","",EOD!H25)</f>
        <v/>
      </c>
      <c r="H34" s="1" t="str">
        <f>IF(EOD!I25="","",EOD!I25)</f>
        <v/>
      </c>
      <c r="I34" s="5">
        <f t="shared" si="47"/>
        <v>0</v>
      </c>
      <c r="J34" s="5" t="e">
        <f t="shared" si="1"/>
        <v>#VALUE!</v>
      </c>
      <c r="K34" s="4" t="str">
        <f t="shared" si="2"/>
        <v xml:space="preserve"> </v>
      </c>
      <c r="L34" s="5" t="e">
        <f t="shared" si="3"/>
        <v>#VALUE!</v>
      </c>
      <c r="M34" s="4" t="str">
        <f t="shared" si="4"/>
        <v xml:space="preserve"> </v>
      </c>
      <c r="N34" s="5" t="e">
        <f t="shared" si="5"/>
        <v>#VALUE!</v>
      </c>
      <c r="O34" s="4" t="str">
        <f t="shared" si="6"/>
        <v xml:space="preserve"> </v>
      </c>
      <c r="P34" s="5" t="e">
        <f t="shared" si="7"/>
        <v>#VALUE!</v>
      </c>
      <c r="Q34" s="4" t="str">
        <f t="shared" si="8"/>
        <v xml:space="preserve"> </v>
      </c>
      <c r="R34" s="5" t="e">
        <f t="shared" si="9"/>
        <v>#VALUE!</v>
      </c>
      <c r="S34" s="4" t="str">
        <f t="shared" si="10"/>
        <v xml:space="preserve"> </v>
      </c>
      <c r="T34" s="5" t="e">
        <f t="shared" si="11"/>
        <v>#VALUE!</v>
      </c>
      <c r="U34" s="4" t="str">
        <f t="shared" si="12"/>
        <v xml:space="preserve"> </v>
      </c>
      <c r="V34" s="5" t="e">
        <f t="shared" si="13"/>
        <v>#VALUE!</v>
      </c>
      <c r="W34" s="4" t="str">
        <f t="shared" si="14"/>
        <v xml:space="preserve"> </v>
      </c>
      <c r="X34" s="5" t="e">
        <f t="shared" si="15"/>
        <v>#VALUE!</v>
      </c>
      <c r="Y34" s="4" t="str">
        <f t="shared" si="16"/>
        <v xml:space="preserve"> </v>
      </c>
      <c r="Z34" s="5" t="e">
        <f t="shared" si="17"/>
        <v>#VALUE!</v>
      </c>
      <c r="AA34" s="4" t="str">
        <f t="shared" si="18"/>
        <v xml:space="preserve"> </v>
      </c>
      <c r="AB34" s="5" t="e">
        <f t="shared" si="19"/>
        <v>#VALUE!</v>
      </c>
      <c r="AC34" s="4" t="str">
        <f t="shared" si="20"/>
        <v xml:space="preserve"> </v>
      </c>
      <c r="AD34" s="5" t="e">
        <f t="shared" si="21"/>
        <v>#VALUE!</v>
      </c>
      <c r="AE34" s="4" t="str">
        <f t="shared" si="22"/>
        <v xml:space="preserve"> </v>
      </c>
      <c r="AF34" s="5" t="e">
        <f t="shared" si="23"/>
        <v>#VALUE!</v>
      </c>
      <c r="AG34" s="4" t="str">
        <f t="shared" si="24"/>
        <v xml:space="preserve"> </v>
      </c>
      <c r="AH34" s="5" t="e">
        <f t="shared" si="25"/>
        <v>#VALUE!</v>
      </c>
      <c r="AI34" s="4" t="str">
        <f t="shared" si="26"/>
        <v xml:space="preserve"> </v>
      </c>
      <c r="AJ34" s="5" t="e">
        <f t="shared" si="27"/>
        <v>#VALUE!</v>
      </c>
      <c r="AK34" s="4" t="str">
        <f t="shared" si="28"/>
        <v xml:space="preserve"> </v>
      </c>
      <c r="AL34" s="5" t="e">
        <f t="shared" si="29"/>
        <v>#VALUE!</v>
      </c>
      <c r="AM34" s="4" t="str">
        <f t="shared" si="30"/>
        <v xml:space="preserve"> </v>
      </c>
      <c r="AN34" s="5" t="e">
        <f t="shared" si="31"/>
        <v>#VALUE!</v>
      </c>
      <c r="AO34" s="4" t="str">
        <f t="shared" si="32"/>
        <v xml:space="preserve"> </v>
      </c>
      <c r="AP34" s="5" t="e">
        <f t="shared" si="33"/>
        <v>#VALUE!</v>
      </c>
      <c r="AQ34" s="4" t="str">
        <f t="shared" si="34"/>
        <v xml:space="preserve"> </v>
      </c>
      <c r="AR34" s="5" t="e">
        <f t="shared" si="35"/>
        <v>#VALUE!</v>
      </c>
      <c r="AS34" s="4" t="str">
        <f t="shared" si="36"/>
        <v xml:space="preserve"> </v>
      </c>
      <c r="AT34" s="5" t="e">
        <f t="shared" si="37"/>
        <v>#VALUE!</v>
      </c>
      <c r="AU34" s="4" t="str">
        <f t="shared" si="38"/>
        <v xml:space="preserve"> </v>
      </c>
      <c r="AV34" s="5" t="e">
        <f t="shared" si="39"/>
        <v>#VALUE!</v>
      </c>
      <c r="AW34" s="4" t="str">
        <f t="shared" si="40"/>
        <v xml:space="preserve"> </v>
      </c>
      <c r="AY34" s="54" t="str">
        <f t="shared" si="41"/>
        <v/>
      </c>
      <c r="AZ34" s="54" t="str">
        <f t="shared" si="42"/>
        <v/>
      </c>
      <c r="BA34" s="57" t="str">
        <f t="shared" si="43"/>
        <v/>
      </c>
      <c r="BB34" s="58" t="str">
        <f t="shared" si="44"/>
        <v/>
      </c>
      <c r="BC34" t="str">
        <f t="shared" si="45"/>
        <v/>
      </c>
      <c r="BD34" t="e">
        <f t="shared" si="46"/>
        <v>#N/A</v>
      </c>
    </row>
    <row r="35" spans="1:56" hidden="1" outlineLevel="1" x14ac:dyDescent="0.25">
      <c r="A35" s="1" t="str">
        <f>IF(EOD!$F26="","",EOD!$F26)</f>
        <v/>
      </c>
      <c r="B35" s="1" t="str">
        <f>IF(EOD!$C26="","",EOD!$C26)</f>
        <v/>
      </c>
      <c r="C35" s="56" t="str">
        <f>IF(EOD!$A26="","",EOD!$A26)</f>
        <v/>
      </c>
      <c r="D35" s="55" t="str">
        <f>IF(EOD!$D26="","",EOD!$D26)</f>
        <v/>
      </c>
      <c r="E35" s="1" t="str">
        <f>IF(EOD!E26="","",EOD!E26)</f>
        <v/>
      </c>
      <c r="F35" s="1" t="str">
        <f>IF(EOD!G26="","",EOD!G26)</f>
        <v/>
      </c>
      <c r="G35" s="1" t="str">
        <f>IF(EOD!H26="","",EOD!H26)</f>
        <v/>
      </c>
      <c r="H35" s="1" t="str">
        <f>IF(EOD!I26="","",EOD!I26)</f>
        <v/>
      </c>
      <c r="I35" s="5">
        <f t="shared" si="47"/>
        <v>0</v>
      </c>
      <c r="J35" s="5" t="e">
        <f t="shared" si="1"/>
        <v>#VALUE!</v>
      </c>
      <c r="K35" s="4" t="str">
        <f t="shared" si="2"/>
        <v xml:space="preserve"> </v>
      </c>
      <c r="L35" s="5" t="e">
        <f t="shared" si="3"/>
        <v>#VALUE!</v>
      </c>
      <c r="M35" s="4" t="str">
        <f t="shared" si="4"/>
        <v xml:space="preserve"> </v>
      </c>
      <c r="N35" s="5" t="e">
        <f t="shared" si="5"/>
        <v>#VALUE!</v>
      </c>
      <c r="O35" s="4" t="str">
        <f t="shared" si="6"/>
        <v xml:space="preserve"> </v>
      </c>
      <c r="P35" s="5" t="e">
        <f t="shared" si="7"/>
        <v>#VALUE!</v>
      </c>
      <c r="Q35" s="4" t="str">
        <f t="shared" si="8"/>
        <v xml:space="preserve"> </v>
      </c>
      <c r="R35" s="5" t="e">
        <f t="shared" si="9"/>
        <v>#VALUE!</v>
      </c>
      <c r="S35" s="4" t="str">
        <f t="shared" si="10"/>
        <v xml:space="preserve"> </v>
      </c>
      <c r="T35" s="5" t="e">
        <f t="shared" si="11"/>
        <v>#VALUE!</v>
      </c>
      <c r="U35" s="4" t="str">
        <f t="shared" si="12"/>
        <v xml:space="preserve"> </v>
      </c>
      <c r="V35" s="5" t="e">
        <f t="shared" si="13"/>
        <v>#VALUE!</v>
      </c>
      <c r="W35" s="4" t="str">
        <f t="shared" si="14"/>
        <v xml:space="preserve"> </v>
      </c>
      <c r="X35" s="5" t="e">
        <f t="shared" si="15"/>
        <v>#VALUE!</v>
      </c>
      <c r="Y35" s="4" t="str">
        <f t="shared" si="16"/>
        <v xml:space="preserve"> </v>
      </c>
      <c r="Z35" s="5" t="e">
        <f t="shared" si="17"/>
        <v>#VALUE!</v>
      </c>
      <c r="AA35" s="4" t="str">
        <f t="shared" si="18"/>
        <v xml:space="preserve"> </v>
      </c>
      <c r="AB35" s="5" t="e">
        <f t="shared" si="19"/>
        <v>#VALUE!</v>
      </c>
      <c r="AC35" s="4" t="str">
        <f t="shared" si="20"/>
        <v xml:space="preserve"> </v>
      </c>
      <c r="AD35" s="5" t="e">
        <f t="shared" si="21"/>
        <v>#VALUE!</v>
      </c>
      <c r="AE35" s="4" t="str">
        <f t="shared" si="22"/>
        <v xml:space="preserve"> </v>
      </c>
      <c r="AF35" s="5" t="e">
        <f t="shared" si="23"/>
        <v>#VALUE!</v>
      </c>
      <c r="AG35" s="4" t="str">
        <f t="shared" si="24"/>
        <v xml:space="preserve"> </v>
      </c>
      <c r="AH35" s="5" t="e">
        <f t="shared" si="25"/>
        <v>#VALUE!</v>
      </c>
      <c r="AI35" s="4" t="str">
        <f t="shared" si="26"/>
        <v xml:space="preserve"> </v>
      </c>
      <c r="AJ35" s="5" t="e">
        <f t="shared" si="27"/>
        <v>#VALUE!</v>
      </c>
      <c r="AK35" s="4" t="str">
        <f t="shared" si="28"/>
        <v xml:space="preserve"> </v>
      </c>
      <c r="AL35" s="5" t="e">
        <f t="shared" si="29"/>
        <v>#VALUE!</v>
      </c>
      <c r="AM35" s="4" t="str">
        <f t="shared" si="30"/>
        <v xml:space="preserve"> </v>
      </c>
      <c r="AN35" s="5" t="e">
        <f t="shared" si="31"/>
        <v>#VALUE!</v>
      </c>
      <c r="AO35" s="4" t="str">
        <f t="shared" si="32"/>
        <v xml:space="preserve"> </v>
      </c>
      <c r="AP35" s="5" t="e">
        <f t="shared" si="33"/>
        <v>#VALUE!</v>
      </c>
      <c r="AQ35" s="4" t="str">
        <f t="shared" si="34"/>
        <v xml:space="preserve"> </v>
      </c>
      <c r="AR35" s="5" t="e">
        <f t="shared" si="35"/>
        <v>#VALUE!</v>
      </c>
      <c r="AS35" s="4" t="str">
        <f t="shared" si="36"/>
        <v xml:space="preserve"> </v>
      </c>
      <c r="AT35" s="5" t="e">
        <f t="shared" si="37"/>
        <v>#VALUE!</v>
      </c>
      <c r="AU35" s="4" t="str">
        <f t="shared" si="38"/>
        <v xml:space="preserve"> </v>
      </c>
      <c r="AV35" s="5" t="e">
        <f t="shared" si="39"/>
        <v>#VALUE!</v>
      </c>
      <c r="AW35" s="4" t="str">
        <f t="shared" si="40"/>
        <v xml:space="preserve"> </v>
      </c>
      <c r="AY35" s="54" t="str">
        <f t="shared" si="41"/>
        <v/>
      </c>
      <c r="AZ35" s="54" t="str">
        <f t="shared" si="42"/>
        <v/>
      </c>
      <c r="BA35" s="57" t="str">
        <f t="shared" si="43"/>
        <v/>
      </c>
      <c r="BB35" s="58" t="str">
        <f t="shared" si="44"/>
        <v/>
      </c>
      <c r="BC35" t="str">
        <f t="shared" si="45"/>
        <v/>
      </c>
      <c r="BD35" t="e">
        <f t="shared" si="46"/>
        <v>#N/A</v>
      </c>
    </row>
    <row r="36" spans="1:56" hidden="1" outlineLevel="1" x14ac:dyDescent="0.25">
      <c r="A36" s="1" t="str">
        <f>IF(EOD!$F27="","",EOD!$F27)</f>
        <v/>
      </c>
      <c r="B36" s="1" t="str">
        <f>IF(EOD!$C27="","",EOD!$C27)</f>
        <v/>
      </c>
      <c r="C36" s="56" t="str">
        <f>IF(EOD!$A27="","",EOD!$A27)</f>
        <v/>
      </c>
      <c r="D36" s="55" t="str">
        <f>IF(EOD!$D27="","",EOD!$D27)</f>
        <v/>
      </c>
      <c r="E36" s="1" t="str">
        <f>IF(EOD!E27="","",EOD!E27)</f>
        <v/>
      </c>
      <c r="F36" s="1" t="str">
        <f>IF(EOD!G27="","",EOD!G27)</f>
        <v/>
      </c>
      <c r="G36" s="1" t="str">
        <f>IF(EOD!H27="","",EOD!H27)</f>
        <v/>
      </c>
      <c r="H36" s="1" t="str">
        <f>IF(EOD!I27="","",EOD!I27)</f>
        <v/>
      </c>
      <c r="I36" s="5">
        <f t="shared" si="47"/>
        <v>0</v>
      </c>
      <c r="J36" s="5" t="e">
        <f t="shared" si="1"/>
        <v>#VALUE!</v>
      </c>
      <c r="K36" s="4" t="str">
        <f t="shared" si="2"/>
        <v xml:space="preserve"> </v>
      </c>
      <c r="L36" s="5" t="e">
        <f t="shared" si="3"/>
        <v>#VALUE!</v>
      </c>
      <c r="M36" s="4" t="str">
        <f t="shared" si="4"/>
        <v xml:space="preserve"> </v>
      </c>
      <c r="N36" s="5" t="e">
        <f t="shared" si="5"/>
        <v>#VALUE!</v>
      </c>
      <c r="O36" s="4" t="str">
        <f t="shared" si="6"/>
        <v xml:space="preserve"> </v>
      </c>
      <c r="P36" s="5" t="e">
        <f t="shared" si="7"/>
        <v>#VALUE!</v>
      </c>
      <c r="Q36" s="4" t="str">
        <f t="shared" si="8"/>
        <v xml:space="preserve"> </v>
      </c>
      <c r="R36" s="5" t="e">
        <f t="shared" si="9"/>
        <v>#VALUE!</v>
      </c>
      <c r="S36" s="4" t="str">
        <f t="shared" si="10"/>
        <v xml:space="preserve"> </v>
      </c>
      <c r="T36" s="5" t="e">
        <f t="shared" si="11"/>
        <v>#VALUE!</v>
      </c>
      <c r="U36" s="4" t="str">
        <f t="shared" si="12"/>
        <v xml:space="preserve"> </v>
      </c>
      <c r="V36" s="5" t="e">
        <f t="shared" si="13"/>
        <v>#VALUE!</v>
      </c>
      <c r="W36" s="4" t="str">
        <f t="shared" si="14"/>
        <v xml:space="preserve"> </v>
      </c>
      <c r="X36" s="5" t="e">
        <f t="shared" si="15"/>
        <v>#VALUE!</v>
      </c>
      <c r="Y36" s="4" t="str">
        <f t="shared" si="16"/>
        <v xml:space="preserve"> </v>
      </c>
      <c r="Z36" s="5" t="e">
        <f t="shared" si="17"/>
        <v>#VALUE!</v>
      </c>
      <c r="AA36" s="4" t="str">
        <f t="shared" si="18"/>
        <v xml:space="preserve"> </v>
      </c>
      <c r="AB36" s="5" t="e">
        <f t="shared" si="19"/>
        <v>#VALUE!</v>
      </c>
      <c r="AC36" s="4" t="str">
        <f t="shared" si="20"/>
        <v xml:space="preserve"> </v>
      </c>
      <c r="AD36" s="5" t="e">
        <f t="shared" si="21"/>
        <v>#VALUE!</v>
      </c>
      <c r="AE36" s="4" t="str">
        <f t="shared" si="22"/>
        <v xml:space="preserve"> </v>
      </c>
      <c r="AF36" s="5" t="e">
        <f t="shared" si="23"/>
        <v>#VALUE!</v>
      </c>
      <c r="AG36" s="4" t="str">
        <f t="shared" si="24"/>
        <v xml:space="preserve"> </v>
      </c>
      <c r="AH36" s="5" t="e">
        <f t="shared" si="25"/>
        <v>#VALUE!</v>
      </c>
      <c r="AI36" s="4" t="str">
        <f t="shared" si="26"/>
        <v xml:space="preserve"> </v>
      </c>
      <c r="AJ36" s="5" t="e">
        <f t="shared" si="27"/>
        <v>#VALUE!</v>
      </c>
      <c r="AK36" s="4" t="str">
        <f t="shared" si="28"/>
        <v xml:space="preserve"> </v>
      </c>
      <c r="AL36" s="5" t="e">
        <f t="shared" si="29"/>
        <v>#VALUE!</v>
      </c>
      <c r="AM36" s="4" t="str">
        <f t="shared" si="30"/>
        <v xml:space="preserve"> </v>
      </c>
      <c r="AN36" s="5" t="e">
        <f t="shared" si="31"/>
        <v>#VALUE!</v>
      </c>
      <c r="AO36" s="4" t="str">
        <f t="shared" si="32"/>
        <v xml:space="preserve"> </v>
      </c>
      <c r="AP36" s="5" t="e">
        <f t="shared" si="33"/>
        <v>#VALUE!</v>
      </c>
      <c r="AQ36" s="4" t="str">
        <f t="shared" si="34"/>
        <v xml:space="preserve"> </v>
      </c>
      <c r="AR36" s="5" t="e">
        <f t="shared" si="35"/>
        <v>#VALUE!</v>
      </c>
      <c r="AS36" s="4" t="str">
        <f t="shared" si="36"/>
        <v xml:space="preserve"> </v>
      </c>
      <c r="AT36" s="5" t="e">
        <f t="shared" si="37"/>
        <v>#VALUE!</v>
      </c>
      <c r="AU36" s="4" t="str">
        <f t="shared" si="38"/>
        <v xml:space="preserve"> </v>
      </c>
      <c r="AV36" s="5" t="e">
        <f t="shared" si="39"/>
        <v>#VALUE!</v>
      </c>
      <c r="AW36" s="4" t="str">
        <f t="shared" si="40"/>
        <v xml:space="preserve"> </v>
      </c>
      <c r="AY36" s="54" t="str">
        <f t="shared" si="41"/>
        <v/>
      </c>
      <c r="AZ36" s="54" t="str">
        <f t="shared" si="42"/>
        <v/>
      </c>
      <c r="BA36" s="57" t="str">
        <f t="shared" si="43"/>
        <v/>
      </c>
      <c r="BB36" s="58" t="str">
        <f t="shared" si="44"/>
        <v/>
      </c>
      <c r="BC36" t="str">
        <f t="shared" si="45"/>
        <v/>
      </c>
      <c r="BD36" t="e">
        <f t="shared" si="46"/>
        <v>#N/A</v>
      </c>
    </row>
    <row r="37" spans="1:56" hidden="1" outlineLevel="1" x14ac:dyDescent="0.25">
      <c r="A37" s="1" t="str">
        <f>IF(EOD!$F28="","",EOD!$F28)</f>
        <v/>
      </c>
      <c r="B37" s="1" t="str">
        <f>IF(EOD!$C28="","",EOD!$C28)</f>
        <v/>
      </c>
      <c r="C37" s="56" t="str">
        <f>IF(EOD!$A28="","",EOD!$A28)</f>
        <v/>
      </c>
      <c r="D37" s="55" t="str">
        <f>IF(EOD!$D28="","",EOD!$D28)</f>
        <v/>
      </c>
      <c r="E37" s="1" t="str">
        <f>IF(EOD!E28="","",EOD!E28)</f>
        <v/>
      </c>
      <c r="F37" s="1" t="str">
        <f>IF(EOD!G28="","",EOD!G28)</f>
        <v/>
      </c>
      <c r="G37" s="1" t="str">
        <f>IF(EOD!H28="","",EOD!H28)</f>
        <v/>
      </c>
      <c r="H37" s="1" t="str">
        <f>IF(EOD!I28="","",EOD!I28)</f>
        <v/>
      </c>
      <c r="I37" s="5">
        <f t="shared" si="47"/>
        <v>0</v>
      </c>
      <c r="J37" s="5" t="e">
        <f t="shared" si="1"/>
        <v>#VALUE!</v>
      </c>
      <c r="K37" s="4" t="str">
        <f t="shared" si="2"/>
        <v xml:space="preserve"> </v>
      </c>
      <c r="L37" s="5" t="e">
        <f t="shared" si="3"/>
        <v>#VALUE!</v>
      </c>
      <c r="M37" s="4" t="str">
        <f t="shared" si="4"/>
        <v xml:space="preserve"> </v>
      </c>
      <c r="N37" s="5" t="e">
        <f t="shared" si="5"/>
        <v>#VALUE!</v>
      </c>
      <c r="O37" s="4" t="str">
        <f t="shared" si="6"/>
        <v xml:space="preserve"> </v>
      </c>
      <c r="P37" s="5" t="e">
        <f t="shared" si="7"/>
        <v>#VALUE!</v>
      </c>
      <c r="Q37" s="4" t="str">
        <f t="shared" si="8"/>
        <v xml:space="preserve"> </v>
      </c>
      <c r="R37" s="5" t="e">
        <f t="shared" si="9"/>
        <v>#VALUE!</v>
      </c>
      <c r="S37" s="4" t="str">
        <f t="shared" si="10"/>
        <v xml:space="preserve"> </v>
      </c>
      <c r="T37" s="5" t="e">
        <f t="shared" si="11"/>
        <v>#VALUE!</v>
      </c>
      <c r="U37" s="4" t="str">
        <f t="shared" si="12"/>
        <v xml:space="preserve"> </v>
      </c>
      <c r="V37" s="5" t="e">
        <f t="shared" si="13"/>
        <v>#VALUE!</v>
      </c>
      <c r="W37" s="4" t="str">
        <f t="shared" si="14"/>
        <v xml:space="preserve"> </v>
      </c>
      <c r="X37" s="5" t="e">
        <f t="shared" si="15"/>
        <v>#VALUE!</v>
      </c>
      <c r="Y37" s="4" t="str">
        <f t="shared" si="16"/>
        <v xml:space="preserve"> </v>
      </c>
      <c r="Z37" s="5" t="e">
        <f t="shared" si="17"/>
        <v>#VALUE!</v>
      </c>
      <c r="AA37" s="4" t="str">
        <f t="shared" si="18"/>
        <v xml:space="preserve"> </v>
      </c>
      <c r="AB37" s="5" t="e">
        <f t="shared" si="19"/>
        <v>#VALUE!</v>
      </c>
      <c r="AC37" s="4" t="str">
        <f t="shared" si="20"/>
        <v xml:space="preserve"> </v>
      </c>
      <c r="AD37" s="5" t="e">
        <f t="shared" si="21"/>
        <v>#VALUE!</v>
      </c>
      <c r="AE37" s="4" t="str">
        <f t="shared" si="22"/>
        <v xml:space="preserve"> </v>
      </c>
      <c r="AF37" s="5" t="e">
        <f t="shared" si="23"/>
        <v>#VALUE!</v>
      </c>
      <c r="AG37" s="4" t="str">
        <f t="shared" si="24"/>
        <v xml:space="preserve"> </v>
      </c>
      <c r="AH37" s="5" t="e">
        <f t="shared" si="25"/>
        <v>#VALUE!</v>
      </c>
      <c r="AI37" s="4" t="str">
        <f t="shared" si="26"/>
        <v xml:space="preserve"> </v>
      </c>
      <c r="AJ37" s="5" t="e">
        <f t="shared" si="27"/>
        <v>#VALUE!</v>
      </c>
      <c r="AK37" s="4" t="str">
        <f t="shared" si="28"/>
        <v xml:space="preserve"> </v>
      </c>
      <c r="AL37" s="5" t="e">
        <f t="shared" si="29"/>
        <v>#VALUE!</v>
      </c>
      <c r="AM37" s="4" t="str">
        <f t="shared" si="30"/>
        <v xml:space="preserve"> </v>
      </c>
      <c r="AN37" s="5" t="e">
        <f t="shared" si="31"/>
        <v>#VALUE!</v>
      </c>
      <c r="AO37" s="4" t="str">
        <f t="shared" si="32"/>
        <v xml:space="preserve"> </v>
      </c>
      <c r="AP37" s="5" t="e">
        <f t="shared" si="33"/>
        <v>#VALUE!</v>
      </c>
      <c r="AQ37" s="4" t="str">
        <f t="shared" si="34"/>
        <v xml:space="preserve"> </v>
      </c>
      <c r="AR37" s="5" t="e">
        <f t="shared" si="35"/>
        <v>#VALUE!</v>
      </c>
      <c r="AS37" s="4" t="str">
        <f t="shared" si="36"/>
        <v xml:space="preserve"> </v>
      </c>
      <c r="AT37" s="5" t="e">
        <f t="shared" si="37"/>
        <v>#VALUE!</v>
      </c>
      <c r="AU37" s="4" t="str">
        <f t="shared" si="38"/>
        <v xml:space="preserve"> </v>
      </c>
      <c r="AV37" s="5" t="e">
        <f t="shared" si="39"/>
        <v>#VALUE!</v>
      </c>
      <c r="AW37" s="4" t="str">
        <f t="shared" si="40"/>
        <v xml:space="preserve"> </v>
      </c>
      <c r="AY37" s="54" t="str">
        <f t="shared" si="41"/>
        <v/>
      </c>
      <c r="AZ37" s="54" t="str">
        <f t="shared" si="42"/>
        <v/>
      </c>
      <c r="BA37" s="57" t="str">
        <f t="shared" si="43"/>
        <v/>
      </c>
      <c r="BB37" s="58" t="str">
        <f t="shared" si="44"/>
        <v/>
      </c>
      <c r="BC37" t="str">
        <f t="shared" si="45"/>
        <v/>
      </c>
      <c r="BD37" t="e">
        <f t="shared" si="46"/>
        <v>#N/A</v>
      </c>
    </row>
    <row r="38" spans="1:56" hidden="1" outlineLevel="1" x14ac:dyDescent="0.25">
      <c r="A38" s="1" t="str">
        <f>IF(EOD!$F29="","",EOD!$F29)</f>
        <v/>
      </c>
      <c r="B38" s="1" t="str">
        <f>IF(EOD!$C29="","",EOD!$C29)</f>
        <v/>
      </c>
      <c r="C38" s="56" t="str">
        <f>IF(EOD!$A29="","",EOD!$A29)</f>
        <v/>
      </c>
      <c r="D38" s="55" t="str">
        <f>IF(EOD!$D29="","",EOD!$D29)</f>
        <v/>
      </c>
      <c r="E38" s="1" t="str">
        <f>IF(EOD!E29="","",EOD!E29)</f>
        <v/>
      </c>
      <c r="F38" s="1" t="str">
        <f>IF(EOD!G29="","",EOD!G29)</f>
        <v/>
      </c>
      <c r="G38" s="1" t="str">
        <f>IF(EOD!H29="","",EOD!H29)</f>
        <v/>
      </c>
      <c r="H38" s="1" t="str">
        <f>IF(EOD!I29="","",EOD!I29)</f>
        <v/>
      </c>
      <c r="I38" s="5">
        <f t="shared" si="47"/>
        <v>0</v>
      </c>
      <c r="J38" s="5" t="e">
        <f t="shared" si="1"/>
        <v>#VALUE!</v>
      </c>
      <c r="K38" s="4" t="str">
        <f t="shared" si="2"/>
        <v xml:space="preserve"> </v>
      </c>
      <c r="L38" s="5" t="e">
        <f t="shared" si="3"/>
        <v>#VALUE!</v>
      </c>
      <c r="M38" s="4" t="str">
        <f t="shared" si="4"/>
        <v xml:space="preserve"> </v>
      </c>
      <c r="N38" s="5" t="e">
        <f t="shared" si="5"/>
        <v>#VALUE!</v>
      </c>
      <c r="O38" s="4" t="str">
        <f t="shared" si="6"/>
        <v xml:space="preserve"> </v>
      </c>
      <c r="P38" s="5" t="e">
        <f t="shared" si="7"/>
        <v>#VALUE!</v>
      </c>
      <c r="Q38" s="4" t="str">
        <f t="shared" si="8"/>
        <v xml:space="preserve"> </v>
      </c>
      <c r="R38" s="5" t="e">
        <f t="shared" si="9"/>
        <v>#VALUE!</v>
      </c>
      <c r="S38" s="4" t="str">
        <f t="shared" si="10"/>
        <v xml:space="preserve"> </v>
      </c>
      <c r="T38" s="5" t="e">
        <f t="shared" si="11"/>
        <v>#VALUE!</v>
      </c>
      <c r="U38" s="4" t="str">
        <f t="shared" si="12"/>
        <v xml:space="preserve"> </v>
      </c>
      <c r="V38" s="5" t="e">
        <f t="shared" si="13"/>
        <v>#VALUE!</v>
      </c>
      <c r="W38" s="4" t="str">
        <f t="shared" si="14"/>
        <v xml:space="preserve"> </v>
      </c>
      <c r="X38" s="5" t="e">
        <f t="shared" si="15"/>
        <v>#VALUE!</v>
      </c>
      <c r="Y38" s="4" t="str">
        <f t="shared" si="16"/>
        <v xml:space="preserve"> </v>
      </c>
      <c r="Z38" s="5" t="e">
        <f t="shared" si="17"/>
        <v>#VALUE!</v>
      </c>
      <c r="AA38" s="4" t="str">
        <f t="shared" si="18"/>
        <v xml:space="preserve"> </v>
      </c>
      <c r="AB38" s="5" t="e">
        <f t="shared" si="19"/>
        <v>#VALUE!</v>
      </c>
      <c r="AC38" s="4" t="str">
        <f t="shared" si="20"/>
        <v xml:space="preserve"> </v>
      </c>
      <c r="AD38" s="5" t="e">
        <f t="shared" si="21"/>
        <v>#VALUE!</v>
      </c>
      <c r="AE38" s="4" t="str">
        <f t="shared" si="22"/>
        <v xml:space="preserve"> </v>
      </c>
      <c r="AF38" s="5" t="e">
        <f t="shared" si="23"/>
        <v>#VALUE!</v>
      </c>
      <c r="AG38" s="4" t="str">
        <f t="shared" si="24"/>
        <v xml:space="preserve"> </v>
      </c>
      <c r="AH38" s="5" t="e">
        <f t="shared" si="25"/>
        <v>#VALUE!</v>
      </c>
      <c r="AI38" s="4" t="str">
        <f t="shared" si="26"/>
        <v xml:space="preserve"> </v>
      </c>
      <c r="AJ38" s="5" t="e">
        <f t="shared" si="27"/>
        <v>#VALUE!</v>
      </c>
      <c r="AK38" s="4" t="str">
        <f t="shared" si="28"/>
        <v xml:space="preserve"> </v>
      </c>
      <c r="AL38" s="5" t="e">
        <f t="shared" si="29"/>
        <v>#VALUE!</v>
      </c>
      <c r="AM38" s="4" t="str">
        <f t="shared" si="30"/>
        <v xml:space="preserve"> </v>
      </c>
      <c r="AN38" s="5" t="e">
        <f t="shared" si="31"/>
        <v>#VALUE!</v>
      </c>
      <c r="AO38" s="4" t="str">
        <f t="shared" si="32"/>
        <v xml:space="preserve"> </v>
      </c>
      <c r="AP38" s="5" t="e">
        <f t="shared" si="33"/>
        <v>#VALUE!</v>
      </c>
      <c r="AQ38" s="4" t="str">
        <f t="shared" si="34"/>
        <v xml:space="preserve"> </v>
      </c>
      <c r="AR38" s="5" t="e">
        <f t="shared" si="35"/>
        <v>#VALUE!</v>
      </c>
      <c r="AS38" s="4" t="str">
        <f t="shared" si="36"/>
        <v xml:space="preserve"> </v>
      </c>
      <c r="AT38" s="5" t="e">
        <f t="shared" si="37"/>
        <v>#VALUE!</v>
      </c>
      <c r="AU38" s="4" t="str">
        <f t="shared" si="38"/>
        <v xml:space="preserve"> </v>
      </c>
      <c r="AV38" s="5" t="e">
        <f t="shared" si="39"/>
        <v>#VALUE!</v>
      </c>
      <c r="AW38" s="4" t="str">
        <f t="shared" si="40"/>
        <v xml:space="preserve"> </v>
      </c>
      <c r="AY38" s="54" t="str">
        <f t="shared" si="41"/>
        <v/>
      </c>
      <c r="AZ38" s="54" t="str">
        <f t="shared" si="42"/>
        <v/>
      </c>
      <c r="BA38" s="57" t="str">
        <f t="shared" si="43"/>
        <v/>
      </c>
      <c r="BB38" s="58" t="str">
        <f t="shared" si="44"/>
        <v/>
      </c>
      <c r="BC38" t="str">
        <f t="shared" si="45"/>
        <v/>
      </c>
      <c r="BD38" t="e">
        <f t="shared" si="46"/>
        <v>#N/A</v>
      </c>
    </row>
    <row r="39" spans="1:56" collapsed="1" x14ac:dyDescent="0.25">
      <c r="A39" s="1" t="str">
        <f>IF(EOD!$F30="","",EOD!$F30)</f>
        <v/>
      </c>
      <c r="B39" s="1" t="str">
        <f>IF(EOD!$C30="","",EOD!$C30)</f>
        <v/>
      </c>
      <c r="C39" s="56" t="str">
        <f>IF(EOD!$A30="","",EOD!$A30)</f>
        <v/>
      </c>
      <c r="D39" s="55" t="str">
        <f>IF(EOD!$D30="","",EOD!$D30)</f>
        <v/>
      </c>
      <c r="E39" s="1" t="str">
        <f>IF(EOD!E30="","",EOD!E30)</f>
        <v/>
      </c>
      <c r="F39" s="1" t="str">
        <f>IF(EOD!G30="","",EOD!G30)</f>
        <v/>
      </c>
      <c r="G39" s="1" t="str">
        <f>IF(EOD!H30="","",EOD!H30)</f>
        <v/>
      </c>
      <c r="H39" s="1" t="str">
        <f>IF(EOD!I30="","",EOD!I30)</f>
        <v/>
      </c>
      <c r="I39" s="5">
        <f t="shared" si="47"/>
        <v>0</v>
      </c>
      <c r="J39" s="5" t="e">
        <f t="shared" si="1"/>
        <v>#VALUE!</v>
      </c>
      <c r="K39" s="4" t="str">
        <f t="shared" si="2"/>
        <v xml:space="preserve"> </v>
      </c>
      <c r="L39" s="5" t="e">
        <f t="shared" si="3"/>
        <v>#VALUE!</v>
      </c>
      <c r="M39" s="4" t="str">
        <f t="shared" si="4"/>
        <v xml:space="preserve"> </v>
      </c>
      <c r="N39" s="5" t="e">
        <f t="shared" si="5"/>
        <v>#VALUE!</v>
      </c>
      <c r="O39" s="4" t="str">
        <f t="shared" si="6"/>
        <v xml:space="preserve"> </v>
      </c>
      <c r="P39" s="5" t="e">
        <f t="shared" si="7"/>
        <v>#VALUE!</v>
      </c>
      <c r="Q39" s="4" t="str">
        <f t="shared" si="8"/>
        <v xml:space="preserve"> </v>
      </c>
      <c r="R39" s="5" t="e">
        <f t="shared" si="9"/>
        <v>#VALUE!</v>
      </c>
      <c r="S39" s="4" t="str">
        <f t="shared" si="10"/>
        <v xml:space="preserve"> </v>
      </c>
      <c r="T39" s="5" t="e">
        <f t="shared" si="11"/>
        <v>#VALUE!</v>
      </c>
      <c r="U39" s="4" t="str">
        <f t="shared" si="12"/>
        <v xml:space="preserve"> </v>
      </c>
      <c r="V39" s="5" t="e">
        <f t="shared" si="13"/>
        <v>#VALUE!</v>
      </c>
      <c r="W39" s="4" t="str">
        <f t="shared" si="14"/>
        <v xml:space="preserve"> </v>
      </c>
      <c r="X39" s="5" t="e">
        <f t="shared" si="15"/>
        <v>#VALUE!</v>
      </c>
      <c r="Y39" s="4" t="str">
        <f t="shared" si="16"/>
        <v xml:space="preserve"> </v>
      </c>
      <c r="Z39" s="5" t="e">
        <f t="shared" si="17"/>
        <v>#VALUE!</v>
      </c>
      <c r="AA39" s="4" t="str">
        <f t="shared" si="18"/>
        <v xml:space="preserve"> </v>
      </c>
      <c r="AB39" s="5" t="e">
        <f t="shared" si="19"/>
        <v>#VALUE!</v>
      </c>
      <c r="AC39" s="4" t="str">
        <f t="shared" si="20"/>
        <v xml:space="preserve"> </v>
      </c>
      <c r="AD39" s="5" t="e">
        <f t="shared" si="21"/>
        <v>#VALUE!</v>
      </c>
      <c r="AE39" s="4" t="str">
        <f t="shared" si="22"/>
        <v xml:space="preserve"> </v>
      </c>
      <c r="AF39" s="5" t="e">
        <f t="shared" si="23"/>
        <v>#VALUE!</v>
      </c>
      <c r="AG39" s="4" t="str">
        <f t="shared" si="24"/>
        <v xml:space="preserve"> </v>
      </c>
      <c r="AH39" s="5" t="e">
        <f t="shared" si="25"/>
        <v>#VALUE!</v>
      </c>
      <c r="AI39" s="4" t="str">
        <f t="shared" si="26"/>
        <v xml:space="preserve"> </v>
      </c>
      <c r="AJ39" s="5" t="e">
        <f t="shared" si="27"/>
        <v>#VALUE!</v>
      </c>
      <c r="AK39" s="4" t="str">
        <f t="shared" si="28"/>
        <v xml:space="preserve"> </v>
      </c>
      <c r="AL39" s="5" t="e">
        <f t="shared" si="29"/>
        <v>#VALUE!</v>
      </c>
      <c r="AM39" s="4" t="str">
        <f t="shared" si="30"/>
        <v xml:space="preserve"> </v>
      </c>
      <c r="AN39" s="5" t="e">
        <f t="shared" si="31"/>
        <v>#VALUE!</v>
      </c>
      <c r="AO39" s="4" t="str">
        <f t="shared" si="32"/>
        <v xml:space="preserve"> </v>
      </c>
      <c r="AP39" s="5" t="e">
        <f t="shared" si="33"/>
        <v>#VALUE!</v>
      </c>
      <c r="AQ39" s="4" t="str">
        <f t="shared" si="34"/>
        <v xml:space="preserve"> </v>
      </c>
      <c r="AR39" s="5" t="e">
        <f t="shared" si="35"/>
        <v>#VALUE!</v>
      </c>
      <c r="AS39" s="4" t="str">
        <f t="shared" si="36"/>
        <v xml:space="preserve"> </v>
      </c>
      <c r="AT39" s="5" t="e">
        <f t="shared" si="37"/>
        <v>#VALUE!</v>
      </c>
      <c r="AU39" s="4" t="str">
        <f t="shared" si="38"/>
        <v xml:space="preserve"> </v>
      </c>
      <c r="AV39" s="5" t="e">
        <f t="shared" si="39"/>
        <v>#VALUE!</v>
      </c>
      <c r="AW39" s="4" t="str">
        <f t="shared" si="40"/>
        <v xml:space="preserve"> </v>
      </c>
      <c r="AY39" s="54" t="str">
        <f t="shared" si="41"/>
        <v/>
      </c>
      <c r="AZ39" s="54" t="str">
        <f t="shared" si="42"/>
        <v/>
      </c>
      <c r="BA39" s="57" t="str">
        <f t="shared" si="43"/>
        <v/>
      </c>
      <c r="BB39" s="58" t="str">
        <f t="shared" si="44"/>
        <v/>
      </c>
      <c r="BC39" t="str">
        <f t="shared" si="45"/>
        <v/>
      </c>
      <c r="BD39" t="e">
        <f t="shared" si="46"/>
        <v>#N/A</v>
      </c>
    </row>
    <row r="40" spans="1:56" hidden="1" outlineLevel="1" x14ac:dyDescent="0.25">
      <c r="A40" s="1" t="str">
        <f>IF(EOD!$F31="","",EOD!$F31)</f>
        <v/>
      </c>
      <c r="B40" s="1" t="str">
        <f>IF(EOD!$C31="","",EOD!$C31)</f>
        <v/>
      </c>
      <c r="C40" s="56" t="str">
        <f>IF(EOD!$A31="","",EOD!$A31)</f>
        <v/>
      </c>
      <c r="D40" s="55" t="str">
        <f>IF(EOD!$D31="","",EOD!$D31)</f>
        <v/>
      </c>
      <c r="E40" s="1" t="str">
        <f>IF(EOD!E31="","",EOD!E31)</f>
        <v/>
      </c>
      <c r="F40" s="1" t="str">
        <f>IF(EOD!G31="","",EOD!G31)</f>
        <v/>
      </c>
      <c r="G40" s="1" t="str">
        <f>IF(EOD!H31="","",EOD!H31)</f>
        <v/>
      </c>
      <c r="H40" s="1" t="str">
        <f>IF(EOD!I31="","",EOD!I31)</f>
        <v/>
      </c>
      <c r="I40" s="5">
        <f t="shared" si="47"/>
        <v>0</v>
      </c>
      <c r="J40" s="5" t="e">
        <f t="shared" si="1"/>
        <v>#VALUE!</v>
      </c>
      <c r="K40" s="4" t="str">
        <f t="shared" si="2"/>
        <v xml:space="preserve"> </v>
      </c>
      <c r="L40" s="5" t="e">
        <f t="shared" si="3"/>
        <v>#VALUE!</v>
      </c>
      <c r="M40" s="4" t="str">
        <f t="shared" si="4"/>
        <v xml:space="preserve"> </v>
      </c>
      <c r="N40" s="5" t="e">
        <f t="shared" si="5"/>
        <v>#VALUE!</v>
      </c>
      <c r="O40" s="4" t="str">
        <f t="shared" si="6"/>
        <v xml:space="preserve"> </v>
      </c>
      <c r="P40" s="5" t="e">
        <f t="shared" si="7"/>
        <v>#VALUE!</v>
      </c>
      <c r="Q40" s="4" t="str">
        <f t="shared" si="8"/>
        <v xml:space="preserve"> </v>
      </c>
      <c r="R40" s="5" t="e">
        <f t="shared" si="9"/>
        <v>#VALUE!</v>
      </c>
      <c r="S40" s="4" t="str">
        <f t="shared" si="10"/>
        <v xml:space="preserve"> </v>
      </c>
      <c r="T40" s="5" t="e">
        <f t="shared" si="11"/>
        <v>#VALUE!</v>
      </c>
      <c r="U40" s="4" t="str">
        <f t="shared" si="12"/>
        <v xml:space="preserve"> </v>
      </c>
      <c r="V40" s="5" t="e">
        <f t="shared" si="13"/>
        <v>#VALUE!</v>
      </c>
      <c r="W40" s="4" t="str">
        <f t="shared" si="14"/>
        <v xml:space="preserve"> </v>
      </c>
      <c r="X40" s="5" t="e">
        <f t="shared" si="15"/>
        <v>#VALUE!</v>
      </c>
      <c r="Y40" s="4" t="str">
        <f t="shared" si="16"/>
        <v xml:space="preserve"> </v>
      </c>
      <c r="Z40" s="5" t="e">
        <f t="shared" si="17"/>
        <v>#VALUE!</v>
      </c>
      <c r="AA40" s="4" t="str">
        <f t="shared" si="18"/>
        <v xml:space="preserve"> </v>
      </c>
      <c r="AB40" s="5" t="e">
        <f t="shared" si="19"/>
        <v>#VALUE!</v>
      </c>
      <c r="AC40" s="4" t="str">
        <f t="shared" si="20"/>
        <v xml:space="preserve"> </v>
      </c>
      <c r="AD40" s="5" t="e">
        <f t="shared" si="21"/>
        <v>#VALUE!</v>
      </c>
      <c r="AE40" s="4" t="str">
        <f t="shared" si="22"/>
        <v xml:space="preserve"> </v>
      </c>
      <c r="AF40" s="5" t="e">
        <f t="shared" si="23"/>
        <v>#VALUE!</v>
      </c>
      <c r="AG40" s="4" t="str">
        <f t="shared" si="24"/>
        <v xml:space="preserve"> </v>
      </c>
      <c r="AH40" s="5" t="e">
        <f t="shared" si="25"/>
        <v>#VALUE!</v>
      </c>
      <c r="AI40" s="4" t="str">
        <f t="shared" si="26"/>
        <v xml:space="preserve"> </v>
      </c>
      <c r="AJ40" s="5" t="e">
        <f t="shared" si="27"/>
        <v>#VALUE!</v>
      </c>
      <c r="AK40" s="4" t="str">
        <f t="shared" si="28"/>
        <v xml:space="preserve"> </v>
      </c>
      <c r="AL40" s="5" t="e">
        <f t="shared" si="29"/>
        <v>#VALUE!</v>
      </c>
      <c r="AM40" s="4" t="str">
        <f t="shared" si="30"/>
        <v xml:space="preserve"> </v>
      </c>
      <c r="AN40" s="5" t="e">
        <f t="shared" si="31"/>
        <v>#VALUE!</v>
      </c>
      <c r="AO40" s="4" t="str">
        <f t="shared" si="32"/>
        <v xml:space="preserve"> </v>
      </c>
      <c r="AP40" s="5" t="e">
        <f t="shared" si="33"/>
        <v>#VALUE!</v>
      </c>
      <c r="AQ40" s="4" t="str">
        <f t="shared" si="34"/>
        <v xml:space="preserve"> </v>
      </c>
      <c r="AR40" s="5" t="e">
        <f t="shared" si="35"/>
        <v>#VALUE!</v>
      </c>
      <c r="AS40" s="4" t="str">
        <f t="shared" si="36"/>
        <v xml:space="preserve"> </v>
      </c>
      <c r="AT40" s="5" t="e">
        <f t="shared" si="37"/>
        <v>#VALUE!</v>
      </c>
      <c r="AU40" s="4" t="str">
        <f t="shared" si="38"/>
        <v xml:space="preserve"> </v>
      </c>
      <c r="AV40" s="5" t="e">
        <f t="shared" si="39"/>
        <v>#VALUE!</v>
      </c>
      <c r="AW40" s="4" t="str">
        <f t="shared" si="40"/>
        <v xml:space="preserve"> </v>
      </c>
      <c r="AY40" s="54" t="str">
        <f t="shared" si="41"/>
        <v/>
      </c>
      <c r="AZ40" s="54" t="str">
        <f t="shared" si="42"/>
        <v/>
      </c>
      <c r="BA40" s="57" t="str">
        <f t="shared" si="43"/>
        <v/>
      </c>
      <c r="BB40" s="58" t="str">
        <f t="shared" si="44"/>
        <v/>
      </c>
      <c r="BC40" t="str">
        <f t="shared" si="45"/>
        <v/>
      </c>
      <c r="BD40" t="e">
        <f t="shared" si="46"/>
        <v>#N/A</v>
      </c>
    </row>
    <row r="41" spans="1:56" hidden="1" outlineLevel="1" x14ac:dyDescent="0.25">
      <c r="A41" s="1" t="str">
        <f>IF(EOD!$F32="","",EOD!$F32)</f>
        <v/>
      </c>
      <c r="B41" s="1" t="str">
        <f>IF(EOD!$C32="","",EOD!$C32)</f>
        <v/>
      </c>
      <c r="C41" s="56" t="str">
        <f>IF(EOD!$A32="","",EOD!$A32)</f>
        <v/>
      </c>
      <c r="D41" s="55" t="str">
        <f>IF(EOD!$D32="","",EOD!$D32)</f>
        <v/>
      </c>
      <c r="E41" s="1" t="str">
        <f>IF(EOD!E32="","",EOD!E32)</f>
        <v/>
      </c>
      <c r="F41" s="1" t="str">
        <f>IF(EOD!G32="","",EOD!G32)</f>
        <v/>
      </c>
      <c r="G41" s="1" t="str">
        <f>IF(EOD!H32="","",EOD!H32)</f>
        <v/>
      </c>
      <c r="H41" s="1" t="str">
        <f>IF(EOD!I32="","",EOD!I32)</f>
        <v/>
      </c>
      <c r="I41" s="5">
        <f t="shared" si="47"/>
        <v>0</v>
      </c>
      <c r="J41" s="5" t="e">
        <f t="shared" si="1"/>
        <v>#VALUE!</v>
      </c>
      <c r="K41" s="4" t="str">
        <f t="shared" si="2"/>
        <v xml:space="preserve"> </v>
      </c>
      <c r="L41" s="5" t="e">
        <f t="shared" si="3"/>
        <v>#VALUE!</v>
      </c>
      <c r="M41" s="4" t="str">
        <f t="shared" si="4"/>
        <v xml:space="preserve"> </v>
      </c>
      <c r="N41" s="5" t="e">
        <f t="shared" si="5"/>
        <v>#VALUE!</v>
      </c>
      <c r="O41" s="4" t="str">
        <f t="shared" si="6"/>
        <v xml:space="preserve"> </v>
      </c>
      <c r="P41" s="5" t="e">
        <f t="shared" si="7"/>
        <v>#VALUE!</v>
      </c>
      <c r="Q41" s="4" t="str">
        <f t="shared" si="8"/>
        <v xml:space="preserve"> </v>
      </c>
      <c r="R41" s="5" t="e">
        <f t="shared" si="9"/>
        <v>#VALUE!</v>
      </c>
      <c r="S41" s="4" t="str">
        <f t="shared" si="10"/>
        <v xml:space="preserve"> </v>
      </c>
      <c r="T41" s="5" t="e">
        <f t="shared" si="11"/>
        <v>#VALUE!</v>
      </c>
      <c r="U41" s="4" t="str">
        <f t="shared" si="12"/>
        <v xml:space="preserve"> </v>
      </c>
      <c r="V41" s="5" t="e">
        <f t="shared" si="13"/>
        <v>#VALUE!</v>
      </c>
      <c r="W41" s="4" t="str">
        <f t="shared" si="14"/>
        <v xml:space="preserve"> </v>
      </c>
      <c r="X41" s="5" t="e">
        <f t="shared" si="15"/>
        <v>#VALUE!</v>
      </c>
      <c r="Y41" s="4" t="str">
        <f t="shared" si="16"/>
        <v xml:space="preserve"> </v>
      </c>
      <c r="Z41" s="5" t="e">
        <f t="shared" si="17"/>
        <v>#VALUE!</v>
      </c>
      <c r="AA41" s="4" t="str">
        <f t="shared" si="18"/>
        <v xml:space="preserve"> </v>
      </c>
      <c r="AB41" s="5" t="e">
        <f t="shared" si="19"/>
        <v>#VALUE!</v>
      </c>
      <c r="AC41" s="4" t="str">
        <f t="shared" si="20"/>
        <v xml:space="preserve"> </v>
      </c>
      <c r="AD41" s="5" t="e">
        <f t="shared" si="21"/>
        <v>#VALUE!</v>
      </c>
      <c r="AE41" s="4" t="str">
        <f t="shared" si="22"/>
        <v xml:space="preserve"> </v>
      </c>
      <c r="AF41" s="5" t="e">
        <f t="shared" si="23"/>
        <v>#VALUE!</v>
      </c>
      <c r="AG41" s="4" t="str">
        <f t="shared" si="24"/>
        <v xml:space="preserve"> </v>
      </c>
      <c r="AH41" s="5" t="e">
        <f t="shared" si="25"/>
        <v>#VALUE!</v>
      </c>
      <c r="AI41" s="4" t="str">
        <f t="shared" si="26"/>
        <v xml:space="preserve"> </v>
      </c>
      <c r="AJ41" s="5" t="e">
        <f t="shared" si="27"/>
        <v>#VALUE!</v>
      </c>
      <c r="AK41" s="4" t="str">
        <f t="shared" si="28"/>
        <v xml:space="preserve"> </v>
      </c>
      <c r="AL41" s="5" t="e">
        <f t="shared" si="29"/>
        <v>#VALUE!</v>
      </c>
      <c r="AM41" s="4" t="str">
        <f t="shared" si="30"/>
        <v xml:space="preserve"> </v>
      </c>
      <c r="AN41" s="5" t="e">
        <f t="shared" si="31"/>
        <v>#VALUE!</v>
      </c>
      <c r="AO41" s="4" t="str">
        <f t="shared" si="32"/>
        <v xml:space="preserve"> </v>
      </c>
      <c r="AP41" s="5" t="e">
        <f t="shared" si="33"/>
        <v>#VALUE!</v>
      </c>
      <c r="AQ41" s="4" t="str">
        <f t="shared" si="34"/>
        <v xml:space="preserve"> </v>
      </c>
      <c r="AR41" s="5" t="e">
        <f t="shared" si="35"/>
        <v>#VALUE!</v>
      </c>
      <c r="AS41" s="4" t="str">
        <f t="shared" si="36"/>
        <v xml:space="preserve"> </v>
      </c>
      <c r="AT41" s="5" t="e">
        <f t="shared" si="37"/>
        <v>#VALUE!</v>
      </c>
      <c r="AU41" s="4" t="str">
        <f t="shared" si="38"/>
        <v xml:space="preserve"> </v>
      </c>
      <c r="AV41" s="5" t="e">
        <f t="shared" si="39"/>
        <v>#VALUE!</v>
      </c>
      <c r="AW41" s="4" t="str">
        <f t="shared" si="40"/>
        <v xml:space="preserve"> </v>
      </c>
      <c r="AY41" s="54" t="str">
        <f t="shared" si="41"/>
        <v/>
      </c>
      <c r="AZ41" s="54" t="str">
        <f t="shared" si="42"/>
        <v/>
      </c>
      <c r="BA41" s="57" t="str">
        <f t="shared" si="43"/>
        <v/>
      </c>
      <c r="BB41" s="58" t="str">
        <f t="shared" si="44"/>
        <v/>
      </c>
      <c r="BC41" t="str">
        <f t="shared" si="45"/>
        <v/>
      </c>
      <c r="BD41" t="e">
        <f t="shared" si="46"/>
        <v>#N/A</v>
      </c>
    </row>
    <row r="42" spans="1:56" hidden="1" outlineLevel="1" x14ac:dyDescent="0.25">
      <c r="A42" s="1" t="str">
        <f>IF(EOD!$F33="","",EOD!$F33)</f>
        <v/>
      </c>
      <c r="B42" s="1" t="str">
        <f>IF(EOD!$C33="","",EOD!$C33)</f>
        <v/>
      </c>
      <c r="C42" s="56" t="str">
        <f>IF(EOD!$A33="","",EOD!$A33)</f>
        <v/>
      </c>
      <c r="D42" s="55" t="str">
        <f>IF(EOD!$D33="","",EOD!$D33)</f>
        <v/>
      </c>
      <c r="E42" s="1" t="str">
        <f>IF(EOD!E33="","",EOD!E33)</f>
        <v/>
      </c>
      <c r="F42" s="1" t="str">
        <f>IF(EOD!G33="","",EOD!G33)</f>
        <v/>
      </c>
      <c r="G42" s="1" t="str">
        <f>IF(EOD!H33="","",EOD!H33)</f>
        <v/>
      </c>
      <c r="H42" s="1" t="str">
        <f>IF(EOD!I33="","",EOD!I33)</f>
        <v/>
      </c>
      <c r="I42" s="5">
        <f t="shared" si="47"/>
        <v>0</v>
      </c>
      <c r="J42" s="5" t="e">
        <f t="shared" si="1"/>
        <v>#VALUE!</v>
      </c>
      <c r="K42" s="4" t="str">
        <f t="shared" si="2"/>
        <v xml:space="preserve"> </v>
      </c>
      <c r="L42" s="5" t="e">
        <f t="shared" si="3"/>
        <v>#VALUE!</v>
      </c>
      <c r="M42" s="4" t="str">
        <f t="shared" si="4"/>
        <v xml:space="preserve"> </v>
      </c>
      <c r="N42" s="5" t="e">
        <f t="shared" si="5"/>
        <v>#VALUE!</v>
      </c>
      <c r="O42" s="4" t="str">
        <f t="shared" si="6"/>
        <v xml:space="preserve"> </v>
      </c>
      <c r="P42" s="5" t="e">
        <f t="shared" si="7"/>
        <v>#VALUE!</v>
      </c>
      <c r="Q42" s="4" t="str">
        <f t="shared" si="8"/>
        <v xml:space="preserve"> </v>
      </c>
      <c r="R42" s="5" t="e">
        <f t="shared" si="9"/>
        <v>#VALUE!</v>
      </c>
      <c r="S42" s="4" t="str">
        <f t="shared" si="10"/>
        <v xml:space="preserve"> </v>
      </c>
      <c r="T42" s="5" t="e">
        <f t="shared" si="11"/>
        <v>#VALUE!</v>
      </c>
      <c r="U42" s="4" t="str">
        <f t="shared" si="12"/>
        <v xml:space="preserve"> </v>
      </c>
      <c r="V42" s="5" t="e">
        <f t="shared" si="13"/>
        <v>#VALUE!</v>
      </c>
      <c r="W42" s="4" t="str">
        <f t="shared" si="14"/>
        <v xml:space="preserve"> </v>
      </c>
      <c r="X42" s="5" t="e">
        <f t="shared" si="15"/>
        <v>#VALUE!</v>
      </c>
      <c r="Y42" s="4" t="str">
        <f t="shared" si="16"/>
        <v xml:space="preserve"> </v>
      </c>
      <c r="Z42" s="5" t="e">
        <f t="shared" si="17"/>
        <v>#VALUE!</v>
      </c>
      <c r="AA42" s="4" t="str">
        <f t="shared" si="18"/>
        <v xml:space="preserve"> </v>
      </c>
      <c r="AB42" s="5" t="e">
        <f t="shared" si="19"/>
        <v>#VALUE!</v>
      </c>
      <c r="AC42" s="4" t="str">
        <f t="shared" si="20"/>
        <v xml:space="preserve"> </v>
      </c>
      <c r="AD42" s="5" t="e">
        <f t="shared" si="21"/>
        <v>#VALUE!</v>
      </c>
      <c r="AE42" s="4" t="str">
        <f t="shared" si="22"/>
        <v xml:space="preserve"> </v>
      </c>
      <c r="AF42" s="5" t="e">
        <f t="shared" si="23"/>
        <v>#VALUE!</v>
      </c>
      <c r="AG42" s="4" t="str">
        <f t="shared" si="24"/>
        <v xml:space="preserve"> </v>
      </c>
      <c r="AH42" s="5" t="e">
        <f t="shared" si="25"/>
        <v>#VALUE!</v>
      </c>
      <c r="AI42" s="4" t="str">
        <f t="shared" si="26"/>
        <v xml:space="preserve"> </v>
      </c>
      <c r="AJ42" s="5" t="e">
        <f t="shared" si="27"/>
        <v>#VALUE!</v>
      </c>
      <c r="AK42" s="4" t="str">
        <f t="shared" si="28"/>
        <v xml:space="preserve"> </v>
      </c>
      <c r="AL42" s="5" t="e">
        <f t="shared" si="29"/>
        <v>#VALUE!</v>
      </c>
      <c r="AM42" s="4" t="str">
        <f t="shared" si="30"/>
        <v xml:space="preserve"> </v>
      </c>
      <c r="AN42" s="5" t="e">
        <f t="shared" si="31"/>
        <v>#VALUE!</v>
      </c>
      <c r="AO42" s="4" t="str">
        <f t="shared" si="32"/>
        <v xml:space="preserve"> </v>
      </c>
      <c r="AP42" s="5" t="e">
        <f t="shared" si="33"/>
        <v>#VALUE!</v>
      </c>
      <c r="AQ42" s="4" t="str">
        <f t="shared" si="34"/>
        <v xml:space="preserve"> </v>
      </c>
      <c r="AR42" s="5" t="e">
        <f t="shared" si="35"/>
        <v>#VALUE!</v>
      </c>
      <c r="AS42" s="4" t="str">
        <f t="shared" si="36"/>
        <v xml:space="preserve"> </v>
      </c>
      <c r="AT42" s="5" t="e">
        <f t="shared" si="37"/>
        <v>#VALUE!</v>
      </c>
      <c r="AU42" s="4" t="str">
        <f t="shared" si="38"/>
        <v xml:space="preserve"> </v>
      </c>
      <c r="AV42" s="5" t="e">
        <f t="shared" si="39"/>
        <v>#VALUE!</v>
      </c>
      <c r="AW42" s="4" t="str">
        <f t="shared" si="40"/>
        <v xml:space="preserve"> </v>
      </c>
      <c r="AY42" s="54" t="str">
        <f t="shared" si="41"/>
        <v/>
      </c>
      <c r="AZ42" s="54" t="str">
        <f t="shared" si="42"/>
        <v/>
      </c>
      <c r="BA42" s="57" t="str">
        <f t="shared" si="43"/>
        <v/>
      </c>
      <c r="BB42" s="58" t="str">
        <f t="shared" si="44"/>
        <v/>
      </c>
      <c r="BC42" t="str">
        <f t="shared" si="45"/>
        <v/>
      </c>
      <c r="BD42" t="e">
        <f t="shared" si="46"/>
        <v>#N/A</v>
      </c>
    </row>
    <row r="43" spans="1:56" hidden="1" outlineLevel="1" x14ac:dyDescent="0.25">
      <c r="A43" s="1" t="str">
        <f>IF(EOD!$F34="","",EOD!$F34)</f>
        <v/>
      </c>
      <c r="B43" s="1" t="str">
        <f>IF(EOD!$C34="","",EOD!$C34)</f>
        <v/>
      </c>
      <c r="C43" s="56" t="str">
        <f>IF(EOD!$A34="","",EOD!$A34)</f>
        <v/>
      </c>
      <c r="D43" s="55" t="str">
        <f>IF(EOD!$D34="","",EOD!$D34)</f>
        <v/>
      </c>
      <c r="E43" s="1" t="str">
        <f>IF(EOD!E34="","",EOD!E34)</f>
        <v/>
      </c>
      <c r="F43" s="1" t="str">
        <f>IF(EOD!G34="","",EOD!G34)</f>
        <v/>
      </c>
      <c r="G43" s="1" t="str">
        <f>IF(EOD!H34="","",EOD!H34)</f>
        <v/>
      </c>
      <c r="H43" s="1" t="str">
        <f>IF(EOD!I34="","",EOD!I34)</f>
        <v/>
      </c>
      <c r="I43" s="5">
        <f t="shared" si="47"/>
        <v>0</v>
      </c>
      <c r="J43" s="5" t="e">
        <f t="shared" si="1"/>
        <v>#VALUE!</v>
      </c>
      <c r="K43" s="4" t="str">
        <f t="shared" si="2"/>
        <v xml:space="preserve"> </v>
      </c>
      <c r="L43" s="5" t="e">
        <f t="shared" si="3"/>
        <v>#VALUE!</v>
      </c>
      <c r="M43" s="4" t="str">
        <f t="shared" si="4"/>
        <v xml:space="preserve"> </v>
      </c>
      <c r="N43" s="5" t="e">
        <f t="shared" si="5"/>
        <v>#VALUE!</v>
      </c>
      <c r="O43" s="4" t="str">
        <f t="shared" si="6"/>
        <v xml:space="preserve"> </v>
      </c>
      <c r="P43" s="5" t="e">
        <f t="shared" si="7"/>
        <v>#VALUE!</v>
      </c>
      <c r="Q43" s="4" t="str">
        <f t="shared" si="8"/>
        <v xml:space="preserve"> </v>
      </c>
      <c r="R43" s="5" t="e">
        <f t="shared" si="9"/>
        <v>#VALUE!</v>
      </c>
      <c r="S43" s="4" t="str">
        <f t="shared" si="10"/>
        <v xml:space="preserve"> </v>
      </c>
      <c r="T43" s="5" t="e">
        <f t="shared" si="11"/>
        <v>#VALUE!</v>
      </c>
      <c r="U43" s="4" t="str">
        <f t="shared" si="12"/>
        <v xml:space="preserve"> </v>
      </c>
      <c r="V43" s="5" t="e">
        <f t="shared" si="13"/>
        <v>#VALUE!</v>
      </c>
      <c r="W43" s="4" t="str">
        <f t="shared" si="14"/>
        <v xml:space="preserve"> </v>
      </c>
      <c r="X43" s="5" t="e">
        <f t="shared" si="15"/>
        <v>#VALUE!</v>
      </c>
      <c r="Y43" s="4" t="str">
        <f t="shared" si="16"/>
        <v xml:space="preserve"> </v>
      </c>
      <c r="Z43" s="5" t="e">
        <f t="shared" si="17"/>
        <v>#VALUE!</v>
      </c>
      <c r="AA43" s="4" t="str">
        <f t="shared" si="18"/>
        <v xml:space="preserve"> </v>
      </c>
      <c r="AB43" s="5" t="e">
        <f t="shared" si="19"/>
        <v>#VALUE!</v>
      </c>
      <c r="AC43" s="4" t="str">
        <f t="shared" si="20"/>
        <v xml:space="preserve"> </v>
      </c>
      <c r="AD43" s="5" t="e">
        <f t="shared" si="21"/>
        <v>#VALUE!</v>
      </c>
      <c r="AE43" s="4" t="str">
        <f t="shared" si="22"/>
        <v xml:space="preserve"> </v>
      </c>
      <c r="AF43" s="5" t="e">
        <f t="shared" si="23"/>
        <v>#VALUE!</v>
      </c>
      <c r="AG43" s="4" t="str">
        <f t="shared" si="24"/>
        <v xml:space="preserve"> </v>
      </c>
      <c r="AH43" s="5" t="e">
        <f t="shared" si="25"/>
        <v>#VALUE!</v>
      </c>
      <c r="AI43" s="4" t="str">
        <f t="shared" si="26"/>
        <v xml:space="preserve"> </v>
      </c>
      <c r="AJ43" s="5" t="e">
        <f t="shared" si="27"/>
        <v>#VALUE!</v>
      </c>
      <c r="AK43" s="4" t="str">
        <f t="shared" si="28"/>
        <v xml:space="preserve"> </v>
      </c>
      <c r="AL43" s="5" t="e">
        <f t="shared" si="29"/>
        <v>#VALUE!</v>
      </c>
      <c r="AM43" s="4" t="str">
        <f t="shared" si="30"/>
        <v xml:space="preserve"> </v>
      </c>
      <c r="AN43" s="5" t="e">
        <f t="shared" si="31"/>
        <v>#VALUE!</v>
      </c>
      <c r="AO43" s="4" t="str">
        <f t="shared" si="32"/>
        <v xml:space="preserve"> </v>
      </c>
      <c r="AP43" s="5" t="e">
        <f t="shared" si="33"/>
        <v>#VALUE!</v>
      </c>
      <c r="AQ43" s="4" t="str">
        <f t="shared" si="34"/>
        <v xml:space="preserve"> </v>
      </c>
      <c r="AR43" s="5" t="e">
        <f t="shared" si="35"/>
        <v>#VALUE!</v>
      </c>
      <c r="AS43" s="4" t="str">
        <f t="shared" si="36"/>
        <v xml:space="preserve"> </v>
      </c>
      <c r="AT43" s="5" t="e">
        <f t="shared" si="37"/>
        <v>#VALUE!</v>
      </c>
      <c r="AU43" s="4" t="str">
        <f t="shared" si="38"/>
        <v xml:space="preserve"> </v>
      </c>
      <c r="AV43" s="5" t="e">
        <f t="shared" si="39"/>
        <v>#VALUE!</v>
      </c>
      <c r="AW43" s="4" t="str">
        <f t="shared" si="40"/>
        <v xml:space="preserve"> </v>
      </c>
      <c r="AY43" s="54" t="str">
        <f t="shared" si="41"/>
        <v/>
      </c>
      <c r="AZ43" s="54" t="str">
        <f t="shared" si="42"/>
        <v/>
      </c>
      <c r="BA43" s="57" t="str">
        <f t="shared" si="43"/>
        <v/>
      </c>
      <c r="BB43" s="58" t="str">
        <f t="shared" si="44"/>
        <v/>
      </c>
      <c r="BC43" t="str">
        <f t="shared" si="45"/>
        <v/>
      </c>
      <c r="BD43" t="e">
        <f t="shared" si="46"/>
        <v>#N/A</v>
      </c>
    </row>
    <row r="44" spans="1:56" hidden="1" outlineLevel="1" x14ac:dyDescent="0.25">
      <c r="A44" s="1" t="str">
        <f>IF(EOD!$F35="","",EOD!$F35)</f>
        <v/>
      </c>
      <c r="B44" s="1" t="str">
        <f>IF(EOD!$C35="","",EOD!$C35)</f>
        <v/>
      </c>
      <c r="C44" s="56" t="str">
        <f>IF(EOD!$A35="","",EOD!$A35)</f>
        <v/>
      </c>
      <c r="D44" s="55" t="str">
        <f>IF(EOD!$D35="","",EOD!$D35)</f>
        <v/>
      </c>
      <c r="E44" s="1" t="str">
        <f>IF(EOD!E35="","",EOD!E35)</f>
        <v/>
      </c>
      <c r="F44" s="1" t="str">
        <f>IF(EOD!G35="","",EOD!G35)</f>
        <v/>
      </c>
      <c r="G44" s="1" t="str">
        <f>IF(EOD!H35="","",EOD!H35)</f>
        <v/>
      </c>
      <c r="H44" s="1" t="str">
        <f>IF(EOD!I35="","",EOD!I35)</f>
        <v/>
      </c>
      <c r="I44" s="5">
        <f t="shared" si="47"/>
        <v>0</v>
      </c>
      <c r="J44" s="5" t="e">
        <f t="shared" si="1"/>
        <v>#VALUE!</v>
      </c>
      <c r="K44" s="4" t="str">
        <f t="shared" si="2"/>
        <v xml:space="preserve"> </v>
      </c>
      <c r="L44" s="5" t="e">
        <f t="shared" si="3"/>
        <v>#VALUE!</v>
      </c>
      <c r="M44" s="4" t="str">
        <f t="shared" si="4"/>
        <v xml:space="preserve"> </v>
      </c>
      <c r="N44" s="5" t="e">
        <f t="shared" si="5"/>
        <v>#VALUE!</v>
      </c>
      <c r="O44" s="4" t="str">
        <f t="shared" si="6"/>
        <v xml:space="preserve"> </v>
      </c>
      <c r="P44" s="5" t="e">
        <f t="shared" si="7"/>
        <v>#VALUE!</v>
      </c>
      <c r="Q44" s="4" t="str">
        <f t="shared" si="8"/>
        <v xml:space="preserve"> </v>
      </c>
      <c r="R44" s="5" t="e">
        <f t="shared" si="9"/>
        <v>#VALUE!</v>
      </c>
      <c r="S44" s="4" t="str">
        <f t="shared" si="10"/>
        <v xml:space="preserve"> </v>
      </c>
      <c r="T44" s="5" t="e">
        <f t="shared" si="11"/>
        <v>#VALUE!</v>
      </c>
      <c r="U44" s="4" t="str">
        <f t="shared" si="12"/>
        <v xml:space="preserve"> </v>
      </c>
      <c r="V44" s="5" t="e">
        <f t="shared" si="13"/>
        <v>#VALUE!</v>
      </c>
      <c r="W44" s="4" t="str">
        <f t="shared" si="14"/>
        <v xml:space="preserve"> </v>
      </c>
      <c r="X44" s="5" t="e">
        <f t="shared" si="15"/>
        <v>#VALUE!</v>
      </c>
      <c r="Y44" s="4" t="str">
        <f t="shared" si="16"/>
        <v xml:space="preserve"> </v>
      </c>
      <c r="Z44" s="5" t="e">
        <f t="shared" si="17"/>
        <v>#VALUE!</v>
      </c>
      <c r="AA44" s="4" t="str">
        <f t="shared" si="18"/>
        <v xml:space="preserve"> </v>
      </c>
      <c r="AB44" s="5" t="e">
        <f t="shared" si="19"/>
        <v>#VALUE!</v>
      </c>
      <c r="AC44" s="4" t="str">
        <f t="shared" si="20"/>
        <v xml:space="preserve"> </v>
      </c>
      <c r="AD44" s="5" t="e">
        <f t="shared" si="21"/>
        <v>#VALUE!</v>
      </c>
      <c r="AE44" s="4" t="str">
        <f t="shared" si="22"/>
        <v xml:space="preserve"> </v>
      </c>
      <c r="AF44" s="5" t="e">
        <f t="shared" si="23"/>
        <v>#VALUE!</v>
      </c>
      <c r="AG44" s="4" t="str">
        <f t="shared" si="24"/>
        <v xml:space="preserve"> </v>
      </c>
      <c r="AH44" s="5" t="e">
        <f t="shared" si="25"/>
        <v>#VALUE!</v>
      </c>
      <c r="AI44" s="4" t="str">
        <f t="shared" si="26"/>
        <v xml:space="preserve"> </v>
      </c>
      <c r="AJ44" s="5" t="e">
        <f t="shared" si="27"/>
        <v>#VALUE!</v>
      </c>
      <c r="AK44" s="4" t="str">
        <f t="shared" si="28"/>
        <v xml:space="preserve"> </v>
      </c>
      <c r="AL44" s="5" t="e">
        <f t="shared" si="29"/>
        <v>#VALUE!</v>
      </c>
      <c r="AM44" s="4" t="str">
        <f t="shared" si="30"/>
        <v xml:space="preserve"> </v>
      </c>
      <c r="AN44" s="5" t="e">
        <f t="shared" si="31"/>
        <v>#VALUE!</v>
      </c>
      <c r="AO44" s="4" t="str">
        <f t="shared" si="32"/>
        <v xml:space="preserve"> </v>
      </c>
      <c r="AP44" s="5" t="e">
        <f t="shared" si="33"/>
        <v>#VALUE!</v>
      </c>
      <c r="AQ44" s="4" t="str">
        <f t="shared" si="34"/>
        <v xml:space="preserve"> </v>
      </c>
      <c r="AR44" s="5" t="e">
        <f t="shared" si="35"/>
        <v>#VALUE!</v>
      </c>
      <c r="AS44" s="4" t="str">
        <f t="shared" si="36"/>
        <v xml:space="preserve"> </v>
      </c>
      <c r="AT44" s="5" t="e">
        <f t="shared" si="37"/>
        <v>#VALUE!</v>
      </c>
      <c r="AU44" s="4" t="str">
        <f t="shared" si="38"/>
        <v xml:space="preserve"> </v>
      </c>
      <c r="AV44" s="5" t="e">
        <f t="shared" si="39"/>
        <v>#VALUE!</v>
      </c>
      <c r="AW44" s="4" t="str">
        <f t="shared" si="40"/>
        <v xml:space="preserve"> </v>
      </c>
      <c r="AY44" s="54" t="str">
        <f t="shared" si="41"/>
        <v/>
      </c>
      <c r="AZ44" s="54" t="str">
        <f t="shared" si="42"/>
        <v/>
      </c>
      <c r="BA44" s="57" t="str">
        <f t="shared" si="43"/>
        <v/>
      </c>
      <c r="BB44" s="58" t="str">
        <f t="shared" si="44"/>
        <v/>
      </c>
      <c r="BC44" t="str">
        <f t="shared" si="45"/>
        <v/>
      </c>
      <c r="BD44" t="e">
        <f t="shared" si="46"/>
        <v>#N/A</v>
      </c>
    </row>
    <row r="45" spans="1:56" hidden="1" outlineLevel="1" x14ac:dyDescent="0.25">
      <c r="A45" s="1" t="str">
        <f>IF(EOD!$F36="","",EOD!$F36)</f>
        <v/>
      </c>
      <c r="B45" s="1" t="str">
        <f>IF(EOD!$C36="","",EOD!$C36)</f>
        <v/>
      </c>
      <c r="C45" s="56" t="str">
        <f>IF(EOD!$A36="","",EOD!$A36)</f>
        <v/>
      </c>
      <c r="D45" s="55" t="str">
        <f>IF(EOD!$D36="","",EOD!$D36)</f>
        <v/>
      </c>
      <c r="E45" s="1" t="str">
        <f>IF(EOD!E36="","",EOD!E36)</f>
        <v/>
      </c>
      <c r="F45" s="1" t="str">
        <f>IF(EOD!G36="","",EOD!G36)</f>
        <v/>
      </c>
      <c r="G45" s="1" t="str">
        <f>IF(EOD!H36="","",EOD!H36)</f>
        <v/>
      </c>
      <c r="H45" s="1" t="str">
        <f>IF(EOD!I36="","",EOD!I36)</f>
        <v/>
      </c>
      <c r="I45" s="5">
        <f t="shared" si="47"/>
        <v>0</v>
      </c>
      <c r="J45" s="5" t="e">
        <f t="shared" si="1"/>
        <v>#VALUE!</v>
      </c>
      <c r="K45" s="4" t="str">
        <f t="shared" si="2"/>
        <v xml:space="preserve"> </v>
      </c>
      <c r="L45" s="5" t="e">
        <f t="shared" si="3"/>
        <v>#VALUE!</v>
      </c>
      <c r="M45" s="4" t="str">
        <f t="shared" si="4"/>
        <v xml:space="preserve"> </v>
      </c>
      <c r="N45" s="5" t="e">
        <f t="shared" si="5"/>
        <v>#VALUE!</v>
      </c>
      <c r="O45" s="4" t="str">
        <f t="shared" si="6"/>
        <v xml:space="preserve"> </v>
      </c>
      <c r="P45" s="5" t="e">
        <f t="shared" si="7"/>
        <v>#VALUE!</v>
      </c>
      <c r="Q45" s="4" t="str">
        <f t="shared" si="8"/>
        <v xml:space="preserve"> </v>
      </c>
      <c r="R45" s="5" t="e">
        <f t="shared" si="9"/>
        <v>#VALUE!</v>
      </c>
      <c r="S45" s="4" t="str">
        <f t="shared" si="10"/>
        <v xml:space="preserve"> </v>
      </c>
      <c r="T45" s="5" t="e">
        <f t="shared" si="11"/>
        <v>#VALUE!</v>
      </c>
      <c r="U45" s="4" t="str">
        <f t="shared" si="12"/>
        <v xml:space="preserve"> </v>
      </c>
      <c r="V45" s="5" t="e">
        <f t="shared" si="13"/>
        <v>#VALUE!</v>
      </c>
      <c r="W45" s="4" t="str">
        <f t="shared" si="14"/>
        <v xml:space="preserve"> </v>
      </c>
      <c r="X45" s="5" t="e">
        <f t="shared" si="15"/>
        <v>#VALUE!</v>
      </c>
      <c r="Y45" s="4" t="str">
        <f t="shared" si="16"/>
        <v xml:space="preserve"> </v>
      </c>
      <c r="Z45" s="5" t="e">
        <f t="shared" si="17"/>
        <v>#VALUE!</v>
      </c>
      <c r="AA45" s="4" t="str">
        <f t="shared" si="18"/>
        <v xml:space="preserve"> </v>
      </c>
      <c r="AB45" s="5" t="e">
        <f t="shared" si="19"/>
        <v>#VALUE!</v>
      </c>
      <c r="AC45" s="4" t="str">
        <f t="shared" si="20"/>
        <v xml:space="preserve"> </v>
      </c>
      <c r="AD45" s="5" t="e">
        <f t="shared" si="21"/>
        <v>#VALUE!</v>
      </c>
      <c r="AE45" s="4" t="str">
        <f t="shared" si="22"/>
        <v xml:space="preserve"> </v>
      </c>
      <c r="AF45" s="5" t="e">
        <f t="shared" si="23"/>
        <v>#VALUE!</v>
      </c>
      <c r="AG45" s="4" t="str">
        <f t="shared" si="24"/>
        <v xml:space="preserve"> </v>
      </c>
      <c r="AH45" s="5" t="e">
        <f t="shared" si="25"/>
        <v>#VALUE!</v>
      </c>
      <c r="AI45" s="4" t="str">
        <f t="shared" si="26"/>
        <v xml:space="preserve"> </v>
      </c>
      <c r="AJ45" s="5" t="e">
        <f t="shared" si="27"/>
        <v>#VALUE!</v>
      </c>
      <c r="AK45" s="4" t="str">
        <f t="shared" si="28"/>
        <v xml:space="preserve"> </v>
      </c>
      <c r="AL45" s="5" t="e">
        <f t="shared" si="29"/>
        <v>#VALUE!</v>
      </c>
      <c r="AM45" s="4" t="str">
        <f t="shared" si="30"/>
        <v xml:space="preserve"> </v>
      </c>
      <c r="AN45" s="5" t="e">
        <f t="shared" si="31"/>
        <v>#VALUE!</v>
      </c>
      <c r="AO45" s="4" t="str">
        <f t="shared" si="32"/>
        <v xml:space="preserve"> </v>
      </c>
      <c r="AP45" s="5" t="e">
        <f t="shared" si="33"/>
        <v>#VALUE!</v>
      </c>
      <c r="AQ45" s="4" t="str">
        <f t="shared" si="34"/>
        <v xml:space="preserve"> </v>
      </c>
      <c r="AR45" s="5" t="e">
        <f t="shared" si="35"/>
        <v>#VALUE!</v>
      </c>
      <c r="AS45" s="4" t="str">
        <f t="shared" si="36"/>
        <v xml:space="preserve"> </v>
      </c>
      <c r="AT45" s="5" t="e">
        <f t="shared" si="37"/>
        <v>#VALUE!</v>
      </c>
      <c r="AU45" s="4" t="str">
        <f t="shared" si="38"/>
        <v xml:space="preserve"> </v>
      </c>
      <c r="AV45" s="5" t="e">
        <f t="shared" si="39"/>
        <v>#VALUE!</v>
      </c>
      <c r="AW45" s="4" t="str">
        <f t="shared" si="40"/>
        <v xml:space="preserve"> </v>
      </c>
      <c r="AY45" s="54" t="str">
        <f t="shared" si="41"/>
        <v/>
      </c>
      <c r="AZ45" s="54" t="str">
        <f t="shared" si="42"/>
        <v/>
      </c>
      <c r="BA45" s="57" t="str">
        <f t="shared" si="43"/>
        <v/>
      </c>
      <c r="BB45" s="58" t="str">
        <f t="shared" si="44"/>
        <v/>
      </c>
      <c r="BC45" t="str">
        <f t="shared" si="45"/>
        <v/>
      </c>
      <c r="BD45" t="e">
        <f t="shared" si="46"/>
        <v>#N/A</v>
      </c>
    </row>
    <row r="46" spans="1:56" hidden="1" outlineLevel="1" x14ac:dyDescent="0.25">
      <c r="A46" s="1" t="str">
        <f>IF(EOD!$F37="","",EOD!$F37)</f>
        <v/>
      </c>
      <c r="B46" s="1" t="str">
        <f>IF(EOD!$C37="","",EOD!$C37)</f>
        <v/>
      </c>
      <c r="C46" s="56" t="str">
        <f>IF(EOD!$A37="","",EOD!$A37)</f>
        <v/>
      </c>
      <c r="D46" s="55" t="str">
        <f>IF(EOD!$D37="","",EOD!$D37)</f>
        <v/>
      </c>
      <c r="E46" s="1" t="str">
        <f>IF(EOD!E37="","",EOD!E37)</f>
        <v/>
      </c>
      <c r="F46" s="1" t="str">
        <f>IF(EOD!G37="","",EOD!G37)</f>
        <v/>
      </c>
      <c r="G46" s="1" t="str">
        <f>IF(EOD!H37="","",EOD!H37)</f>
        <v/>
      </c>
      <c r="H46" s="1" t="str">
        <f>IF(EOD!I37="","",EOD!I37)</f>
        <v/>
      </c>
      <c r="I46" s="5">
        <f t="shared" si="47"/>
        <v>0</v>
      </c>
      <c r="J46" s="5" t="e">
        <f t="shared" si="1"/>
        <v>#VALUE!</v>
      </c>
      <c r="K46" s="4" t="str">
        <f t="shared" si="2"/>
        <v xml:space="preserve"> </v>
      </c>
      <c r="L46" s="5" t="e">
        <f t="shared" si="3"/>
        <v>#VALUE!</v>
      </c>
      <c r="M46" s="4" t="str">
        <f t="shared" si="4"/>
        <v xml:space="preserve"> </v>
      </c>
      <c r="N46" s="5" t="e">
        <f t="shared" si="5"/>
        <v>#VALUE!</v>
      </c>
      <c r="O46" s="4" t="str">
        <f t="shared" si="6"/>
        <v xml:space="preserve"> </v>
      </c>
      <c r="P46" s="5" t="e">
        <f t="shared" si="7"/>
        <v>#VALUE!</v>
      </c>
      <c r="Q46" s="4" t="str">
        <f t="shared" si="8"/>
        <v xml:space="preserve"> </v>
      </c>
      <c r="R46" s="5" t="e">
        <f t="shared" si="9"/>
        <v>#VALUE!</v>
      </c>
      <c r="S46" s="4" t="str">
        <f t="shared" si="10"/>
        <v xml:space="preserve"> </v>
      </c>
      <c r="T46" s="5" t="e">
        <f t="shared" si="11"/>
        <v>#VALUE!</v>
      </c>
      <c r="U46" s="4" t="str">
        <f t="shared" si="12"/>
        <v xml:space="preserve"> </v>
      </c>
      <c r="V46" s="5" t="e">
        <f t="shared" si="13"/>
        <v>#VALUE!</v>
      </c>
      <c r="W46" s="4" t="str">
        <f t="shared" si="14"/>
        <v xml:space="preserve"> </v>
      </c>
      <c r="X46" s="5" t="e">
        <f t="shared" si="15"/>
        <v>#VALUE!</v>
      </c>
      <c r="Y46" s="4" t="str">
        <f t="shared" si="16"/>
        <v xml:space="preserve"> </v>
      </c>
      <c r="Z46" s="5" t="e">
        <f t="shared" si="17"/>
        <v>#VALUE!</v>
      </c>
      <c r="AA46" s="4" t="str">
        <f t="shared" si="18"/>
        <v xml:space="preserve"> </v>
      </c>
      <c r="AB46" s="5" t="e">
        <f t="shared" si="19"/>
        <v>#VALUE!</v>
      </c>
      <c r="AC46" s="4" t="str">
        <f t="shared" si="20"/>
        <v xml:space="preserve"> </v>
      </c>
      <c r="AD46" s="5" t="e">
        <f t="shared" si="21"/>
        <v>#VALUE!</v>
      </c>
      <c r="AE46" s="4" t="str">
        <f t="shared" si="22"/>
        <v xml:space="preserve"> </v>
      </c>
      <c r="AF46" s="5" t="e">
        <f t="shared" si="23"/>
        <v>#VALUE!</v>
      </c>
      <c r="AG46" s="4" t="str">
        <f t="shared" si="24"/>
        <v xml:space="preserve"> </v>
      </c>
      <c r="AH46" s="5" t="e">
        <f t="shared" si="25"/>
        <v>#VALUE!</v>
      </c>
      <c r="AI46" s="4" t="str">
        <f t="shared" si="26"/>
        <v xml:space="preserve"> </v>
      </c>
      <c r="AJ46" s="5" t="e">
        <f t="shared" si="27"/>
        <v>#VALUE!</v>
      </c>
      <c r="AK46" s="4" t="str">
        <f t="shared" si="28"/>
        <v xml:space="preserve"> </v>
      </c>
      <c r="AL46" s="5" t="e">
        <f t="shared" si="29"/>
        <v>#VALUE!</v>
      </c>
      <c r="AM46" s="4" t="str">
        <f t="shared" si="30"/>
        <v xml:space="preserve"> </v>
      </c>
      <c r="AN46" s="5" t="e">
        <f t="shared" si="31"/>
        <v>#VALUE!</v>
      </c>
      <c r="AO46" s="4" t="str">
        <f t="shared" si="32"/>
        <v xml:space="preserve"> </v>
      </c>
      <c r="AP46" s="5" t="e">
        <f t="shared" si="33"/>
        <v>#VALUE!</v>
      </c>
      <c r="AQ46" s="4" t="str">
        <f t="shared" si="34"/>
        <v xml:space="preserve"> </v>
      </c>
      <c r="AR46" s="5" t="e">
        <f t="shared" si="35"/>
        <v>#VALUE!</v>
      </c>
      <c r="AS46" s="4" t="str">
        <f t="shared" si="36"/>
        <v xml:space="preserve"> </v>
      </c>
      <c r="AT46" s="5" t="e">
        <f t="shared" si="37"/>
        <v>#VALUE!</v>
      </c>
      <c r="AU46" s="4" t="str">
        <f t="shared" si="38"/>
        <v xml:space="preserve"> </v>
      </c>
      <c r="AV46" s="5" t="e">
        <f t="shared" si="39"/>
        <v>#VALUE!</v>
      </c>
      <c r="AW46" s="4" t="str">
        <f t="shared" si="40"/>
        <v xml:space="preserve"> </v>
      </c>
      <c r="AY46" s="54" t="str">
        <f t="shared" si="41"/>
        <v/>
      </c>
      <c r="AZ46" s="54" t="str">
        <f t="shared" si="42"/>
        <v/>
      </c>
      <c r="BA46" s="57" t="str">
        <f t="shared" si="43"/>
        <v/>
      </c>
      <c r="BB46" s="58" t="str">
        <f t="shared" si="44"/>
        <v/>
      </c>
      <c r="BC46" t="str">
        <f t="shared" si="45"/>
        <v/>
      </c>
      <c r="BD46" t="e">
        <f t="shared" si="46"/>
        <v>#N/A</v>
      </c>
    </row>
    <row r="47" spans="1:56" hidden="1" outlineLevel="1" x14ac:dyDescent="0.25">
      <c r="A47" s="1" t="str">
        <f>IF(EOD!$F38="","",EOD!$F38)</f>
        <v/>
      </c>
      <c r="B47" s="1" t="str">
        <f>IF(EOD!$C38="","",EOD!$C38)</f>
        <v/>
      </c>
      <c r="C47" s="56" t="str">
        <f>IF(EOD!$A38="","",EOD!$A38)</f>
        <v/>
      </c>
      <c r="D47" s="55" t="str">
        <f>IF(EOD!$D38="","",EOD!$D38)</f>
        <v/>
      </c>
      <c r="E47" s="1" t="str">
        <f>IF(EOD!E38="","",EOD!E38)</f>
        <v/>
      </c>
      <c r="F47" s="1" t="str">
        <f>IF(EOD!G38="","",EOD!G38)</f>
        <v/>
      </c>
      <c r="G47" s="1" t="str">
        <f>IF(EOD!H38="","",EOD!H38)</f>
        <v/>
      </c>
      <c r="H47" s="1" t="str">
        <f>IF(EOD!I38="","",EOD!I38)</f>
        <v/>
      </c>
      <c r="I47" s="5">
        <f t="shared" si="47"/>
        <v>0</v>
      </c>
      <c r="J47" s="5" t="e">
        <f t="shared" si="1"/>
        <v>#VALUE!</v>
      </c>
      <c r="K47" s="4" t="str">
        <f t="shared" si="2"/>
        <v xml:space="preserve"> </v>
      </c>
      <c r="L47" s="5" t="e">
        <f t="shared" si="3"/>
        <v>#VALUE!</v>
      </c>
      <c r="M47" s="4" t="str">
        <f t="shared" si="4"/>
        <v xml:space="preserve"> </v>
      </c>
      <c r="N47" s="5" t="e">
        <f t="shared" si="5"/>
        <v>#VALUE!</v>
      </c>
      <c r="O47" s="4" t="str">
        <f t="shared" si="6"/>
        <v xml:space="preserve"> </v>
      </c>
      <c r="P47" s="5" t="e">
        <f t="shared" si="7"/>
        <v>#VALUE!</v>
      </c>
      <c r="Q47" s="4" t="str">
        <f t="shared" si="8"/>
        <v xml:space="preserve"> </v>
      </c>
      <c r="R47" s="5" t="e">
        <f t="shared" si="9"/>
        <v>#VALUE!</v>
      </c>
      <c r="S47" s="4" t="str">
        <f t="shared" si="10"/>
        <v xml:space="preserve"> </v>
      </c>
      <c r="T47" s="5" t="e">
        <f t="shared" si="11"/>
        <v>#VALUE!</v>
      </c>
      <c r="U47" s="4" t="str">
        <f t="shared" si="12"/>
        <v xml:space="preserve"> </v>
      </c>
      <c r="V47" s="5" t="e">
        <f t="shared" si="13"/>
        <v>#VALUE!</v>
      </c>
      <c r="W47" s="4" t="str">
        <f t="shared" si="14"/>
        <v xml:space="preserve"> </v>
      </c>
      <c r="X47" s="5" t="e">
        <f t="shared" si="15"/>
        <v>#VALUE!</v>
      </c>
      <c r="Y47" s="4" t="str">
        <f t="shared" si="16"/>
        <v xml:space="preserve"> </v>
      </c>
      <c r="Z47" s="5" t="e">
        <f t="shared" si="17"/>
        <v>#VALUE!</v>
      </c>
      <c r="AA47" s="4" t="str">
        <f t="shared" si="18"/>
        <v xml:space="preserve"> </v>
      </c>
      <c r="AB47" s="5" t="e">
        <f t="shared" si="19"/>
        <v>#VALUE!</v>
      </c>
      <c r="AC47" s="4" t="str">
        <f t="shared" si="20"/>
        <v xml:space="preserve"> </v>
      </c>
      <c r="AD47" s="5" t="e">
        <f t="shared" si="21"/>
        <v>#VALUE!</v>
      </c>
      <c r="AE47" s="4" t="str">
        <f t="shared" si="22"/>
        <v xml:space="preserve"> </v>
      </c>
      <c r="AF47" s="5" t="e">
        <f t="shared" si="23"/>
        <v>#VALUE!</v>
      </c>
      <c r="AG47" s="4" t="str">
        <f t="shared" si="24"/>
        <v xml:space="preserve"> </v>
      </c>
      <c r="AH47" s="5" t="e">
        <f t="shared" si="25"/>
        <v>#VALUE!</v>
      </c>
      <c r="AI47" s="4" t="str">
        <f t="shared" si="26"/>
        <v xml:space="preserve"> </v>
      </c>
      <c r="AJ47" s="5" t="e">
        <f t="shared" si="27"/>
        <v>#VALUE!</v>
      </c>
      <c r="AK47" s="4" t="str">
        <f t="shared" si="28"/>
        <v xml:space="preserve"> </v>
      </c>
      <c r="AL47" s="5" t="e">
        <f t="shared" si="29"/>
        <v>#VALUE!</v>
      </c>
      <c r="AM47" s="4" t="str">
        <f t="shared" si="30"/>
        <v xml:space="preserve"> </v>
      </c>
      <c r="AN47" s="5" t="e">
        <f t="shared" si="31"/>
        <v>#VALUE!</v>
      </c>
      <c r="AO47" s="4" t="str">
        <f t="shared" si="32"/>
        <v xml:space="preserve"> </v>
      </c>
      <c r="AP47" s="5" t="e">
        <f t="shared" si="33"/>
        <v>#VALUE!</v>
      </c>
      <c r="AQ47" s="4" t="str">
        <f t="shared" si="34"/>
        <v xml:space="preserve"> </v>
      </c>
      <c r="AR47" s="5" t="e">
        <f t="shared" si="35"/>
        <v>#VALUE!</v>
      </c>
      <c r="AS47" s="4" t="str">
        <f t="shared" si="36"/>
        <v xml:space="preserve"> </v>
      </c>
      <c r="AT47" s="5" t="e">
        <f t="shared" si="37"/>
        <v>#VALUE!</v>
      </c>
      <c r="AU47" s="4" t="str">
        <f t="shared" si="38"/>
        <v xml:space="preserve"> </v>
      </c>
      <c r="AV47" s="5" t="e">
        <f t="shared" si="39"/>
        <v>#VALUE!</v>
      </c>
      <c r="AW47" s="4" t="str">
        <f t="shared" si="40"/>
        <v xml:space="preserve"> </v>
      </c>
      <c r="AY47" s="54" t="str">
        <f t="shared" si="41"/>
        <v/>
      </c>
      <c r="AZ47" s="54" t="str">
        <f t="shared" si="42"/>
        <v/>
      </c>
      <c r="BA47" s="57" t="str">
        <f t="shared" si="43"/>
        <v/>
      </c>
      <c r="BB47" s="58" t="str">
        <f t="shared" si="44"/>
        <v/>
      </c>
      <c r="BC47" t="str">
        <f t="shared" si="45"/>
        <v/>
      </c>
      <c r="BD47" t="e">
        <f t="shared" si="46"/>
        <v>#N/A</v>
      </c>
    </row>
    <row r="48" spans="1:56" hidden="1" outlineLevel="1" x14ac:dyDescent="0.25">
      <c r="A48" s="1" t="str">
        <f>IF(EOD!$F39="","",EOD!$F39)</f>
        <v/>
      </c>
      <c r="B48" s="1" t="str">
        <f>IF(EOD!$C39="","",EOD!$C39)</f>
        <v/>
      </c>
      <c r="C48" s="56" t="str">
        <f>IF(EOD!$A39="","",EOD!$A39)</f>
        <v/>
      </c>
      <c r="D48" s="55" t="str">
        <f>IF(EOD!$D39="","",EOD!$D39)</f>
        <v/>
      </c>
      <c r="E48" s="1" t="str">
        <f>IF(EOD!E39="","",EOD!E39)</f>
        <v/>
      </c>
      <c r="F48" s="1" t="str">
        <f>IF(EOD!G39="","",EOD!G39)</f>
        <v/>
      </c>
      <c r="G48" s="1" t="str">
        <f>IF(EOD!H39="","",EOD!H39)</f>
        <v/>
      </c>
      <c r="H48" s="1" t="str">
        <f>IF(EOD!I39="","",EOD!I39)</f>
        <v/>
      </c>
      <c r="I48" s="5">
        <f t="shared" si="47"/>
        <v>0</v>
      </c>
      <c r="J48" s="5" t="e">
        <f t="shared" si="1"/>
        <v>#VALUE!</v>
      </c>
      <c r="K48" s="4" t="str">
        <f t="shared" si="2"/>
        <v xml:space="preserve"> </v>
      </c>
      <c r="L48" s="5" t="e">
        <f t="shared" si="3"/>
        <v>#VALUE!</v>
      </c>
      <c r="M48" s="4" t="str">
        <f t="shared" si="4"/>
        <v xml:space="preserve"> </v>
      </c>
      <c r="N48" s="5" t="e">
        <f t="shared" si="5"/>
        <v>#VALUE!</v>
      </c>
      <c r="O48" s="4" t="str">
        <f t="shared" si="6"/>
        <v xml:space="preserve"> </v>
      </c>
      <c r="P48" s="5" t="e">
        <f t="shared" si="7"/>
        <v>#VALUE!</v>
      </c>
      <c r="Q48" s="4" t="str">
        <f t="shared" si="8"/>
        <v xml:space="preserve"> </v>
      </c>
      <c r="R48" s="5" t="e">
        <f t="shared" si="9"/>
        <v>#VALUE!</v>
      </c>
      <c r="S48" s="4" t="str">
        <f t="shared" si="10"/>
        <v xml:space="preserve"> </v>
      </c>
      <c r="T48" s="5" t="e">
        <f t="shared" si="11"/>
        <v>#VALUE!</v>
      </c>
      <c r="U48" s="4" t="str">
        <f t="shared" si="12"/>
        <v xml:space="preserve"> </v>
      </c>
      <c r="V48" s="5" t="e">
        <f t="shared" si="13"/>
        <v>#VALUE!</v>
      </c>
      <c r="W48" s="4" t="str">
        <f t="shared" si="14"/>
        <v xml:space="preserve"> </v>
      </c>
      <c r="X48" s="5" t="e">
        <f t="shared" si="15"/>
        <v>#VALUE!</v>
      </c>
      <c r="Y48" s="4" t="str">
        <f t="shared" si="16"/>
        <v xml:space="preserve"> </v>
      </c>
      <c r="Z48" s="5" t="e">
        <f t="shared" si="17"/>
        <v>#VALUE!</v>
      </c>
      <c r="AA48" s="4" t="str">
        <f t="shared" si="18"/>
        <v xml:space="preserve"> </v>
      </c>
      <c r="AB48" s="5" t="e">
        <f t="shared" si="19"/>
        <v>#VALUE!</v>
      </c>
      <c r="AC48" s="4" t="str">
        <f t="shared" si="20"/>
        <v xml:space="preserve"> </v>
      </c>
      <c r="AD48" s="5" t="e">
        <f t="shared" si="21"/>
        <v>#VALUE!</v>
      </c>
      <c r="AE48" s="4" t="str">
        <f t="shared" si="22"/>
        <v xml:space="preserve"> </v>
      </c>
      <c r="AF48" s="5" t="e">
        <f t="shared" si="23"/>
        <v>#VALUE!</v>
      </c>
      <c r="AG48" s="4" t="str">
        <f t="shared" si="24"/>
        <v xml:space="preserve"> </v>
      </c>
      <c r="AH48" s="5" t="e">
        <f t="shared" si="25"/>
        <v>#VALUE!</v>
      </c>
      <c r="AI48" s="4" t="str">
        <f t="shared" si="26"/>
        <v xml:space="preserve"> </v>
      </c>
      <c r="AJ48" s="5" t="e">
        <f t="shared" si="27"/>
        <v>#VALUE!</v>
      </c>
      <c r="AK48" s="4" t="str">
        <f t="shared" si="28"/>
        <v xml:space="preserve"> </v>
      </c>
      <c r="AL48" s="5" t="e">
        <f t="shared" si="29"/>
        <v>#VALUE!</v>
      </c>
      <c r="AM48" s="4" t="str">
        <f t="shared" si="30"/>
        <v xml:space="preserve"> </v>
      </c>
      <c r="AN48" s="5" t="e">
        <f t="shared" si="31"/>
        <v>#VALUE!</v>
      </c>
      <c r="AO48" s="4" t="str">
        <f t="shared" si="32"/>
        <v xml:space="preserve"> </v>
      </c>
      <c r="AP48" s="5" t="e">
        <f t="shared" si="33"/>
        <v>#VALUE!</v>
      </c>
      <c r="AQ48" s="4" t="str">
        <f t="shared" si="34"/>
        <v xml:space="preserve"> </v>
      </c>
      <c r="AR48" s="5" t="e">
        <f t="shared" si="35"/>
        <v>#VALUE!</v>
      </c>
      <c r="AS48" s="4" t="str">
        <f t="shared" si="36"/>
        <v xml:space="preserve"> </v>
      </c>
      <c r="AT48" s="5" t="e">
        <f t="shared" si="37"/>
        <v>#VALUE!</v>
      </c>
      <c r="AU48" s="4" t="str">
        <f t="shared" si="38"/>
        <v xml:space="preserve"> </v>
      </c>
      <c r="AV48" s="5" t="e">
        <f t="shared" si="39"/>
        <v>#VALUE!</v>
      </c>
      <c r="AW48" s="4" t="str">
        <f t="shared" si="40"/>
        <v xml:space="preserve"> </v>
      </c>
      <c r="AY48" s="54" t="str">
        <f t="shared" si="41"/>
        <v/>
      </c>
      <c r="AZ48" s="54" t="str">
        <f t="shared" si="42"/>
        <v/>
      </c>
      <c r="BA48" s="57" t="str">
        <f t="shared" si="43"/>
        <v/>
      </c>
      <c r="BB48" s="58" t="str">
        <f t="shared" si="44"/>
        <v/>
      </c>
      <c r="BC48" t="str">
        <f t="shared" si="45"/>
        <v/>
      </c>
      <c r="BD48" t="e">
        <f t="shared" si="46"/>
        <v>#N/A</v>
      </c>
    </row>
    <row r="49" spans="1:56" hidden="1" outlineLevel="1" x14ac:dyDescent="0.25">
      <c r="A49" s="1" t="str">
        <f>IF(EOD!$F40="","",EOD!$F40)</f>
        <v/>
      </c>
      <c r="B49" s="1" t="str">
        <f>IF(EOD!$C40="","",EOD!$C40)</f>
        <v/>
      </c>
      <c r="C49" s="56" t="str">
        <f>IF(EOD!$A40="","",EOD!$A40)</f>
        <v/>
      </c>
      <c r="D49" s="55" t="str">
        <f>IF(EOD!$D40="","",EOD!$D40)</f>
        <v/>
      </c>
      <c r="E49" s="1" t="str">
        <f>IF(EOD!E40="","",EOD!E40)</f>
        <v/>
      </c>
      <c r="F49" s="1" t="str">
        <f>IF(EOD!G40="","",EOD!G40)</f>
        <v/>
      </c>
      <c r="G49" s="1" t="str">
        <f>IF(EOD!H40="","",EOD!H40)</f>
        <v/>
      </c>
      <c r="H49" s="1" t="str">
        <f>IF(EOD!I40="","",EOD!I40)</f>
        <v/>
      </c>
      <c r="I49" s="5">
        <f t="shared" si="47"/>
        <v>0</v>
      </c>
      <c r="J49" s="5" t="e">
        <f t="shared" si="1"/>
        <v>#VALUE!</v>
      </c>
      <c r="K49" s="4" t="str">
        <f t="shared" si="2"/>
        <v xml:space="preserve"> </v>
      </c>
      <c r="L49" s="5" t="e">
        <f t="shared" si="3"/>
        <v>#VALUE!</v>
      </c>
      <c r="M49" s="4" t="str">
        <f t="shared" si="4"/>
        <v xml:space="preserve"> </v>
      </c>
      <c r="N49" s="5" t="e">
        <f t="shared" si="5"/>
        <v>#VALUE!</v>
      </c>
      <c r="O49" s="4" t="str">
        <f t="shared" si="6"/>
        <v xml:space="preserve"> </v>
      </c>
      <c r="P49" s="5" t="e">
        <f t="shared" si="7"/>
        <v>#VALUE!</v>
      </c>
      <c r="Q49" s="4" t="str">
        <f t="shared" si="8"/>
        <v xml:space="preserve"> </v>
      </c>
      <c r="R49" s="5" t="e">
        <f t="shared" si="9"/>
        <v>#VALUE!</v>
      </c>
      <c r="S49" s="4" t="str">
        <f t="shared" si="10"/>
        <v xml:space="preserve"> </v>
      </c>
      <c r="T49" s="5" t="e">
        <f t="shared" si="11"/>
        <v>#VALUE!</v>
      </c>
      <c r="U49" s="4" t="str">
        <f t="shared" si="12"/>
        <v xml:space="preserve"> </v>
      </c>
      <c r="V49" s="5" t="e">
        <f t="shared" si="13"/>
        <v>#VALUE!</v>
      </c>
      <c r="W49" s="4" t="str">
        <f t="shared" si="14"/>
        <v xml:space="preserve"> </v>
      </c>
      <c r="X49" s="5" t="e">
        <f t="shared" si="15"/>
        <v>#VALUE!</v>
      </c>
      <c r="Y49" s="4" t="str">
        <f t="shared" si="16"/>
        <v xml:space="preserve"> </v>
      </c>
      <c r="Z49" s="5" t="e">
        <f t="shared" si="17"/>
        <v>#VALUE!</v>
      </c>
      <c r="AA49" s="4" t="str">
        <f t="shared" si="18"/>
        <v xml:space="preserve"> </v>
      </c>
      <c r="AB49" s="5" t="e">
        <f t="shared" si="19"/>
        <v>#VALUE!</v>
      </c>
      <c r="AC49" s="4" t="str">
        <f t="shared" si="20"/>
        <v xml:space="preserve"> </v>
      </c>
      <c r="AD49" s="5" t="e">
        <f t="shared" si="21"/>
        <v>#VALUE!</v>
      </c>
      <c r="AE49" s="4" t="str">
        <f t="shared" si="22"/>
        <v xml:space="preserve"> </v>
      </c>
      <c r="AF49" s="5" t="e">
        <f t="shared" si="23"/>
        <v>#VALUE!</v>
      </c>
      <c r="AG49" s="4" t="str">
        <f t="shared" si="24"/>
        <v xml:space="preserve"> </v>
      </c>
      <c r="AH49" s="5" t="e">
        <f t="shared" si="25"/>
        <v>#VALUE!</v>
      </c>
      <c r="AI49" s="4" t="str">
        <f t="shared" si="26"/>
        <v xml:space="preserve"> </v>
      </c>
      <c r="AJ49" s="5" t="e">
        <f t="shared" si="27"/>
        <v>#VALUE!</v>
      </c>
      <c r="AK49" s="4" t="str">
        <f t="shared" si="28"/>
        <v xml:space="preserve"> </v>
      </c>
      <c r="AL49" s="5" t="e">
        <f t="shared" si="29"/>
        <v>#VALUE!</v>
      </c>
      <c r="AM49" s="4" t="str">
        <f t="shared" si="30"/>
        <v xml:space="preserve"> </v>
      </c>
      <c r="AN49" s="5" t="e">
        <f t="shared" si="31"/>
        <v>#VALUE!</v>
      </c>
      <c r="AO49" s="4" t="str">
        <f t="shared" si="32"/>
        <v xml:space="preserve"> </v>
      </c>
      <c r="AP49" s="5" t="e">
        <f t="shared" si="33"/>
        <v>#VALUE!</v>
      </c>
      <c r="AQ49" s="4" t="str">
        <f t="shared" si="34"/>
        <v xml:space="preserve"> </v>
      </c>
      <c r="AR49" s="5" t="e">
        <f t="shared" si="35"/>
        <v>#VALUE!</v>
      </c>
      <c r="AS49" s="4" t="str">
        <f t="shared" si="36"/>
        <v xml:space="preserve"> </v>
      </c>
      <c r="AT49" s="5" t="e">
        <f t="shared" si="37"/>
        <v>#VALUE!</v>
      </c>
      <c r="AU49" s="4" t="str">
        <f t="shared" si="38"/>
        <v xml:space="preserve"> </v>
      </c>
      <c r="AV49" s="5" t="e">
        <f t="shared" si="39"/>
        <v>#VALUE!</v>
      </c>
      <c r="AW49" s="4" t="str">
        <f t="shared" si="40"/>
        <v xml:space="preserve"> </v>
      </c>
      <c r="AY49" s="54" t="str">
        <f t="shared" si="41"/>
        <v/>
      </c>
      <c r="AZ49" s="54" t="str">
        <f t="shared" si="42"/>
        <v/>
      </c>
      <c r="BA49" s="57" t="str">
        <f t="shared" si="43"/>
        <v/>
      </c>
      <c r="BB49" s="58" t="str">
        <f t="shared" si="44"/>
        <v/>
      </c>
      <c r="BC49" t="str">
        <f t="shared" si="45"/>
        <v/>
      </c>
      <c r="BD49" t="e">
        <f t="shared" si="46"/>
        <v>#N/A</v>
      </c>
    </row>
    <row r="50" spans="1:56" hidden="1" outlineLevel="1" x14ac:dyDescent="0.25">
      <c r="A50" s="1" t="str">
        <f>IF(EOD!$F41="","",EOD!$F41)</f>
        <v/>
      </c>
      <c r="B50" s="1" t="str">
        <f>IF(EOD!$C41="","",EOD!$C41)</f>
        <v/>
      </c>
      <c r="C50" s="56" t="str">
        <f>IF(EOD!$A41="","",EOD!$A41)</f>
        <v/>
      </c>
      <c r="D50" s="55" t="str">
        <f>IF(EOD!$D41="","",EOD!$D41)</f>
        <v/>
      </c>
      <c r="E50" s="1" t="str">
        <f>IF(EOD!E41="","",EOD!E41)</f>
        <v/>
      </c>
      <c r="F50" s="1" t="str">
        <f>IF(EOD!G41="","",EOD!G41)</f>
        <v/>
      </c>
      <c r="G50" s="1" t="str">
        <f>IF(EOD!H41="","",EOD!H41)</f>
        <v/>
      </c>
      <c r="H50" s="1" t="str">
        <f>IF(EOD!I41="","",EOD!I41)</f>
        <v/>
      </c>
      <c r="I50" s="5">
        <f t="shared" si="47"/>
        <v>0</v>
      </c>
      <c r="J50" s="5" t="e">
        <f t="shared" si="1"/>
        <v>#VALUE!</v>
      </c>
      <c r="K50" s="4" t="str">
        <f t="shared" si="2"/>
        <v xml:space="preserve"> </v>
      </c>
      <c r="L50" s="5" t="e">
        <f t="shared" si="3"/>
        <v>#VALUE!</v>
      </c>
      <c r="M50" s="4" t="str">
        <f t="shared" si="4"/>
        <v xml:space="preserve"> </v>
      </c>
      <c r="N50" s="5" t="e">
        <f t="shared" si="5"/>
        <v>#VALUE!</v>
      </c>
      <c r="O50" s="4" t="str">
        <f t="shared" si="6"/>
        <v xml:space="preserve"> </v>
      </c>
      <c r="P50" s="5" t="e">
        <f t="shared" si="7"/>
        <v>#VALUE!</v>
      </c>
      <c r="Q50" s="4" t="str">
        <f t="shared" si="8"/>
        <v xml:space="preserve"> </v>
      </c>
      <c r="R50" s="5" t="e">
        <f t="shared" si="9"/>
        <v>#VALUE!</v>
      </c>
      <c r="S50" s="4" t="str">
        <f t="shared" si="10"/>
        <v xml:space="preserve"> </v>
      </c>
      <c r="T50" s="5" t="e">
        <f t="shared" si="11"/>
        <v>#VALUE!</v>
      </c>
      <c r="U50" s="4" t="str">
        <f t="shared" si="12"/>
        <v xml:space="preserve"> </v>
      </c>
      <c r="V50" s="5" t="e">
        <f t="shared" si="13"/>
        <v>#VALUE!</v>
      </c>
      <c r="W50" s="4" t="str">
        <f t="shared" si="14"/>
        <v xml:space="preserve"> </v>
      </c>
      <c r="X50" s="5" t="e">
        <f t="shared" si="15"/>
        <v>#VALUE!</v>
      </c>
      <c r="Y50" s="4" t="str">
        <f t="shared" si="16"/>
        <v xml:space="preserve"> </v>
      </c>
      <c r="Z50" s="5" t="e">
        <f t="shared" si="17"/>
        <v>#VALUE!</v>
      </c>
      <c r="AA50" s="4" t="str">
        <f t="shared" si="18"/>
        <v xml:space="preserve"> </v>
      </c>
      <c r="AB50" s="5" t="e">
        <f t="shared" si="19"/>
        <v>#VALUE!</v>
      </c>
      <c r="AC50" s="4" t="str">
        <f t="shared" si="20"/>
        <v xml:space="preserve"> </v>
      </c>
      <c r="AD50" s="5" t="e">
        <f t="shared" si="21"/>
        <v>#VALUE!</v>
      </c>
      <c r="AE50" s="4" t="str">
        <f t="shared" si="22"/>
        <v xml:space="preserve"> </v>
      </c>
      <c r="AF50" s="5" t="e">
        <f t="shared" si="23"/>
        <v>#VALUE!</v>
      </c>
      <c r="AG50" s="4" t="str">
        <f t="shared" si="24"/>
        <v xml:space="preserve"> </v>
      </c>
      <c r="AH50" s="5" t="e">
        <f t="shared" si="25"/>
        <v>#VALUE!</v>
      </c>
      <c r="AI50" s="4" t="str">
        <f t="shared" si="26"/>
        <v xml:space="preserve"> </v>
      </c>
      <c r="AJ50" s="5" t="e">
        <f t="shared" si="27"/>
        <v>#VALUE!</v>
      </c>
      <c r="AK50" s="4" t="str">
        <f t="shared" si="28"/>
        <v xml:space="preserve"> </v>
      </c>
      <c r="AL50" s="5" t="e">
        <f t="shared" si="29"/>
        <v>#VALUE!</v>
      </c>
      <c r="AM50" s="4" t="str">
        <f t="shared" si="30"/>
        <v xml:space="preserve"> </v>
      </c>
      <c r="AN50" s="5" t="e">
        <f t="shared" si="31"/>
        <v>#VALUE!</v>
      </c>
      <c r="AO50" s="4" t="str">
        <f t="shared" si="32"/>
        <v xml:space="preserve"> </v>
      </c>
      <c r="AP50" s="5" t="e">
        <f t="shared" si="33"/>
        <v>#VALUE!</v>
      </c>
      <c r="AQ50" s="4" t="str">
        <f t="shared" si="34"/>
        <v xml:space="preserve"> </v>
      </c>
      <c r="AR50" s="5" t="e">
        <f t="shared" si="35"/>
        <v>#VALUE!</v>
      </c>
      <c r="AS50" s="4" t="str">
        <f t="shared" si="36"/>
        <v xml:space="preserve"> </v>
      </c>
      <c r="AT50" s="5" t="e">
        <f t="shared" si="37"/>
        <v>#VALUE!</v>
      </c>
      <c r="AU50" s="4" t="str">
        <f t="shared" si="38"/>
        <v xml:space="preserve"> </v>
      </c>
      <c r="AV50" s="5" t="e">
        <f t="shared" si="39"/>
        <v>#VALUE!</v>
      </c>
      <c r="AW50" s="4" t="str">
        <f t="shared" si="40"/>
        <v xml:space="preserve"> </v>
      </c>
      <c r="AY50" s="54" t="str">
        <f t="shared" si="41"/>
        <v/>
      </c>
      <c r="AZ50" s="54" t="str">
        <f t="shared" si="42"/>
        <v/>
      </c>
      <c r="BA50" s="57" t="str">
        <f t="shared" si="43"/>
        <v/>
      </c>
      <c r="BB50" s="58" t="str">
        <f t="shared" si="44"/>
        <v/>
      </c>
      <c r="BC50" t="str">
        <f t="shared" si="45"/>
        <v/>
      </c>
      <c r="BD50" t="e">
        <f t="shared" si="46"/>
        <v>#N/A</v>
      </c>
    </row>
    <row r="51" spans="1:56" hidden="1" outlineLevel="1" x14ac:dyDescent="0.25">
      <c r="A51" s="1" t="str">
        <f>IF(EOD!$F42="","",EOD!$F42)</f>
        <v/>
      </c>
      <c r="B51" s="1" t="str">
        <f>IF(EOD!$C42="","",EOD!$C42)</f>
        <v/>
      </c>
      <c r="C51" s="56" t="str">
        <f>IF(EOD!$A42="","",EOD!$A42)</f>
        <v/>
      </c>
      <c r="D51" s="55" t="str">
        <f>IF(EOD!$D42="","",EOD!$D42)</f>
        <v/>
      </c>
      <c r="E51" s="1" t="str">
        <f>IF(EOD!E42="","",EOD!E42)</f>
        <v/>
      </c>
      <c r="F51" s="1" t="str">
        <f>IF(EOD!G42="","",EOD!G42)</f>
        <v/>
      </c>
      <c r="G51" s="1" t="str">
        <f>IF(EOD!H42="","",EOD!H42)</f>
        <v/>
      </c>
      <c r="H51" s="1" t="str">
        <f>IF(EOD!I42="","",EOD!I42)</f>
        <v/>
      </c>
      <c r="I51" s="5">
        <f t="shared" si="47"/>
        <v>0</v>
      </c>
      <c r="J51" s="5" t="e">
        <f t="shared" si="1"/>
        <v>#VALUE!</v>
      </c>
      <c r="K51" s="4" t="str">
        <f t="shared" si="2"/>
        <v xml:space="preserve"> </v>
      </c>
      <c r="L51" s="5" t="e">
        <f t="shared" si="3"/>
        <v>#VALUE!</v>
      </c>
      <c r="M51" s="4" t="str">
        <f t="shared" si="4"/>
        <v xml:space="preserve"> </v>
      </c>
      <c r="N51" s="5" t="e">
        <f t="shared" si="5"/>
        <v>#VALUE!</v>
      </c>
      <c r="O51" s="4" t="str">
        <f t="shared" si="6"/>
        <v xml:space="preserve"> </v>
      </c>
      <c r="P51" s="5" t="e">
        <f t="shared" si="7"/>
        <v>#VALUE!</v>
      </c>
      <c r="Q51" s="4" t="str">
        <f t="shared" si="8"/>
        <v xml:space="preserve"> </v>
      </c>
      <c r="R51" s="5" t="e">
        <f t="shared" si="9"/>
        <v>#VALUE!</v>
      </c>
      <c r="S51" s="4" t="str">
        <f t="shared" si="10"/>
        <v xml:space="preserve"> </v>
      </c>
      <c r="T51" s="5" t="e">
        <f t="shared" si="11"/>
        <v>#VALUE!</v>
      </c>
      <c r="U51" s="4" t="str">
        <f t="shared" si="12"/>
        <v xml:space="preserve"> </v>
      </c>
      <c r="V51" s="5" t="e">
        <f t="shared" si="13"/>
        <v>#VALUE!</v>
      </c>
      <c r="W51" s="4" t="str">
        <f t="shared" si="14"/>
        <v xml:space="preserve"> </v>
      </c>
      <c r="X51" s="5" t="e">
        <f t="shared" si="15"/>
        <v>#VALUE!</v>
      </c>
      <c r="Y51" s="4" t="str">
        <f t="shared" si="16"/>
        <v xml:space="preserve"> </v>
      </c>
      <c r="Z51" s="5" t="e">
        <f t="shared" si="17"/>
        <v>#VALUE!</v>
      </c>
      <c r="AA51" s="4" t="str">
        <f t="shared" si="18"/>
        <v xml:space="preserve"> </v>
      </c>
      <c r="AB51" s="5" t="e">
        <f t="shared" si="19"/>
        <v>#VALUE!</v>
      </c>
      <c r="AC51" s="4" t="str">
        <f t="shared" si="20"/>
        <v xml:space="preserve"> </v>
      </c>
      <c r="AD51" s="5" t="e">
        <f t="shared" si="21"/>
        <v>#VALUE!</v>
      </c>
      <c r="AE51" s="4" t="str">
        <f t="shared" si="22"/>
        <v xml:space="preserve"> </v>
      </c>
      <c r="AF51" s="5" t="e">
        <f t="shared" si="23"/>
        <v>#VALUE!</v>
      </c>
      <c r="AG51" s="4" t="str">
        <f t="shared" si="24"/>
        <v xml:space="preserve"> </v>
      </c>
      <c r="AH51" s="5" t="e">
        <f t="shared" si="25"/>
        <v>#VALUE!</v>
      </c>
      <c r="AI51" s="4" t="str">
        <f t="shared" si="26"/>
        <v xml:space="preserve"> </v>
      </c>
      <c r="AJ51" s="5" t="e">
        <f t="shared" si="27"/>
        <v>#VALUE!</v>
      </c>
      <c r="AK51" s="4" t="str">
        <f t="shared" si="28"/>
        <v xml:space="preserve"> </v>
      </c>
      <c r="AL51" s="5" t="e">
        <f t="shared" si="29"/>
        <v>#VALUE!</v>
      </c>
      <c r="AM51" s="4" t="str">
        <f t="shared" si="30"/>
        <v xml:space="preserve"> </v>
      </c>
      <c r="AN51" s="5" t="e">
        <f t="shared" si="31"/>
        <v>#VALUE!</v>
      </c>
      <c r="AO51" s="4" t="str">
        <f t="shared" si="32"/>
        <v xml:space="preserve"> </v>
      </c>
      <c r="AP51" s="5" t="e">
        <f t="shared" si="33"/>
        <v>#VALUE!</v>
      </c>
      <c r="AQ51" s="4" t="str">
        <f t="shared" si="34"/>
        <v xml:space="preserve"> </v>
      </c>
      <c r="AR51" s="5" t="e">
        <f t="shared" si="35"/>
        <v>#VALUE!</v>
      </c>
      <c r="AS51" s="4" t="str">
        <f t="shared" si="36"/>
        <v xml:space="preserve"> </v>
      </c>
      <c r="AT51" s="5" t="e">
        <f t="shared" si="37"/>
        <v>#VALUE!</v>
      </c>
      <c r="AU51" s="4" t="str">
        <f t="shared" si="38"/>
        <v xml:space="preserve"> </v>
      </c>
      <c r="AV51" s="5" t="e">
        <f t="shared" si="39"/>
        <v>#VALUE!</v>
      </c>
      <c r="AW51" s="4" t="str">
        <f t="shared" si="40"/>
        <v xml:space="preserve"> </v>
      </c>
      <c r="AY51" s="54" t="str">
        <f t="shared" si="41"/>
        <v/>
      </c>
      <c r="AZ51" s="54" t="str">
        <f t="shared" si="42"/>
        <v/>
      </c>
      <c r="BA51" s="57" t="str">
        <f t="shared" si="43"/>
        <v/>
      </c>
      <c r="BB51" s="58" t="str">
        <f t="shared" si="44"/>
        <v/>
      </c>
      <c r="BC51" t="str">
        <f t="shared" si="45"/>
        <v/>
      </c>
      <c r="BD51" t="e">
        <f t="shared" si="46"/>
        <v>#N/A</v>
      </c>
    </row>
    <row r="52" spans="1:56" hidden="1" outlineLevel="1" x14ac:dyDescent="0.25">
      <c r="A52" s="1" t="str">
        <f>IF(EOD!$F43="","",EOD!$F43)</f>
        <v/>
      </c>
      <c r="B52" s="1" t="str">
        <f>IF(EOD!$C43="","",EOD!$C43)</f>
        <v/>
      </c>
      <c r="C52" s="56" t="str">
        <f>IF(EOD!$A43="","",EOD!$A43)</f>
        <v/>
      </c>
      <c r="D52" s="55" t="str">
        <f>IF(EOD!$D43="","",EOD!$D43)</f>
        <v/>
      </c>
      <c r="E52" s="1" t="str">
        <f>IF(EOD!E43="","",EOD!E43)</f>
        <v/>
      </c>
      <c r="F52" s="1" t="str">
        <f>IF(EOD!G43="","",EOD!G43)</f>
        <v/>
      </c>
      <c r="G52" s="1" t="str">
        <f>IF(EOD!H43="","",EOD!H43)</f>
        <v/>
      </c>
      <c r="H52" s="1" t="str">
        <f>IF(EOD!I43="","",EOD!I43)</f>
        <v/>
      </c>
      <c r="I52" s="5">
        <f t="shared" si="47"/>
        <v>0</v>
      </c>
      <c r="J52" s="5" t="e">
        <f t="shared" si="1"/>
        <v>#VALUE!</v>
      </c>
      <c r="K52" s="4" t="str">
        <f t="shared" si="2"/>
        <v xml:space="preserve"> </v>
      </c>
      <c r="L52" s="5" t="e">
        <f t="shared" si="3"/>
        <v>#VALUE!</v>
      </c>
      <c r="M52" s="4" t="str">
        <f t="shared" si="4"/>
        <v xml:space="preserve"> </v>
      </c>
      <c r="N52" s="5" t="e">
        <f t="shared" si="5"/>
        <v>#VALUE!</v>
      </c>
      <c r="O52" s="4" t="str">
        <f t="shared" si="6"/>
        <v xml:space="preserve"> </v>
      </c>
      <c r="P52" s="5" t="e">
        <f t="shared" si="7"/>
        <v>#VALUE!</v>
      </c>
      <c r="Q52" s="4" t="str">
        <f t="shared" si="8"/>
        <v xml:space="preserve"> </v>
      </c>
      <c r="R52" s="5" t="e">
        <f t="shared" si="9"/>
        <v>#VALUE!</v>
      </c>
      <c r="S52" s="4" t="str">
        <f t="shared" si="10"/>
        <v xml:space="preserve"> </v>
      </c>
      <c r="T52" s="5" t="e">
        <f t="shared" si="11"/>
        <v>#VALUE!</v>
      </c>
      <c r="U52" s="4" t="str">
        <f t="shared" si="12"/>
        <v xml:space="preserve"> </v>
      </c>
      <c r="V52" s="5" t="e">
        <f t="shared" si="13"/>
        <v>#VALUE!</v>
      </c>
      <c r="W52" s="4" t="str">
        <f t="shared" si="14"/>
        <v xml:space="preserve"> </v>
      </c>
      <c r="X52" s="5" t="e">
        <f t="shared" si="15"/>
        <v>#VALUE!</v>
      </c>
      <c r="Y52" s="4" t="str">
        <f t="shared" si="16"/>
        <v xml:space="preserve"> </v>
      </c>
      <c r="Z52" s="5" t="e">
        <f t="shared" si="17"/>
        <v>#VALUE!</v>
      </c>
      <c r="AA52" s="4" t="str">
        <f t="shared" si="18"/>
        <v xml:space="preserve"> </v>
      </c>
      <c r="AB52" s="5" t="e">
        <f t="shared" si="19"/>
        <v>#VALUE!</v>
      </c>
      <c r="AC52" s="4" t="str">
        <f t="shared" si="20"/>
        <v xml:space="preserve"> </v>
      </c>
      <c r="AD52" s="5" t="e">
        <f t="shared" si="21"/>
        <v>#VALUE!</v>
      </c>
      <c r="AE52" s="4" t="str">
        <f t="shared" si="22"/>
        <v xml:space="preserve"> </v>
      </c>
      <c r="AF52" s="5" t="e">
        <f t="shared" si="23"/>
        <v>#VALUE!</v>
      </c>
      <c r="AG52" s="4" t="str">
        <f t="shared" si="24"/>
        <v xml:space="preserve"> </v>
      </c>
      <c r="AH52" s="5" t="e">
        <f t="shared" si="25"/>
        <v>#VALUE!</v>
      </c>
      <c r="AI52" s="4" t="str">
        <f t="shared" si="26"/>
        <v xml:space="preserve"> </v>
      </c>
      <c r="AJ52" s="5" t="e">
        <f t="shared" si="27"/>
        <v>#VALUE!</v>
      </c>
      <c r="AK52" s="4" t="str">
        <f t="shared" si="28"/>
        <v xml:space="preserve"> </v>
      </c>
      <c r="AL52" s="5" t="e">
        <f t="shared" si="29"/>
        <v>#VALUE!</v>
      </c>
      <c r="AM52" s="4" t="str">
        <f t="shared" si="30"/>
        <v xml:space="preserve"> </v>
      </c>
      <c r="AN52" s="5" t="e">
        <f t="shared" si="31"/>
        <v>#VALUE!</v>
      </c>
      <c r="AO52" s="4" t="str">
        <f t="shared" si="32"/>
        <v xml:space="preserve"> </v>
      </c>
      <c r="AP52" s="5" t="e">
        <f t="shared" si="33"/>
        <v>#VALUE!</v>
      </c>
      <c r="AQ52" s="4" t="str">
        <f t="shared" si="34"/>
        <v xml:space="preserve"> </v>
      </c>
      <c r="AR52" s="5" t="e">
        <f t="shared" si="35"/>
        <v>#VALUE!</v>
      </c>
      <c r="AS52" s="4" t="str">
        <f t="shared" si="36"/>
        <v xml:space="preserve"> </v>
      </c>
      <c r="AT52" s="5" t="e">
        <f t="shared" si="37"/>
        <v>#VALUE!</v>
      </c>
      <c r="AU52" s="4" t="str">
        <f t="shared" si="38"/>
        <v xml:space="preserve"> </v>
      </c>
      <c r="AV52" s="5" t="e">
        <f t="shared" si="39"/>
        <v>#VALUE!</v>
      </c>
      <c r="AW52" s="4" t="str">
        <f t="shared" si="40"/>
        <v xml:space="preserve"> </v>
      </c>
      <c r="AY52" s="54" t="str">
        <f t="shared" si="41"/>
        <v/>
      </c>
      <c r="AZ52" s="54" t="str">
        <f t="shared" si="42"/>
        <v/>
      </c>
      <c r="BA52" s="57" t="str">
        <f t="shared" si="43"/>
        <v/>
      </c>
      <c r="BB52" s="58" t="str">
        <f t="shared" si="44"/>
        <v/>
      </c>
      <c r="BC52" t="str">
        <f t="shared" si="45"/>
        <v/>
      </c>
      <c r="BD52" t="e">
        <f t="shared" si="46"/>
        <v>#N/A</v>
      </c>
    </row>
    <row r="53" spans="1:56" hidden="1" outlineLevel="1" x14ac:dyDescent="0.25">
      <c r="A53" s="1" t="str">
        <f>IF(EOD!$F44="","",EOD!$F44)</f>
        <v/>
      </c>
      <c r="B53" s="1" t="str">
        <f>IF(EOD!$C44="","",EOD!$C44)</f>
        <v/>
      </c>
      <c r="C53" s="56" t="str">
        <f>IF(EOD!$A44="","",EOD!$A44)</f>
        <v/>
      </c>
      <c r="D53" s="55" t="str">
        <f>IF(EOD!$D44="","",EOD!$D44)</f>
        <v/>
      </c>
      <c r="E53" s="1" t="str">
        <f>IF(EOD!E44="","",EOD!E44)</f>
        <v/>
      </c>
      <c r="F53" s="1" t="str">
        <f>IF(EOD!G44="","",EOD!G44)</f>
        <v/>
      </c>
      <c r="G53" s="1" t="str">
        <f>IF(EOD!H44="","",EOD!H44)</f>
        <v/>
      </c>
      <c r="H53" s="1" t="str">
        <f>IF(EOD!I44="","",EOD!I44)</f>
        <v/>
      </c>
      <c r="I53" s="5">
        <f t="shared" si="47"/>
        <v>0</v>
      </c>
      <c r="J53" s="5" t="e">
        <f t="shared" si="1"/>
        <v>#VALUE!</v>
      </c>
      <c r="K53" s="4" t="str">
        <f t="shared" si="2"/>
        <v xml:space="preserve"> </v>
      </c>
      <c r="L53" s="5" t="e">
        <f t="shared" si="3"/>
        <v>#VALUE!</v>
      </c>
      <c r="M53" s="4" t="str">
        <f t="shared" si="4"/>
        <v xml:space="preserve"> </v>
      </c>
      <c r="N53" s="5" t="e">
        <f t="shared" si="5"/>
        <v>#VALUE!</v>
      </c>
      <c r="O53" s="4" t="str">
        <f t="shared" si="6"/>
        <v xml:space="preserve"> </v>
      </c>
      <c r="P53" s="5" t="e">
        <f t="shared" si="7"/>
        <v>#VALUE!</v>
      </c>
      <c r="Q53" s="4" t="str">
        <f t="shared" si="8"/>
        <v xml:space="preserve"> </v>
      </c>
      <c r="R53" s="5" t="e">
        <f t="shared" si="9"/>
        <v>#VALUE!</v>
      </c>
      <c r="S53" s="4" t="str">
        <f t="shared" si="10"/>
        <v xml:space="preserve"> </v>
      </c>
      <c r="T53" s="5" t="e">
        <f t="shared" si="11"/>
        <v>#VALUE!</v>
      </c>
      <c r="U53" s="4" t="str">
        <f t="shared" si="12"/>
        <v xml:space="preserve"> </v>
      </c>
      <c r="V53" s="5" t="e">
        <f t="shared" si="13"/>
        <v>#VALUE!</v>
      </c>
      <c r="W53" s="4" t="str">
        <f t="shared" si="14"/>
        <v xml:space="preserve"> </v>
      </c>
      <c r="X53" s="5" t="e">
        <f t="shared" si="15"/>
        <v>#VALUE!</v>
      </c>
      <c r="Y53" s="4" t="str">
        <f t="shared" si="16"/>
        <v xml:space="preserve"> </v>
      </c>
      <c r="Z53" s="5" t="e">
        <f t="shared" si="17"/>
        <v>#VALUE!</v>
      </c>
      <c r="AA53" s="4" t="str">
        <f t="shared" si="18"/>
        <v xml:space="preserve"> </v>
      </c>
      <c r="AB53" s="5" t="e">
        <f t="shared" si="19"/>
        <v>#VALUE!</v>
      </c>
      <c r="AC53" s="4" t="str">
        <f t="shared" si="20"/>
        <v xml:space="preserve"> </v>
      </c>
      <c r="AD53" s="5" t="e">
        <f t="shared" si="21"/>
        <v>#VALUE!</v>
      </c>
      <c r="AE53" s="4" t="str">
        <f t="shared" si="22"/>
        <v xml:space="preserve"> </v>
      </c>
      <c r="AF53" s="5" t="e">
        <f t="shared" si="23"/>
        <v>#VALUE!</v>
      </c>
      <c r="AG53" s="4" t="str">
        <f t="shared" si="24"/>
        <v xml:space="preserve"> </v>
      </c>
      <c r="AH53" s="5" t="e">
        <f t="shared" si="25"/>
        <v>#VALUE!</v>
      </c>
      <c r="AI53" s="4" t="str">
        <f t="shared" si="26"/>
        <v xml:space="preserve"> </v>
      </c>
      <c r="AJ53" s="5" t="e">
        <f t="shared" si="27"/>
        <v>#VALUE!</v>
      </c>
      <c r="AK53" s="4" t="str">
        <f t="shared" si="28"/>
        <v xml:space="preserve"> </v>
      </c>
      <c r="AL53" s="5" t="e">
        <f t="shared" si="29"/>
        <v>#VALUE!</v>
      </c>
      <c r="AM53" s="4" t="str">
        <f t="shared" si="30"/>
        <v xml:space="preserve"> </v>
      </c>
      <c r="AN53" s="5" t="e">
        <f t="shared" si="31"/>
        <v>#VALUE!</v>
      </c>
      <c r="AO53" s="4" t="str">
        <f t="shared" si="32"/>
        <v xml:space="preserve"> </v>
      </c>
      <c r="AP53" s="5" t="e">
        <f t="shared" si="33"/>
        <v>#VALUE!</v>
      </c>
      <c r="AQ53" s="4" t="str">
        <f t="shared" si="34"/>
        <v xml:space="preserve"> </v>
      </c>
      <c r="AR53" s="5" t="e">
        <f t="shared" si="35"/>
        <v>#VALUE!</v>
      </c>
      <c r="AS53" s="4" t="str">
        <f t="shared" si="36"/>
        <v xml:space="preserve"> </v>
      </c>
      <c r="AT53" s="5" t="e">
        <f t="shared" si="37"/>
        <v>#VALUE!</v>
      </c>
      <c r="AU53" s="4" t="str">
        <f t="shared" si="38"/>
        <v xml:space="preserve"> </v>
      </c>
      <c r="AV53" s="5" t="e">
        <f t="shared" si="39"/>
        <v>#VALUE!</v>
      </c>
      <c r="AW53" s="4" t="str">
        <f t="shared" si="40"/>
        <v xml:space="preserve"> </v>
      </c>
      <c r="AY53" s="54" t="str">
        <f t="shared" si="41"/>
        <v/>
      </c>
      <c r="AZ53" s="54" t="str">
        <f t="shared" si="42"/>
        <v/>
      </c>
      <c r="BA53" s="57" t="str">
        <f t="shared" si="43"/>
        <v/>
      </c>
      <c r="BB53" s="58" t="str">
        <f t="shared" si="44"/>
        <v/>
      </c>
      <c r="BC53" t="str">
        <f t="shared" si="45"/>
        <v/>
      </c>
      <c r="BD53" t="e">
        <f t="shared" si="46"/>
        <v>#N/A</v>
      </c>
    </row>
    <row r="54" spans="1:56" hidden="1" outlineLevel="1" x14ac:dyDescent="0.25">
      <c r="A54" s="1" t="str">
        <f>IF(EOD!$F45="","",EOD!$F45)</f>
        <v/>
      </c>
      <c r="B54" s="1" t="str">
        <f>IF(EOD!$C45="","",EOD!$C45)</f>
        <v/>
      </c>
      <c r="C54" s="56" t="str">
        <f>IF(EOD!$A45="","",EOD!$A45)</f>
        <v/>
      </c>
      <c r="D54" s="55" t="str">
        <f>IF(EOD!$D45="","",EOD!$D45)</f>
        <v/>
      </c>
      <c r="E54" s="1" t="str">
        <f>IF(EOD!E45="","",EOD!E45)</f>
        <v/>
      </c>
      <c r="F54" s="1" t="str">
        <f>IF(EOD!G45="","",EOD!G45)</f>
        <v/>
      </c>
      <c r="G54" s="1" t="str">
        <f>IF(EOD!H45="","",EOD!H45)</f>
        <v/>
      </c>
      <c r="H54" s="1" t="str">
        <f>IF(EOD!I45="","",EOD!I45)</f>
        <v/>
      </c>
      <c r="I54" s="5">
        <f t="shared" si="47"/>
        <v>0</v>
      </c>
      <c r="J54" s="5" t="e">
        <f t="shared" si="1"/>
        <v>#VALUE!</v>
      </c>
      <c r="K54" s="4" t="str">
        <f t="shared" si="2"/>
        <v xml:space="preserve"> </v>
      </c>
      <c r="L54" s="5" t="e">
        <f t="shared" si="3"/>
        <v>#VALUE!</v>
      </c>
      <c r="M54" s="4" t="str">
        <f t="shared" si="4"/>
        <v xml:space="preserve"> </v>
      </c>
      <c r="N54" s="5" t="e">
        <f t="shared" si="5"/>
        <v>#VALUE!</v>
      </c>
      <c r="O54" s="4" t="str">
        <f t="shared" si="6"/>
        <v xml:space="preserve"> </v>
      </c>
      <c r="P54" s="5" t="e">
        <f t="shared" si="7"/>
        <v>#VALUE!</v>
      </c>
      <c r="Q54" s="4" t="str">
        <f t="shared" si="8"/>
        <v xml:space="preserve"> </v>
      </c>
      <c r="R54" s="5" t="e">
        <f t="shared" si="9"/>
        <v>#VALUE!</v>
      </c>
      <c r="S54" s="4" t="str">
        <f t="shared" si="10"/>
        <v xml:space="preserve"> </v>
      </c>
      <c r="T54" s="5" t="e">
        <f t="shared" si="11"/>
        <v>#VALUE!</v>
      </c>
      <c r="U54" s="4" t="str">
        <f t="shared" si="12"/>
        <v xml:space="preserve"> </v>
      </c>
      <c r="V54" s="5" t="e">
        <f t="shared" si="13"/>
        <v>#VALUE!</v>
      </c>
      <c r="W54" s="4" t="str">
        <f t="shared" si="14"/>
        <v xml:space="preserve"> </v>
      </c>
      <c r="X54" s="5" t="e">
        <f t="shared" si="15"/>
        <v>#VALUE!</v>
      </c>
      <c r="Y54" s="4" t="str">
        <f t="shared" si="16"/>
        <v xml:space="preserve"> </v>
      </c>
      <c r="Z54" s="5" t="e">
        <f t="shared" si="17"/>
        <v>#VALUE!</v>
      </c>
      <c r="AA54" s="4" t="str">
        <f t="shared" si="18"/>
        <v xml:space="preserve"> </v>
      </c>
      <c r="AB54" s="5" t="e">
        <f t="shared" si="19"/>
        <v>#VALUE!</v>
      </c>
      <c r="AC54" s="4" t="str">
        <f t="shared" si="20"/>
        <v xml:space="preserve"> </v>
      </c>
      <c r="AD54" s="5" t="e">
        <f t="shared" si="21"/>
        <v>#VALUE!</v>
      </c>
      <c r="AE54" s="4" t="str">
        <f t="shared" si="22"/>
        <v xml:space="preserve"> </v>
      </c>
      <c r="AF54" s="5" t="e">
        <f t="shared" si="23"/>
        <v>#VALUE!</v>
      </c>
      <c r="AG54" s="4" t="str">
        <f t="shared" si="24"/>
        <v xml:space="preserve"> </v>
      </c>
      <c r="AH54" s="5" t="e">
        <f t="shared" si="25"/>
        <v>#VALUE!</v>
      </c>
      <c r="AI54" s="4" t="str">
        <f t="shared" si="26"/>
        <v xml:space="preserve"> </v>
      </c>
      <c r="AJ54" s="5" t="e">
        <f t="shared" si="27"/>
        <v>#VALUE!</v>
      </c>
      <c r="AK54" s="4" t="str">
        <f t="shared" si="28"/>
        <v xml:space="preserve"> </v>
      </c>
      <c r="AL54" s="5" t="e">
        <f t="shared" si="29"/>
        <v>#VALUE!</v>
      </c>
      <c r="AM54" s="4" t="str">
        <f t="shared" si="30"/>
        <v xml:space="preserve"> </v>
      </c>
      <c r="AN54" s="5" t="e">
        <f t="shared" si="31"/>
        <v>#VALUE!</v>
      </c>
      <c r="AO54" s="4" t="str">
        <f t="shared" si="32"/>
        <v xml:space="preserve"> </v>
      </c>
      <c r="AP54" s="5" t="e">
        <f t="shared" si="33"/>
        <v>#VALUE!</v>
      </c>
      <c r="AQ54" s="4" t="str">
        <f t="shared" si="34"/>
        <v xml:space="preserve"> </v>
      </c>
      <c r="AR54" s="5" t="e">
        <f t="shared" si="35"/>
        <v>#VALUE!</v>
      </c>
      <c r="AS54" s="4" t="str">
        <f t="shared" si="36"/>
        <v xml:space="preserve"> </v>
      </c>
      <c r="AT54" s="5" t="e">
        <f t="shared" si="37"/>
        <v>#VALUE!</v>
      </c>
      <c r="AU54" s="4" t="str">
        <f t="shared" si="38"/>
        <v xml:space="preserve"> </v>
      </c>
      <c r="AV54" s="5" t="e">
        <f t="shared" si="39"/>
        <v>#VALUE!</v>
      </c>
      <c r="AW54" s="4" t="str">
        <f t="shared" si="40"/>
        <v xml:space="preserve"> </v>
      </c>
      <c r="AY54" s="54" t="str">
        <f t="shared" si="41"/>
        <v/>
      </c>
      <c r="AZ54" s="54" t="str">
        <f t="shared" si="42"/>
        <v/>
      </c>
      <c r="BA54" s="57" t="str">
        <f t="shared" si="43"/>
        <v/>
      </c>
      <c r="BB54" s="58" t="str">
        <f t="shared" si="44"/>
        <v/>
      </c>
      <c r="BC54" t="str">
        <f t="shared" si="45"/>
        <v/>
      </c>
      <c r="BD54" t="e">
        <f t="shared" si="46"/>
        <v>#N/A</v>
      </c>
    </row>
    <row r="55" spans="1:56" collapsed="1" x14ac:dyDescent="0.25">
      <c r="A55" s="1" t="str">
        <f>IF(EOD!$F46="","",EOD!$F46)</f>
        <v/>
      </c>
      <c r="B55" s="1" t="str">
        <f>IF(EOD!$C46="","",EOD!$C46)</f>
        <v/>
      </c>
      <c r="C55" s="56" t="str">
        <f>IF(EOD!$A46="","",EOD!$A46)</f>
        <v/>
      </c>
      <c r="D55" s="55" t="str">
        <f>IF(EOD!$D46="","",EOD!$D46)</f>
        <v/>
      </c>
      <c r="E55" s="1" t="str">
        <f>IF(EOD!E46="","",EOD!E46)</f>
        <v/>
      </c>
      <c r="F55" s="1" t="str">
        <f>IF(EOD!G46="","",EOD!G46)</f>
        <v/>
      </c>
      <c r="G55" s="1" t="str">
        <f>IF(EOD!H46="","",EOD!H46)</f>
        <v/>
      </c>
      <c r="H55" s="1" t="str">
        <f>IF(EOD!I46="","",EOD!I46)</f>
        <v/>
      </c>
      <c r="I55" s="5">
        <f t="shared" si="47"/>
        <v>0</v>
      </c>
      <c r="J55" s="5" t="e">
        <f t="shared" si="1"/>
        <v>#VALUE!</v>
      </c>
      <c r="K55" s="4" t="str">
        <f t="shared" si="2"/>
        <v xml:space="preserve"> </v>
      </c>
      <c r="L55" s="5" t="e">
        <f t="shared" si="3"/>
        <v>#VALUE!</v>
      </c>
      <c r="M55" s="4" t="str">
        <f t="shared" si="4"/>
        <v xml:space="preserve"> </v>
      </c>
      <c r="N55" s="5" t="e">
        <f t="shared" si="5"/>
        <v>#VALUE!</v>
      </c>
      <c r="O55" s="4" t="str">
        <f t="shared" si="6"/>
        <v xml:space="preserve"> </v>
      </c>
      <c r="P55" s="5" t="e">
        <f t="shared" si="7"/>
        <v>#VALUE!</v>
      </c>
      <c r="Q55" s="4" t="str">
        <f t="shared" si="8"/>
        <v xml:space="preserve"> </v>
      </c>
      <c r="R55" s="5" t="e">
        <f t="shared" si="9"/>
        <v>#VALUE!</v>
      </c>
      <c r="S55" s="4" t="str">
        <f t="shared" si="10"/>
        <v xml:space="preserve"> </v>
      </c>
      <c r="T55" s="5" t="e">
        <f t="shared" si="11"/>
        <v>#VALUE!</v>
      </c>
      <c r="U55" s="4" t="str">
        <f t="shared" si="12"/>
        <v xml:space="preserve"> </v>
      </c>
      <c r="V55" s="5" t="e">
        <f t="shared" si="13"/>
        <v>#VALUE!</v>
      </c>
      <c r="W55" s="4" t="str">
        <f t="shared" si="14"/>
        <v xml:space="preserve"> </v>
      </c>
      <c r="X55" s="5" t="e">
        <f t="shared" si="15"/>
        <v>#VALUE!</v>
      </c>
      <c r="Y55" s="4" t="str">
        <f t="shared" si="16"/>
        <v xml:space="preserve"> </v>
      </c>
      <c r="Z55" s="5" t="e">
        <f t="shared" si="17"/>
        <v>#VALUE!</v>
      </c>
      <c r="AA55" s="4" t="str">
        <f t="shared" si="18"/>
        <v xml:space="preserve"> </v>
      </c>
      <c r="AB55" s="5" t="e">
        <f t="shared" si="19"/>
        <v>#VALUE!</v>
      </c>
      <c r="AC55" s="4" t="str">
        <f t="shared" si="20"/>
        <v xml:space="preserve"> </v>
      </c>
      <c r="AD55" s="5" t="e">
        <f t="shared" si="21"/>
        <v>#VALUE!</v>
      </c>
      <c r="AE55" s="4" t="str">
        <f t="shared" si="22"/>
        <v xml:space="preserve"> </v>
      </c>
      <c r="AF55" s="5" t="e">
        <f t="shared" si="23"/>
        <v>#VALUE!</v>
      </c>
      <c r="AG55" s="4" t="str">
        <f t="shared" si="24"/>
        <v xml:space="preserve"> </v>
      </c>
      <c r="AH55" s="5" t="e">
        <f t="shared" si="25"/>
        <v>#VALUE!</v>
      </c>
      <c r="AI55" s="4" t="str">
        <f t="shared" si="26"/>
        <v xml:space="preserve"> </v>
      </c>
      <c r="AJ55" s="5" t="e">
        <f t="shared" si="27"/>
        <v>#VALUE!</v>
      </c>
      <c r="AK55" s="4" t="str">
        <f t="shared" si="28"/>
        <v xml:space="preserve"> </v>
      </c>
      <c r="AL55" s="5" t="e">
        <f t="shared" si="29"/>
        <v>#VALUE!</v>
      </c>
      <c r="AM55" s="4" t="str">
        <f t="shared" si="30"/>
        <v xml:space="preserve"> </v>
      </c>
      <c r="AN55" s="5" t="e">
        <f t="shared" si="31"/>
        <v>#VALUE!</v>
      </c>
      <c r="AO55" s="4" t="str">
        <f t="shared" si="32"/>
        <v xml:space="preserve"> </v>
      </c>
      <c r="AP55" s="5" t="e">
        <f t="shared" si="33"/>
        <v>#VALUE!</v>
      </c>
      <c r="AQ55" s="4" t="str">
        <f t="shared" si="34"/>
        <v xml:space="preserve"> </v>
      </c>
      <c r="AR55" s="5" t="e">
        <f t="shared" si="35"/>
        <v>#VALUE!</v>
      </c>
      <c r="AS55" s="4" t="str">
        <f t="shared" si="36"/>
        <v xml:space="preserve"> </v>
      </c>
      <c r="AT55" s="5" t="e">
        <f t="shared" si="37"/>
        <v>#VALUE!</v>
      </c>
      <c r="AU55" s="4" t="str">
        <f t="shared" si="38"/>
        <v xml:space="preserve"> </v>
      </c>
      <c r="AV55" s="5" t="e">
        <f t="shared" si="39"/>
        <v>#VALUE!</v>
      </c>
      <c r="AW55" s="4" t="str">
        <f t="shared" si="40"/>
        <v xml:space="preserve"> </v>
      </c>
      <c r="AY55" s="54" t="str">
        <f t="shared" si="41"/>
        <v/>
      </c>
      <c r="AZ55" s="54" t="str">
        <f t="shared" si="42"/>
        <v/>
      </c>
      <c r="BA55" s="57" t="str">
        <f t="shared" si="43"/>
        <v/>
      </c>
      <c r="BB55" s="58" t="str">
        <f t="shared" si="44"/>
        <v/>
      </c>
      <c r="BC55" t="str">
        <f t="shared" si="45"/>
        <v/>
      </c>
      <c r="BD55" t="e">
        <f t="shared" si="46"/>
        <v>#N/A</v>
      </c>
    </row>
    <row r="56" spans="1:56" hidden="1" outlineLevel="1" x14ac:dyDescent="0.25">
      <c r="A56" s="1"/>
      <c r="B56" s="1"/>
      <c r="C56" s="1"/>
      <c r="D56" s="1"/>
      <c r="E56" s="1"/>
      <c r="F56" s="2"/>
      <c r="G56" s="2"/>
      <c r="H56" s="1"/>
      <c r="I56" s="5">
        <f t="shared" si="47"/>
        <v>0</v>
      </c>
      <c r="J56" s="5">
        <f t="shared" si="1"/>
        <v>0</v>
      </c>
      <c r="K56" s="4" t="str">
        <f t="shared" si="2"/>
        <v xml:space="preserve"> </v>
      </c>
      <c r="L56" s="5">
        <f t="shared" si="3"/>
        <v>0</v>
      </c>
      <c r="M56" s="4" t="str">
        <f t="shared" si="4"/>
        <v xml:space="preserve"> </v>
      </c>
      <c r="N56" s="5">
        <f t="shared" si="5"/>
        <v>0</v>
      </c>
      <c r="O56" s="4" t="str">
        <f t="shared" si="6"/>
        <v xml:space="preserve"> </v>
      </c>
      <c r="P56" s="5">
        <f t="shared" si="7"/>
        <v>0</v>
      </c>
      <c r="Q56" s="4" t="str">
        <f t="shared" si="8"/>
        <v xml:space="preserve"> </v>
      </c>
      <c r="R56" s="5">
        <f t="shared" si="9"/>
        <v>0</v>
      </c>
      <c r="S56" s="4" t="str">
        <f t="shared" si="10"/>
        <v xml:space="preserve"> </v>
      </c>
      <c r="T56" s="5">
        <f t="shared" si="11"/>
        <v>0</v>
      </c>
      <c r="U56" s="4" t="str">
        <f t="shared" si="12"/>
        <v xml:space="preserve"> </v>
      </c>
      <c r="V56" s="5">
        <f t="shared" si="13"/>
        <v>0</v>
      </c>
      <c r="W56" s="4" t="str">
        <f t="shared" si="14"/>
        <v xml:space="preserve"> </v>
      </c>
      <c r="X56" s="5">
        <f t="shared" si="15"/>
        <v>0</v>
      </c>
      <c r="Y56" s="4" t="str">
        <f t="shared" si="16"/>
        <v xml:space="preserve"> </v>
      </c>
      <c r="Z56" s="5">
        <f t="shared" si="17"/>
        <v>0</v>
      </c>
      <c r="AA56" s="4" t="str">
        <f t="shared" si="18"/>
        <v xml:space="preserve"> </v>
      </c>
      <c r="AB56" s="5">
        <f t="shared" si="19"/>
        <v>0</v>
      </c>
      <c r="AC56" s="4" t="str">
        <f t="shared" si="20"/>
        <v xml:space="preserve"> </v>
      </c>
      <c r="AD56" s="5">
        <f t="shared" si="21"/>
        <v>0</v>
      </c>
      <c r="AE56" s="4" t="str">
        <f t="shared" si="22"/>
        <v xml:space="preserve"> </v>
      </c>
      <c r="AF56" s="5">
        <f t="shared" si="23"/>
        <v>0</v>
      </c>
      <c r="AG56" s="4" t="str">
        <f t="shared" si="24"/>
        <v xml:space="preserve"> </v>
      </c>
      <c r="AH56" s="5">
        <f t="shared" si="25"/>
        <v>0</v>
      </c>
      <c r="AI56" s="4" t="str">
        <f t="shared" si="26"/>
        <v xml:space="preserve"> </v>
      </c>
      <c r="AJ56" s="5">
        <f t="shared" si="27"/>
        <v>0</v>
      </c>
      <c r="AK56" s="4" t="str">
        <f t="shared" si="28"/>
        <v xml:space="preserve"> </v>
      </c>
      <c r="AL56" s="5">
        <f t="shared" si="29"/>
        <v>0</v>
      </c>
      <c r="AM56" s="4" t="str">
        <f t="shared" si="30"/>
        <v xml:space="preserve"> </v>
      </c>
      <c r="AN56" s="5">
        <f t="shared" si="31"/>
        <v>0</v>
      </c>
      <c r="AO56" s="4" t="str">
        <f t="shared" si="32"/>
        <v xml:space="preserve"> </v>
      </c>
      <c r="AP56" s="5">
        <f t="shared" si="33"/>
        <v>0</v>
      </c>
      <c r="AQ56" s="4" t="str">
        <f t="shared" si="34"/>
        <v xml:space="preserve"> </v>
      </c>
      <c r="AR56" s="5">
        <f t="shared" si="35"/>
        <v>0</v>
      </c>
      <c r="AS56" s="4" t="str">
        <f t="shared" si="36"/>
        <v xml:space="preserve"> </v>
      </c>
      <c r="AT56" s="5">
        <f t="shared" si="37"/>
        <v>0</v>
      </c>
      <c r="AU56" s="4" t="str">
        <f t="shared" si="38"/>
        <v xml:space="preserve"> </v>
      </c>
      <c r="AV56" s="5">
        <f t="shared" si="39"/>
        <v>0</v>
      </c>
      <c r="AW56" s="4" t="str">
        <f t="shared" si="40"/>
        <v xml:space="preserve"> </v>
      </c>
    </row>
    <row r="57" spans="1:56" hidden="1" outlineLevel="1" x14ac:dyDescent="0.25">
      <c r="A57" s="1"/>
      <c r="B57" s="1"/>
      <c r="C57" s="1"/>
      <c r="D57" s="1"/>
      <c r="E57" s="1"/>
      <c r="F57" s="2"/>
      <c r="G57" s="2"/>
      <c r="H57" s="1"/>
      <c r="I57" s="5">
        <f t="shared" si="47"/>
        <v>0</v>
      </c>
      <c r="J57" s="5">
        <f t="shared" si="1"/>
        <v>0</v>
      </c>
      <c r="K57" s="4" t="str">
        <f t="shared" si="2"/>
        <v xml:space="preserve"> </v>
      </c>
      <c r="L57" s="5">
        <f t="shared" si="3"/>
        <v>0</v>
      </c>
      <c r="M57" s="4" t="str">
        <f t="shared" si="4"/>
        <v xml:space="preserve"> </v>
      </c>
      <c r="N57" s="5">
        <f t="shared" si="5"/>
        <v>0</v>
      </c>
      <c r="O57" s="4" t="str">
        <f t="shared" si="6"/>
        <v xml:space="preserve"> </v>
      </c>
      <c r="P57" s="5">
        <f t="shared" si="7"/>
        <v>0</v>
      </c>
      <c r="Q57" s="4" t="str">
        <f t="shared" si="8"/>
        <v xml:space="preserve"> </v>
      </c>
      <c r="R57" s="5">
        <f t="shared" si="9"/>
        <v>0</v>
      </c>
      <c r="S57" s="4" t="str">
        <f t="shared" si="10"/>
        <v xml:space="preserve"> </v>
      </c>
      <c r="T57" s="5">
        <f t="shared" si="11"/>
        <v>0</v>
      </c>
      <c r="U57" s="4" t="str">
        <f t="shared" si="12"/>
        <v xml:space="preserve"> </v>
      </c>
      <c r="V57" s="5">
        <f t="shared" si="13"/>
        <v>0</v>
      </c>
      <c r="W57" s="4" t="str">
        <f t="shared" si="14"/>
        <v xml:space="preserve"> </v>
      </c>
      <c r="X57" s="5">
        <f t="shared" si="15"/>
        <v>0</v>
      </c>
      <c r="Y57" s="4" t="str">
        <f t="shared" si="16"/>
        <v xml:space="preserve"> </v>
      </c>
      <c r="Z57" s="5">
        <f t="shared" si="17"/>
        <v>0</v>
      </c>
      <c r="AA57" s="4" t="str">
        <f t="shared" si="18"/>
        <v xml:space="preserve"> </v>
      </c>
      <c r="AB57" s="5">
        <f t="shared" si="19"/>
        <v>0</v>
      </c>
      <c r="AC57" s="4" t="str">
        <f t="shared" si="20"/>
        <v xml:space="preserve"> </v>
      </c>
      <c r="AD57" s="5">
        <f t="shared" si="21"/>
        <v>0</v>
      </c>
      <c r="AE57" s="4" t="str">
        <f t="shared" si="22"/>
        <v xml:space="preserve"> </v>
      </c>
      <c r="AF57" s="5">
        <f t="shared" si="23"/>
        <v>0</v>
      </c>
      <c r="AG57" s="4" t="str">
        <f t="shared" si="24"/>
        <v xml:space="preserve"> </v>
      </c>
      <c r="AH57" s="5">
        <f t="shared" si="25"/>
        <v>0</v>
      </c>
      <c r="AI57" s="4" t="str">
        <f t="shared" si="26"/>
        <v xml:space="preserve"> </v>
      </c>
      <c r="AJ57" s="5">
        <f t="shared" si="27"/>
        <v>0</v>
      </c>
      <c r="AK57" s="4" t="str">
        <f t="shared" si="28"/>
        <v xml:space="preserve"> </v>
      </c>
      <c r="AL57" s="5">
        <f t="shared" si="29"/>
        <v>0</v>
      </c>
      <c r="AM57" s="4" t="str">
        <f t="shared" si="30"/>
        <v xml:space="preserve"> </v>
      </c>
      <c r="AN57" s="5">
        <f t="shared" si="31"/>
        <v>0</v>
      </c>
      <c r="AO57" s="4" t="str">
        <f t="shared" si="32"/>
        <v xml:space="preserve"> </v>
      </c>
      <c r="AP57" s="5">
        <f t="shared" si="33"/>
        <v>0</v>
      </c>
      <c r="AQ57" s="4" t="str">
        <f t="shared" si="34"/>
        <v xml:space="preserve"> </v>
      </c>
      <c r="AR57" s="5">
        <f t="shared" si="35"/>
        <v>0</v>
      </c>
      <c r="AS57" s="4" t="str">
        <f t="shared" si="36"/>
        <v xml:space="preserve"> </v>
      </c>
      <c r="AT57" s="5">
        <f t="shared" si="37"/>
        <v>0</v>
      </c>
      <c r="AU57" s="4" t="str">
        <f t="shared" si="38"/>
        <v xml:space="preserve"> </v>
      </c>
      <c r="AV57" s="5">
        <f t="shared" si="39"/>
        <v>0</v>
      </c>
      <c r="AW57" s="4" t="str">
        <f t="shared" si="40"/>
        <v xml:space="preserve"> </v>
      </c>
    </row>
    <row r="58" spans="1:56" hidden="1" outlineLevel="1" x14ac:dyDescent="0.25">
      <c r="A58" s="1"/>
      <c r="B58" s="1"/>
      <c r="C58" s="1"/>
      <c r="D58" s="1"/>
      <c r="E58" s="1"/>
      <c r="F58" s="2"/>
      <c r="G58" s="2"/>
      <c r="H58" s="1"/>
      <c r="I58" s="5">
        <f t="shared" si="47"/>
        <v>0</v>
      </c>
      <c r="J58" s="5">
        <f t="shared" si="1"/>
        <v>0</v>
      </c>
      <c r="K58" s="4" t="str">
        <f t="shared" si="2"/>
        <v xml:space="preserve"> </v>
      </c>
      <c r="L58" s="5">
        <f t="shared" si="3"/>
        <v>0</v>
      </c>
      <c r="M58" s="4" t="str">
        <f t="shared" si="4"/>
        <v xml:space="preserve"> </v>
      </c>
      <c r="N58" s="5">
        <f t="shared" si="5"/>
        <v>0</v>
      </c>
      <c r="O58" s="4" t="str">
        <f t="shared" si="6"/>
        <v xml:space="preserve"> </v>
      </c>
      <c r="P58" s="5">
        <f t="shared" si="7"/>
        <v>0</v>
      </c>
      <c r="Q58" s="4" t="str">
        <f t="shared" si="8"/>
        <v xml:space="preserve"> </v>
      </c>
      <c r="R58" s="5">
        <f t="shared" si="9"/>
        <v>0</v>
      </c>
      <c r="S58" s="4" t="str">
        <f t="shared" si="10"/>
        <v xml:space="preserve"> </v>
      </c>
      <c r="T58" s="5">
        <f t="shared" si="11"/>
        <v>0</v>
      </c>
      <c r="U58" s="4" t="str">
        <f t="shared" si="12"/>
        <v xml:space="preserve"> </v>
      </c>
      <c r="V58" s="5">
        <f t="shared" si="13"/>
        <v>0</v>
      </c>
      <c r="W58" s="4" t="str">
        <f t="shared" si="14"/>
        <v xml:space="preserve"> </v>
      </c>
      <c r="X58" s="5">
        <f t="shared" si="15"/>
        <v>0</v>
      </c>
      <c r="Y58" s="4" t="str">
        <f t="shared" si="16"/>
        <v xml:space="preserve"> </v>
      </c>
      <c r="Z58" s="5">
        <f t="shared" si="17"/>
        <v>0</v>
      </c>
      <c r="AA58" s="4" t="str">
        <f t="shared" si="18"/>
        <v xml:space="preserve"> </v>
      </c>
      <c r="AB58" s="5">
        <f t="shared" si="19"/>
        <v>0</v>
      </c>
      <c r="AC58" s="4" t="str">
        <f t="shared" si="20"/>
        <v xml:space="preserve"> </v>
      </c>
      <c r="AD58" s="5">
        <f t="shared" si="21"/>
        <v>0</v>
      </c>
      <c r="AE58" s="4" t="str">
        <f t="shared" si="22"/>
        <v xml:space="preserve"> </v>
      </c>
      <c r="AF58" s="5">
        <f t="shared" si="23"/>
        <v>0</v>
      </c>
      <c r="AG58" s="4" t="str">
        <f t="shared" si="24"/>
        <v xml:space="preserve"> </v>
      </c>
      <c r="AH58" s="5">
        <f t="shared" si="25"/>
        <v>0</v>
      </c>
      <c r="AI58" s="4" t="str">
        <f t="shared" si="26"/>
        <v xml:space="preserve"> </v>
      </c>
      <c r="AJ58" s="5">
        <f t="shared" si="27"/>
        <v>0</v>
      </c>
      <c r="AK58" s="4" t="str">
        <f t="shared" si="28"/>
        <v xml:space="preserve"> </v>
      </c>
      <c r="AL58" s="5">
        <f t="shared" si="29"/>
        <v>0</v>
      </c>
      <c r="AM58" s="4" t="str">
        <f t="shared" si="30"/>
        <v xml:space="preserve"> </v>
      </c>
      <c r="AN58" s="5">
        <f t="shared" si="31"/>
        <v>0</v>
      </c>
      <c r="AO58" s="4" t="str">
        <f t="shared" si="32"/>
        <v xml:space="preserve"> </v>
      </c>
      <c r="AP58" s="5">
        <f t="shared" si="33"/>
        <v>0</v>
      </c>
      <c r="AQ58" s="4" t="str">
        <f t="shared" si="34"/>
        <v xml:space="preserve"> </v>
      </c>
      <c r="AR58" s="5">
        <f t="shared" si="35"/>
        <v>0</v>
      </c>
      <c r="AS58" s="4" t="str">
        <f t="shared" si="36"/>
        <v xml:space="preserve"> </v>
      </c>
      <c r="AT58" s="5">
        <f t="shared" si="37"/>
        <v>0</v>
      </c>
      <c r="AU58" s="4" t="str">
        <f t="shared" si="38"/>
        <v xml:space="preserve"> </v>
      </c>
      <c r="AV58" s="5">
        <f t="shared" si="39"/>
        <v>0</v>
      </c>
      <c r="AW58" s="4" t="str">
        <f t="shared" si="40"/>
        <v xml:space="preserve"> </v>
      </c>
    </row>
    <row r="59" spans="1:56" hidden="1" outlineLevel="1" x14ac:dyDescent="0.25">
      <c r="A59" s="1"/>
      <c r="B59" s="1"/>
      <c r="C59" s="1"/>
      <c r="D59" s="1"/>
      <c r="E59" s="1"/>
      <c r="F59" s="2"/>
      <c r="G59" s="2"/>
      <c r="H59" s="1"/>
      <c r="I59" s="5">
        <f t="shared" si="47"/>
        <v>0</v>
      </c>
      <c r="J59" s="5">
        <f t="shared" si="1"/>
        <v>0</v>
      </c>
      <c r="K59" s="4" t="str">
        <f t="shared" si="2"/>
        <v xml:space="preserve"> </v>
      </c>
      <c r="L59" s="5">
        <f t="shared" si="3"/>
        <v>0</v>
      </c>
      <c r="M59" s="4" t="str">
        <f t="shared" si="4"/>
        <v xml:space="preserve"> </v>
      </c>
      <c r="N59" s="5">
        <f t="shared" si="5"/>
        <v>0</v>
      </c>
      <c r="O59" s="4" t="str">
        <f t="shared" si="6"/>
        <v xml:space="preserve"> </v>
      </c>
      <c r="P59" s="5">
        <f t="shared" si="7"/>
        <v>0</v>
      </c>
      <c r="Q59" s="4" t="str">
        <f t="shared" si="8"/>
        <v xml:space="preserve"> </v>
      </c>
      <c r="R59" s="5">
        <f t="shared" si="9"/>
        <v>0</v>
      </c>
      <c r="S59" s="4" t="str">
        <f t="shared" si="10"/>
        <v xml:space="preserve"> </v>
      </c>
      <c r="T59" s="5">
        <f t="shared" si="11"/>
        <v>0</v>
      </c>
      <c r="U59" s="4" t="str">
        <f t="shared" si="12"/>
        <v xml:space="preserve"> </v>
      </c>
      <c r="V59" s="5">
        <f t="shared" si="13"/>
        <v>0</v>
      </c>
      <c r="W59" s="4" t="str">
        <f t="shared" si="14"/>
        <v xml:space="preserve"> </v>
      </c>
      <c r="X59" s="5">
        <f t="shared" si="15"/>
        <v>0</v>
      </c>
      <c r="Y59" s="4" t="str">
        <f t="shared" si="16"/>
        <v xml:space="preserve"> </v>
      </c>
      <c r="Z59" s="5">
        <f t="shared" si="17"/>
        <v>0</v>
      </c>
      <c r="AA59" s="4" t="str">
        <f t="shared" si="18"/>
        <v xml:space="preserve"> </v>
      </c>
      <c r="AB59" s="5">
        <f t="shared" si="19"/>
        <v>0</v>
      </c>
      <c r="AC59" s="4" t="str">
        <f t="shared" si="20"/>
        <v xml:space="preserve"> </v>
      </c>
      <c r="AD59" s="5">
        <f t="shared" si="21"/>
        <v>0</v>
      </c>
      <c r="AE59" s="4" t="str">
        <f t="shared" si="22"/>
        <v xml:space="preserve"> </v>
      </c>
      <c r="AF59" s="5">
        <f t="shared" si="23"/>
        <v>0</v>
      </c>
      <c r="AG59" s="4" t="str">
        <f t="shared" si="24"/>
        <v xml:space="preserve"> </v>
      </c>
      <c r="AH59" s="5">
        <f t="shared" si="25"/>
        <v>0</v>
      </c>
      <c r="AI59" s="4" t="str">
        <f t="shared" si="26"/>
        <v xml:space="preserve"> </v>
      </c>
      <c r="AJ59" s="5">
        <f t="shared" si="27"/>
        <v>0</v>
      </c>
      <c r="AK59" s="4" t="str">
        <f t="shared" si="28"/>
        <v xml:space="preserve"> </v>
      </c>
      <c r="AL59" s="5">
        <f t="shared" si="29"/>
        <v>0</v>
      </c>
      <c r="AM59" s="4" t="str">
        <f t="shared" si="30"/>
        <v xml:space="preserve"> </v>
      </c>
      <c r="AN59" s="5">
        <f t="shared" si="31"/>
        <v>0</v>
      </c>
      <c r="AO59" s="4" t="str">
        <f t="shared" si="32"/>
        <v xml:space="preserve"> </v>
      </c>
      <c r="AP59" s="5">
        <f t="shared" si="33"/>
        <v>0</v>
      </c>
      <c r="AQ59" s="4" t="str">
        <f t="shared" si="34"/>
        <v xml:space="preserve"> </v>
      </c>
      <c r="AR59" s="5">
        <f t="shared" si="35"/>
        <v>0</v>
      </c>
      <c r="AS59" s="4" t="str">
        <f t="shared" si="36"/>
        <v xml:space="preserve"> </v>
      </c>
      <c r="AT59" s="5">
        <f t="shared" si="37"/>
        <v>0</v>
      </c>
      <c r="AU59" s="4" t="str">
        <f t="shared" si="38"/>
        <v xml:space="preserve"> </v>
      </c>
      <c r="AV59" s="5">
        <f t="shared" si="39"/>
        <v>0</v>
      </c>
      <c r="AW59" s="4" t="str">
        <f t="shared" si="40"/>
        <v xml:space="preserve"> </v>
      </c>
    </row>
    <row r="60" spans="1:56" hidden="1" outlineLevel="1" x14ac:dyDescent="0.25">
      <c r="A60" s="1"/>
      <c r="B60" s="1"/>
      <c r="C60" s="1"/>
      <c r="D60" s="1"/>
      <c r="E60" s="1"/>
      <c r="F60" s="2"/>
      <c r="G60" s="2"/>
      <c r="H60" s="1"/>
      <c r="I60" s="5">
        <f t="shared" si="47"/>
        <v>0</v>
      </c>
      <c r="J60" s="5">
        <f t="shared" si="1"/>
        <v>0</v>
      </c>
      <c r="K60" s="4" t="str">
        <f t="shared" si="2"/>
        <v xml:space="preserve"> </v>
      </c>
      <c r="L60" s="5">
        <f t="shared" si="3"/>
        <v>0</v>
      </c>
      <c r="M60" s="4" t="str">
        <f t="shared" si="4"/>
        <v xml:space="preserve"> </v>
      </c>
      <c r="N60" s="5">
        <f t="shared" si="5"/>
        <v>0</v>
      </c>
      <c r="O60" s="4" t="str">
        <f t="shared" si="6"/>
        <v xml:space="preserve"> </v>
      </c>
      <c r="P60" s="5">
        <f t="shared" si="7"/>
        <v>0</v>
      </c>
      <c r="Q60" s="4" t="str">
        <f t="shared" si="8"/>
        <v xml:space="preserve"> </v>
      </c>
      <c r="R60" s="5">
        <f t="shared" si="9"/>
        <v>0</v>
      </c>
      <c r="S60" s="4" t="str">
        <f t="shared" si="10"/>
        <v xml:space="preserve"> </v>
      </c>
      <c r="T60" s="5">
        <f t="shared" si="11"/>
        <v>0</v>
      </c>
      <c r="U60" s="4" t="str">
        <f t="shared" si="12"/>
        <v xml:space="preserve"> </v>
      </c>
      <c r="V60" s="5">
        <f t="shared" si="13"/>
        <v>0</v>
      </c>
      <c r="W60" s="4" t="str">
        <f t="shared" si="14"/>
        <v xml:space="preserve"> </v>
      </c>
      <c r="X60" s="5">
        <f t="shared" si="15"/>
        <v>0</v>
      </c>
      <c r="Y60" s="4" t="str">
        <f t="shared" si="16"/>
        <v xml:space="preserve"> </v>
      </c>
      <c r="Z60" s="5">
        <f t="shared" si="17"/>
        <v>0</v>
      </c>
      <c r="AA60" s="4" t="str">
        <f t="shared" si="18"/>
        <v xml:space="preserve"> </v>
      </c>
      <c r="AB60" s="5">
        <f t="shared" si="19"/>
        <v>0</v>
      </c>
      <c r="AC60" s="4" t="str">
        <f t="shared" si="20"/>
        <v xml:space="preserve"> </v>
      </c>
      <c r="AD60" s="5">
        <f t="shared" si="21"/>
        <v>0</v>
      </c>
      <c r="AE60" s="4" t="str">
        <f t="shared" si="22"/>
        <v xml:space="preserve"> </v>
      </c>
      <c r="AF60" s="5">
        <f t="shared" si="23"/>
        <v>0</v>
      </c>
      <c r="AG60" s="4" t="str">
        <f t="shared" si="24"/>
        <v xml:space="preserve"> </v>
      </c>
      <c r="AH60" s="5">
        <f t="shared" si="25"/>
        <v>0</v>
      </c>
      <c r="AI60" s="4" t="str">
        <f t="shared" si="26"/>
        <v xml:space="preserve"> </v>
      </c>
      <c r="AJ60" s="5">
        <f t="shared" si="27"/>
        <v>0</v>
      </c>
      <c r="AK60" s="4" t="str">
        <f t="shared" si="28"/>
        <v xml:space="preserve"> </v>
      </c>
      <c r="AL60" s="5">
        <f t="shared" si="29"/>
        <v>0</v>
      </c>
      <c r="AM60" s="4" t="str">
        <f t="shared" si="30"/>
        <v xml:space="preserve"> </v>
      </c>
      <c r="AN60" s="5">
        <f t="shared" si="31"/>
        <v>0</v>
      </c>
      <c r="AO60" s="4" t="str">
        <f t="shared" si="32"/>
        <v xml:space="preserve"> </v>
      </c>
      <c r="AP60" s="5">
        <f t="shared" si="33"/>
        <v>0</v>
      </c>
      <c r="AQ60" s="4" t="str">
        <f t="shared" si="34"/>
        <v xml:space="preserve"> </v>
      </c>
      <c r="AR60" s="5">
        <f t="shared" si="35"/>
        <v>0</v>
      </c>
      <c r="AS60" s="4" t="str">
        <f t="shared" si="36"/>
        <v xml:space="preserve"> </v>
      </c>
      <c r="AT60" s="5">
        <f t="shared" si="37"/>
        <v>0</v>
      </c>
      <c r="AU60" s="4" t="str">
        <f t="shared" si="38"/>
        <v xml:space="preserve"> </v>
      </c>
      <c r="AV60" s="5">
        <f t="shared" si="39"/>
        <v>0</v>
      </c>
      <c r="AW60" s="4" t="str">
        <f t="shared" si="40"/>
        <v xml:space="preserve"> </v>
      </c>
    </row>
    <row r="61" spans="1:56" hidden="1" outlineLevel="1" x14ac:dyDescent="0.25">
      <c r="A61" s="1"/>
      <c r="B61" s="1"/>
      <c r="C61" s="1"/>
      <c r="D61" s="1"/>
      <c r="E61" s="1"/>
      <c r="F61" s="2"/>
      <c r="G61" s="2"/>
      <c r="H61" s="1"/>
      <c r="I61" s="5">
        <f t="shared" si="47"/>
        <v>0</v>
      </c>
      <c r="J61" s="5">
        <f t="shared" si="1"/>
        <v>0</v>
      </c>
      <c r="K61" s="4" t="str">
        <f t="shared" si="2"/>
        <v xml:space="preserve"> </v>
      </c>
      <c r="L61" s="5">
        <f t="shared" si="3"/>
        <v>0</v>
      </c>
      <c r="M61" s="4" t="str">
        <f t="shared" si="4"/>
        <v xml:space="preserve"> </v>
      </c>
      <c r="N61" s="5">
        <f t="shared" si="5"/>
        <v>0</v>
      </c>
      <c r="O61" s="4" t="str">
        <f t="shared" si="6"/>
        <v xml:space="preserve"> </v>
      </c>
      <c r="P61" s="5">
        <f t="shared" si="7"/>
        <v>0</v>
      </c>
      <c r="Q61" s="4" t="str">
        <f t="shared" si="8"/>
        <v xml:space="preserve"> </v>
      </c>
      <c r="R61" s="5">
        <f t="shared" si="9"/>
        <v>0</v>
      </c>
      <c r="S61" s="4" t="str">
        <f t="shared" si="10"/>
        <v xml:space="preserve"> </v>
      </c>
      <c r="T61" s="5">
        <f t="shared" si="11"/>
        <v>0</v>
      </c>
      <c r="U61" s="4" t="str">
        <f t="shared" si="12"/>
        <v xml:space="preserve"> </v>
      </c>
      <c r="V61" s="5">
        <f t="shared" si="13"/>
        <v>0</v>
      </c>
      <c r="W61" s="4" t="str">
        <f t="shared" si="14"/>
        <v xml:space="preserve"> </v>
      </c>
      <c r="X61" s="5">
        <f t="shared" si="15"/>
        <v>0</v>
      </c>
      <c r="Y61" s="4" t="str">
        <f t="shared" si="16"/>
        <v xml:space="preserve"> </v>
      </c>
      <c r="Z61" s="5">
        <f t="shared" si="17"/>
        <v>0</v>
      </c>
      <c r="AA61" s="4" t="str">
        <f t="shared" si="18"/>
        <v xml:space="preserve"> </v>
      </c>
      <c r="AB61" s="5">
        <f t="shared" si="19"/>
        <v>0</v>
      </c>
      <c r="AC61" s="4" t="str">
        <f t="shared" si="20"/>
        <v xml:space="preserve"> </v>
      </c>
      <c r="AD61" s="5">
        <f t="shared" si="21"/>
        <v>0</v>
      </c>
      <c r="AE61" s="4" t="str">
        <f t="shared" si="22"/>
        <v xml:space="preserve"> </v>
      </c>
      <c r="AF61" s="5">
        <f t="shared" si="23"/>
        <v>0</v>
      </c>
      <c r="AG61" s="4" t="str">
        <f t="shared" si="24"/>
        <v xml:space="preserve"> </v>
      </c>
      <c r="AH61" s="5">
        <f t="shared" si="25"/>
        <v>0</v>
      </c>
      <c r="AI61" s="4" t="str">
        <f t="shared" si="26"/>
        <v xml:space="preserve"> </v>
      </c>
      <c r="AJ61" s="5">
        <f t="shared" si="27"/>
        <v>0</v>
      </c>
      <c r="AK61" s="4" t="str">
        <f t="shared" si="28"/>
        <v xml:space="preserve"> </v>
      </c>
      <c r="AL61" s="5">
        <f t="shared" si="29"/>
        <v>0</v>
      </c>
      <c r="AM61" s="4" t="str">
        <f t="shared" si="30"/>
        <v xml:space="preserve"> </v>
      </c>
      <c r="AN61" s="5">
        <f t="shared" si="31"/>
        <v>0</v>
      </c>
      <c r="AO61" s="4" t="str">
        <f t="shared" si="32"/>
        <v xml:space="preserve"> </v>
      </c>
      <c r="AP61" s="5">
        <f t="shared" si="33"/>
        <v>0</v>
      </c>
      <c r="AQ61" s="4" t="str">
        <f t="shared" si="34"/>
        <v xml:space="preserve"> </v>
      </c>
      <c r="AR61" s="5">
        <f t="shared" si="35"/>
        <v>0</v>
      </c>
      <c r="AS61" s="4" t="str">
        <f t="shared" si="36"/>
        <v xml:space="preserve"> </v>
      </c>
      <c r="AT61" s="5">
        <f t="shared" si="37"/>
        <v>0</v>
      </c>
      <c r="AU61" s="4" t="str">
        <f t="shared" si="38"/>
        <v xml:space="preserve"> </v>
      </c>
      <c r="AV61" s="5">
        <f t="shared" si="39"/>
        <v>0</v>
      </c>
      <c r="AW61" s="4" t="str">
        <f t="shared" si="40"/>
        <v xml:space="preserve"> </v>
      </c>
    </row>
    <row r="62" spans="1:56" hidden="1" outlineLevel="1" x14ac:dyDescent="0.25">
      <c r="A62" s="1"/>
      <c r="B62" s="1"/>
      <c r="C62" s="1"/>
      <c r="D62" s="1"/>
      <c r="E62" s="1"/>
      <c r="F62" s="2"/>
      <c r="G62" s="2"/>
      <c r="H62" s="1"/>
      <c r="I62" s="5">
        <f t="shared" si="47"/>
        <v>0</v>
      </c>
      <c r="J62" s="5">
        <f t="shared" si="1"/>
        <v>0</v>
      </c>
      <c r="K62" s="4" t="str">
        <f t="shared" si="2"/>
        <v xml:space="preserve"> </v>
      </c>
      <c r="L62" s="5">
        <f t="shared" si="3"/>
        <v>0</v>
      </c>
      <c r="M62" s="4" t="str">
        <f t="shared" si="4"/>
        <v xml:space="preserve"> </v>
      </c>
      <c r="N62" s="5">
        <f t="shared" si="5"/>
        <v>0</v>
      </c>
      <c r="O62" s="4" t="str">
        <f t="shared" si="6"/>
        <v xml:space="preserve"> </v>
      </c>
      <c r="P62" s="5">
        <f t="shared" si="7"/>
        <v>0</v>
      </c>
      <c r="Q62" s="4" t="str">
        <f t="shared" si="8"/>
        <v xml:space="preserve"> </v>
      </c>
      <c r="R62" s="5">
        <f t="shared" si="9"/>
        <v>0</v>
      </c>
      <c r="S62" s="4" t="str">
        <f t="shared" si="10"/>
        <v xml:space="preserve"> </v>
      </c>
      <c r="T62" s="5">
        <f t="shared" si="11"/>
        <v>0</v>
      </c>
      <c r="U62" s="4" t="str">
        <f t="shared" si="12"/>
        <v xml:space="preserve"> </v>
      </c>
      <c r="V62" s="5">
        <f t="shared" si="13"/>
        <v>0</v>
      </c>
      <c r="W62" s="4" t="str">
        <f t="shared" si="14"/>
        <v xml:space="preserve"> </v>
      </c>
      <c r="X62" s="5">
        <f t="shared" si="15"/>
        <v>0</v>
      </c>
      <c r="Y62" s="4" t="str">
        <f t="shared" si="16"/>
        <v xml:space="preserve"> </v>
      </c>
      <c r="Z62" s="5">
        <f t="shared" si="17"/>
        <v>0</v>
      </c>
      <c r="AA62" s="4" t="str">
        <f t="shared" si="18"/>
        <v xml:space="preserve"> </v>
      </c>
      <c r="AB62" s="5">
        <f t="shared" si="19"/>
        <v>0</v>
      </c>
      <c r="AC62" s="4" t="str">
        <f t="shared" si="20"/>
        <v xml:space="preserve"> </v>
      </c>
      <c r="AD62" s="5">
        <f t="shared" si="21"/>
        <v>0</v>
      </c>
      <c r="AE62" s="4" t="str">
        <f t="shared" si="22"/>
        <v xml:space="preserve"> </v>
      </c>
      <c r="AF62" s="5">
        <f t="shared" si="23"/>
        <v>0</v>
      </c>
      <c r="AG62" s="4" t="str">
        <f t="shared" si="24"/>
        <v xml:space="preserve"> </v>
      </c>
      <c r="AH62" s="5">
        <f t="shared" si="25"/>
        <v>0</v>
      </c>
      <c r="AI62" s="4" t="str">
        <f t="shared" si="26"/>
        <v xml:space="preserve"> </v>
      </c>
      <c r="AJ62" s="5">
        <f t="shared" si="27"/>
        <v>0</v>
      </c>
      <c r="AK62" s="4" t="str">
        <f t="shared" si="28"/>
        <v xml:space="preserve"> </v>
      </c>
      <c r="AL62" s="5">
        <f t="shared" si="29"/>
        <v>0</v>
      </c>
      <c r="AM62" s="4" t="str">
        <f t="shared" si="30"/>
        <v xml:space="preserve"> </v>
      </c>
      <c r="AN62" s="5">
        <f t="shared" si="31"/>
        <v>0</v>
      </c>
      <c r="AO62" s="4" t="str">
        <f t="shared" si="32"/>
        <v xml:space="preserve"> </v>
      </c>
      <c r="AP62" s="5">
        <f t="shared" si="33"/>
        <v>0</v>
      </c>
      <c r="AQ62" s="4" t="str">
        <f t="shared" si="34"/>
        <v xml:space="preserve"> </v>
      </c>
      <c r="AR62" s="5">
        <f t="shared" si="35"/>
        <v>0</v>
      </c>
      <c r="AS62" s="4" t="str">
        <f t="shared" si="36"/>
        <v xml:space="preserve"> </v>
      </c>
      <c r="AT62" s="5">
        <f t="shared" si="37"/>
        <v>0</v>
      </c>
      <c r="AU62" s="4" t="str">
        <f t="shared" si="38"/>
        <v xml:space="preserve"> </v>
      </c>
      <c r="AV62" s="5">
        <f t="shared" si="39"/>
        <v>0</v>
      </c>
      <c r="AW62" s="4" t="str">
        <f t="shared" si="40"/>
        <v xml:space="preserve"> </v>
      </c>
    </row>
    <row r="63" spans="1:56" hidden="1" outlineLevel="1" x14ac:dyDescent="0.25">
      <c r="A63" s="1"/>
      <c r="B63" s="1"/>
      <c r="C63" s="1"/>
      <c r="D63" s="1"/>
      <c r="E63" s="1"/>
      <c r="F63" s="2"/>
      <c r="G63" s="2"/>
      <c r="H63" s="1"/>
      <c r="I63" s="5">
        <f t="shared" si="47"/>
        <v>0</v>
      </c>
      <c r="J63" s="5">
        <f t="shared" si="1"/>
        <v>0</v>
      </c>
      <c r="K63" s="4" t="str">
        <f t="shared" si="2"/>
        <v xml:space="preserve"> </v>
      </c>
      <c r="L63" s="5">
        <f t="shared" si="3"/>
        <v>0</v>
      </c>
      <c r="M63" s="4" t="str">
        <f t="shared" si="4"/>
        <v xml:space="preserve"> </v>
      </c>
      <c r="N63" s="5">
        <f t="shared" si="5"/>
        <v>0</v>
      </c>
      <c r="O63" s="4" t="str">
        <f t="shared" si="6"/>
        <v xml:space="preserve"> </v>
      </c>
      <c r="P63" s="5">
        <f t="shared" si="7"/>
        <v>0</v>
      </c>
      <c r="Q63" s="4" t="str">
        <f t="shared" si="8"/>
        <v xml:space="preserve"> </v>
      </c>
      <c r="R63" s="5">
        <f t="shared" si="9"/>
        <v>0</v>
      </c>
      <c r="S63" s="4" t="str">
        <f t="shared" si="10"/>
        <v xml:space="preserve"> </v>
      </c>
      <c r="T63" s="5">
        <f t="shared" si="11"/>
        <v>0</v>
      </c>
      <c r="U63" s="4" t="str">
        <f t="shared" si="12"/>
        <v xml:space="preserve"> </v>
      </c>
      <c r="V63" s="5">
        <f t="shared" si="13"/>
        <v>0</v>
      </c>
      <c r="W63" s="4" t="str">
        <f t="shared" si="14"/>
        <v xml:space="preserve"> </v>
      </c>
      <c r="X63" s="5">
        <f t="shared" si="15"/>
        <v>0</v>
      </c>
      <c r="Y63" s="4" t="str">
        <f t="shared" si="16"/>
        <v xml:space="preserve"> </v>
      </c>
      <c r="Z63" s="5">
        <f t="shared" si="17"/>
        <v>0</v>
      </c>
      <c r="AA63" s="4" t="str">
        <f t="shared" si="18"/>
        <v xml:space="preserve"> </v>
      </c>
      <c r="AB63" s="5">
        <f t="shared" si="19"/>
        <v>0</v>
      </c>
      <c r="AC63" s="4" t="str">
        <f t="shared" si="20"/>
        <v xml:space="preserve"> </v>
      </c>
      <c r="AD63" s="5">
        <f t="shared" si="21"/>
        <v>0</v>
      </c>
      <c r="AE63" s="4" t="str">
        <f t="shared" si="22"/>
        <v xml:space="preserve"> </v>
      </c>
      <c r="AF63" s="5">
        <f t="shared" si="23"/>
        <v>0</v>
      </c>
      <c r="AG63" s="4" t="str">
        <f t="shared" si="24"/>
        <v xml:space="preserve"> </v>
      </c>
      <c r="AH63" s="5">
        <f t="shared" si="25"/>
        <v>0</v>
      </c>
      <c r="AI63" s="4" t="str">
        <f t="shared" si="26"/>
        <v xml:space="preserve"> </v>
      </c>
      <c r="AJ63" s="5">
        <f t="shared" si="27"/>
        <v>0</v>
      </c>
      <c r="AK63" s="4" t="str">
        <f t="shared" si="28"/>
        <v xml:space="preserve"> </v>
      </c>
      <c r="AL63" s="5">
        <f t="shared" si="29"/>
        <v>0</v>
      </c>
      <c r="AM63" s="4" t="str">
        <f t="shared" si="30"/>
        <v xml:space="preserve"> </v>
      </c>
      <c r="AN63" s="5">
        <f t="shared" si="31"/>
        <v>0</v>
      </c>
      <c r="AO63" s="4" t="str">
        <f t="shared" si="32"/>
        <v xml:space="preserve"> </v>
      </c>
      <c r="AP63" s="5">
        <f t="shared" si="33"/>
        <v>0</v>
      </c>
      <c r="AQ63" s="4" t="str">
        <f t="shared" si="34"/>
        <v xml:space="preserve"> </v>
      </c>
      <c r="AR63" s="5">
        <f t="shared" si="35"/>
        <v>0</v>
      </c>
      <c r="AS63" s="4" t="str">
        <f t="shared" si="36"/>
        <v xml:space="preserve"> </v>
      </c>
      <c r="AT63" s="5">
        <f t="shared" si="37"/>
        <v>0</v>
      </c>
      <c r="AU63" s="4" t="str">
        <f t="shared" si="38"/>
        <v xml:space="preserve"> </v>
      </c>
      <c r="AV63" s="5">
        <f t="shared" si="39"/>
        <v>0</v>
      </c>
      <c r="AW63" s="4" t="str">
        <f t="shared" si="40"/>
        <v xml:space="preserve"> </v>
      </c>
    </row>
    <row r="64" spans="1:56" hidden="1" outlineLevel="1" x14ac:dyDescent="0.25">
      <c r="A64" s="1"/>
      <c r="B64" s="1"/>
      <c r="C64" s="1"/>
      <c r="D64" s="1"/>
      <c r="E64" s="1"/>
      <c r="F64" s="2"/>
      <c r="G64" s="2"/>
      <c r="H64" s="1"/>
      <c r="I64" s="5">
        <f t="shared" si="47"/>
        <v>0</v>
      </c>
      <c r="J64" s="5">
        <f t="shared" si="1"/>
        <v>0</v>
      </c>
      <c r="K64" s="4" t="str">
        <f t="shared" si="2"/>
        <v xml:space="preserve"> </v>
      </c>
      <c r="L64" s="5">
        <f t="shared" si="3"/>
        <v>0</v>
      </c>
      <c r="M64" s="4" t="str">
        <f t="shared" si="4"/>
        <v xml:space="preserve"> </v>
      </c>
      <c r="N64" s="5">
        <f t="shared" si="5"/>
        <v>0</v>
      </c>
      <c r="O64" s="4" t="str">
        <f t="shared" si="6"/>
        <v xml:space="preserve"> </v>
      </c>
      <c r="P64" s="5">
        <f t="shared" si="7"/>
        <v>0</v>
      </c>
      <c r="Q64" s="4" t="str">
        <f t="shared" si="8"/>
        <v xml:space="preserve"> </v>
      </c>
      <c r="R64" s="5">
        <f t="shared" si="9"/>
        <v>0</v>
      </c>
      <c r="S64" s="4" t="str">
        <f t="shared" si="10"/>
        <v xml:space="preserve"> </v>
      </c>
      <c r="T64" s="5">
        <f t="shared" si="11"/>
        <v>0</v>
      </c>
      <c r="U64" s="4" t="str">
        <f t="shared" si="12"/>
        <v xml:space="preserve"> </v>
      </c>
      <c r="V64" s="5">
        <f t="shared" si="13"/>
        <v>0</v>
      </c>
      <c r="W64" s="4" t="str">
        <f t="shared" si="14"/>
        <v xml:space="preserve"> </v>
      </c>
      <c r="X64" s="5">
        <f t="shared" si="15"/>
        <v>0</v>
      </c>
      <c r="Y64" s="4" t="str">
        <f t="shared" si="16"/>
        <v xml:space="preserve"> </v>
      </c>
      <c r="Z64" s="5">
        <f t="shared" si="17"/>
        <v>0</v>
      </c>
      <c r="AA64" s="4" t="str">
        <f t="shared" si="18"/>
        <v xml:space="preserve"> </v>
      </c>
      <c r="AB64" s="5">
        <f t="shared" si="19"/>
        <v>0</v>
      </c>
      <c r="AC64" s="4" t="str">
        <f t="shared" si="20"/>
        <v xml:space="preserve"> </v>
      </c>
      <c r="AD64" s="5">
        <f t="shared" si="21"/>
        <v>0</v>
      </c>
      <c r="AE64" s="4" t="str">
        <f t="shared" si="22"/>
        <v xml:space="preserve"> </v>
      </c>
      <c r="AF64" s="5">
        <f t="shared" si="23"/>
        <v>0</v>
      </c>
      <c r="AG64" s="4" t="str">
        <f t="shared" si="24"/>
        <v xml:space="preserve"> </v>
      </c>
      <c r="AH64" s="5">
        <f t="shared" si="25"/>
        <v>0</v>
      </c>
      <c r="AI64" s="4" t="str">
        <f t="shared" si="26"/>
        <v xml:space="preserve"> </v>
      </c>
      <c r="AJ64" s="5">
        <f t="shared" si="27"/>
        <v>0</v>
      </c>
      <c r="AK64" s="4" t="str">
        <f t="shared" si="28"/>
        <v xml:space="preserve"> </v>
      </c>
      <c r="AL64" s="5">
        <f t="shared" si="29"/>
        <v>0</v>
      </c>
      <c r="AM64" s="4" t="str">
        <f t="shared" si="30"/>
        <v xml:space="preserve"> </v>
      </c>
      <c r="AN64" s="5">
        <f t="shared" si="31"/>
        <v>0</v>
      </c>
      <c r="AO64" s="4" t="str">
        <f t="shared" si="32"/>
        <v xml:space="preserve"> </v>
      </c>
      <c r="AP64" s="5">
        <f t="shared" si="33"/>
        <v>0</v>
      </c>
      <c r="AQ64" s="4" t="str">
        <f t="shared" si="34"/>
        <v xml:space="preserve"> </v>
      </c>
      <c r="AR64" s="5">
        <f t="shared" si="35"/>
        <v>0</v>
      </c>
      <c r="AS64" s="4" t="str">
        <f t="shared" si="36"/>
        <v xml:space="preserve"> </v>
      </c>
      <c r="AT64" s="5">
        <f t="shared" si="37"/>
        <v>0</v>
      </c>
      <c r="AU64" s="4" t="str">
        <f t="shared" si="38"/>
        <v xml:space="preserve"> </v>
      </c>
      <c r="AV64" s="5">
        <f t="shared" si="39"/>
        <v>0</v>
      </c>
      <c r="AW64" s="4" t="str">
        <f t="shared" si="40"/>
        <v xml:space="preserve"> </v>
      </c>
    </row>
    <row r="65" spans="1:49" hidden="1" outlineLevel="1" x14ac:dyDescent="0.25">
      <c r="A65" s="1"/>
      <c r="B65" s="1"/>
      <c r="C65" s="1"/>
      <c r="D65" s="1"/>
      <c r="E65" s="1"/>
      <c r="F65" s="2"/>
      <c r="G65" s="2"/>
      <c r="H65" s="1"/>
      <c r="I65" s="5">
        <f t="shared" si="47"/>
        <v>0</v>
      </c>
      <c r="J65" s="5">
        <f t="shared" si="1"/>
        <v>0</v>
      </c>
      <c r="K65" s="4" t="str">
        <f t="shared" si="2"/>
        <v xml:space="preserve"> </v>
      </c>
      <c r="L65" s="5">
        <f t="shared" si="3"/>
        <v>0</v>
      </c>
      <c r="M65" s="4" t="str">
        <f t="shared" si="4"/>
        <v xml:space="preserve"> </v>
      </c>
      <c r="N65" s="5">
        <f t="shared" si="5"/>
        <v>0</v>
      </c>
      <c r="O65" s="4" t="str">
        <f t="shared" si="6"/>
        <v xml:space="preserve"> </v>
      </c>
      <c r="P65" s="5">
        <f t="shared" si="7"/>
        <v>0</v>
      </c>
      <c r="Q65" s="4" t="str">
        <f t="shared" si="8"/>
        <v xml:space="preserve"> </v>
      </c>
      <c r="R65" s="5">
        <f t="shared" si="9"/>
        <v>0</v>
      </c>
      <c r="S65" s="4" t="str">
        <f t="shared" si="10"/>
        <v xml:space="preserve"> </v>
      </c>
      <c r="T65" s="5">
        <f t="shared" si="11"/>
        <v>0</v>
      </c>
      <c r="U65" s="4" t="str">
        <f t="shared" si="12"/>
        <v xml:space="preserve"> </v>
      </c>
      <c r="V65" s="5">
        <f t="shared" si="13"/>
        <v>0</v>
      </c>
      <c r="W65" s="4" t="str">
        <f t="shared" si="14"/>
        <v xml:space="preserve"> </v>
      </c>
      <c r="X65" s="5">
        <f t="shared" si="15"/>
        <v>0</v>
      </c>
      <c r="Y65" s="4" t="str">
        <f t="shared" si="16"/>
        <v xml:space="preserve"> </v>
      </c>
      <c r="Z65" s="5">
        <f t="shared" si="17"/>
        <v>0</v>
      </c>
      <c r="AA65" s="4" t="str">
        <f t="shared" si="18"/>
        <v xml:space="preserve"> </v>
      </c>
      <c r="AB65" s="5">
        <f t="shared" si="19"/>
        <v>0</v>
      </c>
      <c r="AC65" s="4" t="str">
        <f t="shared" si="20"/>
        <v xml:space="preserve"> </v>
      </c>
      <c r="AD65" s="5">
        <f t="shared" si="21"/>
        <v>0</v>
      </c>
      <c r="AE65" s="4" t="str">
        <f t="shared" si="22"/>
        <v xml:space="preserve"> </v>
      </c>
      <c r="AF65" s="5">
        <f t="shared" si="23"/>
        <v>0</v>
      </c>
      <c r="AG65" s="4" t="str">
        <f t="shared" si="24"/>
        <v xml:space="preserve"> </v>
      </c>
      <c r="AH65" s="5">
        <f t="shared" si="25"/>
        <v>0</v>
      </c>
      <c r="AI65" s="4" t="str">
        <f t="shared" si="26"/>
        <v xml:space="preserve"> </v>
      </c>
      <c r="AJ65" s="5">
        <f t="shared" si="27"/>
        <v>0</v>
      </c>
      <c r="AK65" s="4" t="str">
        <f t="shared" si="28"/>
        <v xml:space="preserve"> </v>
      </c>
      <c r="AL65" s="5">
        <f t="shared" si="29"/>
        <v>0</v>
      </c>
      <c r="AM65" s="4" t="str">
        <f t="shared" si="30"/>
        <v xml:space="preserve"> </v>
      </c>
      <c r="AN65" s="5">
        <f t="shared" si="31"/>
        <v>0</v>
      </c>
      <c r="AO65" s="4" t="str">
        <f t="shared" si="32"/>
        <v xml:space="preserve"> </v>
      </c>
      <c r="AP65" s="5">
        <f t="shared" si="33"/>
        <v>0</v>
      </c>
      <c r="AQ65" s="4" t="str">
        <f t="shared" si="34"/>
        <v xml:space="preserve"> </v>
      </c>
      <c r="AR65" s="5">
        <f t="shared" si="35"/>
        <v>0</v>
      </c>
      <c r="AS65" s="4" t="str">
        <f t="shared" si="36"/>
        <v xml:space="preserve"> </v>
      </c>
      <c r="AT65" s="5">
        <f t="shared" si="37"/>
        <v>0</v>
      </c>
      <c r="AU65" s="4" t="str">
        <f t="shared" si="38"/>
        <v xml:space="preserve"> </v>
      </c>
      <c r="AV65" s="5">
        <f t="shared" si="39"/>
        <v>0</v>
      </c>
      <c r="AW65" s="4" t="str">
        <f t="shared" si="40"/>
        <v xml:space="preserve"> </v>
      </c>
    </row>
    <row r="66" spans="1:49" hidden="1" outlineLevel="1" x14ac:dyDescent="0.25">
      <c r="A66" s="1"/>
      <c r="B66" s="1"/>
      <c r="C66" s="1"/>
      <c r="D66" s="1"/>
      <c r="E66" s="1"/>
      <c r="F66" s="2"/>
      <c r="G66" s="2"/>
      <c r="H66" s="1"/>
      <c r="I66" s="5">
        <f t="shared" si="47"/>
        <v>0</v>
      </c>
      <c r="J66" s="5">
        <f t="shared" si="1"/>
        <v>0</v>
      </c>
      <c r="K66" s="4" t="str">
        <f t="shared" si="2"/>
        <v xml:space="preserve"> </v>
      </c>
      <c r="L66" s="5">
        <f t="shared" si="3"/>
        <v>0</v>
      </c>
      <c r="M66" s="4" t="str">
        <f t="shared" si="4"/>
        <v xml:space="preserve"> </v>
      </c>
      <c r="N66" s="5">
        <f t="shared" si="5"/>
        <v>0</v>
      </c>
      <c r="O66" s="4" t="str">
        <f t="shared" si="6"/>
        <v xml:space="preserve"> </v>
      </c>
      <c r="P66" s="5">
        <f t="shared" si="7"/>
        <v>0</v>
      </c>
      <c r="Q66" s="4" t="str">
        <f t="shared" si="8"/>
        <v xml:space="preserve"> </v>
      </c>
      <c r="R66" s="5">
        <f t="shared" si="9"/>
        <v>0</v>
      </c>
      <c r="S66" s="4" t="str">
        <f t="shared" si="10"/>
        <v xml:space="preserve"> </v>
      </c>
      <c r="T66" s="5">
        <f t="shared" si="11"/>
        <v>0</v>
      </c>
      <c r="U66" s="4" t="str">
        <f t="shared" si="12"/>
        <v xml:space="preserve"> </v>
      </c>
      <c r="V66" s="5">
        <f t="shared" si="13"/>
        <v>0</v>
      </c>
      <c r="W66" s="4" t="str">
        <f t="shared" si="14"/>
        <v xml:space="preserve"> </v>
      </c>
      <c r="X66" s="5">
        <f t="shared" si="15"/>
        <v>0</v>
      </c>
      <c r="Y66" s="4" t="str">
        <f t="shared" si="16"/>
        <v xml:space="preserve"> </v>
      </c>
      <c r="Z66" s="5">
        <f t="shared" si="17"/>
        <v>0</v>
      </c>
      <c r="AA66" s="4" t="str">
        <f t="shared" si="18"/>
        <v xml:space="preserve"> </v>
      </c>
      <c r="AB66" s="5">
        <f t="shared" si="19"/>
        <v>0</v>
      </c>
      <c r="AC66" s="4" t="str">
        <f t="shared" si="20"/>
        <v xml:space="preserve"> </v>
      </c>
      <c r="AD66" s="5">
        <f t="shared" si="21"/>
        <v>0</v>
      </c>
      <c r="AE66" s="4" t="str">
        <f t="shared" si="22"/>
        <v xml:space="preserve"> </v>
      </c>
      <c r="AF66" s="5">
        <f t="shared" si="23"/>
        <v>0</v>
      </c>
      <c r="AG66" s="4" t="str">
        <f t="shared" si="24"/>
        <v xml:space="preserve"> </v>
      </c>
      <c r="AH66" s="5">
        <f t="shared" si="25"/>
        <v>0</v>
      </c>
      <c r="AI66" s="4" t="str">
        <f t="shared" si="26"/>
        <v xml:space="preserve"> </v>
      </c>
      <c r="AJ66" s="5">
        <f t="shared" si="27"/>
        <v>0</v>
      </c>
      <c r="AK66" s="4" t="str">
        <f t="shared" si="28"/>
        <v xml:space="preserve"> </v>
      </c>
      <c r="AL66" s="5">
        <f t="shared" si="29"/>
        <v>0</v>
      </c>
      <c r="AM66" s="4" t="str">
        <f t="shared" si="30"/>
        <v xml:space="preserve"> </v>
      </c>
      <c r="AN66" s="5">
        <f t="shared" si="31"/>
        <v>0</v>
      </c>
      <c r="AO66" s="4" t="str">
        <f t="shared" si="32"/>
        <v xml:space="preserve"> </v>
      </c>
      <c r="AP66" s="5">
        <f t="shared" si="33"/>
        <v>0</v>
      </c>
      <c r="AQ66" s="4" t="str">
        <f t="shared" si="34"/>
        <v xml:space="preserve"> </v>
      </c>
      <c r="AR66" s="5">
        <f t="shared" si="35"/>
        <v>0</v>
      </c>
      <c r="AS66" s="4" t="str">
        <f t="shared" si="36"/>
        <v xml:space="preserve"> </v>
      </c>
      <c r="AT66" s="5">
        <f t="shared" si="37"/>
        <v>0</v>
      </c>
      <c r="AU66" s="4" t="str">
        <f t="shared" si="38"/>
        <v xml:space="preserve"> </v>
      </c>
      <c r="AV66" s="5">
        <f t="shared" si="39"/>
        <v>0</v>
      </c>
      <c r="AW66" s="4" t="str">
        <f t="shared" si="40"/>
        <v xml:space="preserve"> </v>
      </c>
    </row>
    <row r="67" spans="1:49" hidden="1" outlineLevel="1" x14ac:dyDescent="0.25">
      <c r="A67" s="1"/>
      <c r="B67" s="1"/>
      <c r="C67" s="1"/>
      <c r="D67" s="1"/>
      <c r="E67" s="1"/>
      <c r="F67" s="2"/>
      <c r="G67" s="2"/>
      <c r="H67" s="1"/>
      <c r="I67" s="5">
        <f t="shared" si="47"/>
        <v>0</v>
      </c>
      <c r="J67" s="5">
        <f t="shared" si="1"/>
        <v>0</v>
      </c>
      <c r="K67" s="4" t="str">
        <f t="shared" si="2"/>
        <v xml:space="preserve"> </v>
      </c>
      <c r="L67" s="5">
        <f t="shared" si="3"/>
        <v>0</v>
      </c>
      <c r="M67" s="4" t="str">
        <f t="shared" si="4"/>
        <v xml:space="preserve"> </v>
      </c>
      <c r="N67" s="5">
        <f t="shared" si="5"/>
        <v>0</v>
      </c>
      <c r="O67" s="4" t="str">
        <f t="shared" si="6"/>
        <v xml:space="preserve"> </v>
      </c>
      <c r="P67" s="5">
        <f t="shared" si="7"/>
        <v>0</v>
      </c>
      <c r="Q67" s="4" t="str">
        <f t="shared" si="8"/>
        <v xml:space="preserve"> </v>
      </c>
      <c r="R67" s="5">
        <f t="shared" si="9"/>
        <v>0</v>
      </c>
      <c r="S67" s="4" t="str">
        <f t="shared" si="10"/>
        <v xml:space="preserve"> </v>
      </c>
      <c r="T67" s="5">
        <f t="shared" si="11"/>
        <v>0</v>
      </c>
      <c r="U67" s="4" t="str">
        <f t="shared" si="12"/>
        <v xml:space="preserve"> </v>
      </c>
      <c r="V67" s="5">
        <f t="shared" si="13"/>
        <v>0</v>
      </c>
      <c r="W67" s="4" t="str">
        <f t="shared" si="14"/>
        <v xml:space="preserve"> </v>
      </c>
      <c r="X67" s="5">
        <f t="shared" si="15"/>
        <v>0</v>
      </c>
      <c r="Y67" s="4" t="str">
        <f t="shared" si="16"/>
        <v xml:space="preserve"> </v>
      </c>
      <c r="Z67" s="5">
        <f t="shared" si="17"/>
        <v>0</v>
      </c>
      <c r="AA67" s="4" t="str">
        <f t="shared" si="18"/>
        <v xml:space="preserve"> </v>
      </c>
      <c r="AB67" s="5">
        <f t="shared" si="19"/>
        <v>0</v>
      </c>
      <c r="AC67" s="4" t="str">
        <f t="shared" si="20"/>
        <v xml:space="preserve"> </v>
      </c>
      <c r="AD67" s="5">
        <f t="shared" si="21"/>
        <v>0</v>
      </c>
      <c r="AE67" s="4" t="str">
        <f t="shared" si="22"/>
        <v xml:space="preserve"> </v>
      </c>
      <c r="AF67" s="5">
        <f t="shared" si="23"/>
        <v>0</v>
      </c>
      <c r="AG67" s="4" t="str">
        <f t="shared" si="24"/>
        <v xml:space="preserve"> </v>
      </c>
      <c r="AH67" s="5">
        <f t="shared" si="25"/>
        <v>0</v>
      </c>
      <c r="AI67" s="4" t="str">
        <f t="shared" si="26"/>
        <v xml:space="preserve"> </v>
      </c>
      <c r="AJ67" s="5">
        <f t="shared" si="27"/>
        <v>0</v>
      </c>
      <c r="AK67" s="4" t="str">
        <f t="shared" si="28"/>
        <v xml:space="preserve"> </v>
      </c>
      <c r="AL67" s="5">
        <f t="shared" si="29"/>
        <v>0</v>
      </c>
      <c r="AM67" s="4" t="str">
        <f t="shared" si="30"/>
        <v xml:space="preserve"> </v>
      </c>
      <c r="AN67" s="5">
        <f t="shared" si="31"/>
        <v>0</v>
      </c>
      <c r="AO67" s="4" t="str">
        <f t="shared" si="32"/>
        <v xml:space="preserve"> </v>
      </c>
      <c r="AP67" s="5">
        <f t="shared" si="33"/>
        <v>0</v>
      </c>
      <c r="AQ67" s="4" t="str">
        <f t="shared" si="34"/>
        <v xml:space="preserve"> </v>
      </c>
      <c r="AR67" s="5">
        <f t="shared" si="35"/>
        <v>0</v>
      </c>
      <c r="AS67" s="4" t="str">
        <f t="shared" si="36"/>
        <v xml:space="preserve"> </v>
      </c>
      <c r="AT67" s="5">
        <f t="shared" si="37"/>
        <v>0</v>
      </c>
      <c r="AU67" s="4" t="str">
        <f t="shared" si="38"/>
        <v xml:space="preserve"> </v>
      </c>
      <c r="AV67" s="5">
        <f t="shared" si="39"/>
        <v>0</v>
      </c>
      <c r="AW67" s="4" t="str">
        <f t="shared" si="40"/>
        <v xml:space="preserve"> </v>
      </c>
    </row>
    <row r="68" spans="1:49" hidden="1" outlineLevel="1" x14ac:dyDescent="0.25">
      <c r="A68" s="1"/>
      <c r="B68" s="1"/>
      <c r="C68" s="1"/>
      <c r="D68" s="1"/>
      <c r="E68" s="1"/>
      <c r="F68" s="2"/>
      <c r="G68" s="2"/>
      <c r="H68" s="1"/>
      <c r="I68" s="5">
        <f t="shared" si="47"/>
        <v>0</v>
      </c>
      <c r="J68" s="5">
        <f t="shared" si="1"/>
        <v>0</v>
      </c>
      <c r="K68" s="4" t="str">
        <f t="shared" si="2"/>
        <v xml:space="preserve"> </v>
      </c>
      <c r="L68" s="5">
        <f t="shared" si="3"/>
        <v>0</v>
      </c>
      <c r="M68" s="4" t="str">
        <f t="shared" si="4"/>
        <v xml:space="preserve"> </v>
      </c>
      <c r="N68" s="5">
        <f t="shared" si="5"/>
        <v>0</v>
      </c>
      <c r="O68" s="4" t="str">
        <f t="shared" si="6"/>
        <v xml:space="preserve"> </v>
      </c>
      <c r="P68" s="5">
        <f t="shared" si="7"/>
        <v>0</v>
      </c>
      <c r="Q68" s="4" t="str">
        <f t="shared" si="8"/>
        <v xml:space="preserve"> </v>
      </c>
      <c r="R68" s="5">
        <f t="shared" si="9"/>
        <v>0</v>
      </c>
      <c r="S68" s="4" t="str">
        <f t="shared" si="10"/>
        <v xml:space="preserve"> </v>
      </c>
      <c r="T68" s="5">
        <f t="shared" si="11"/>
        <v>0</v>
      </c>
      <c r="U68" s="4" t="str">
        <f t="shared" si="12"/>
        <v xml:space="preserve"> </v>
      </c>
      <c r="V68" s="5">
        <f t="shared" si="13"/>
        <v>0</v>
      </c>
      <c r="W68" s="4" t="str">
        <f t="shared" si="14"/>
        <v xml:space="preserve"> </v>
      </c>
      <c r="X68" s="5">
        <f t="shared" si="15"/>
        <v>0</v>
      </c>
      <c r="Y68" s="4" t="str">
        <f t="shared" si="16"/>
        <v xml:space="preserve"> </v>
      </c>
      <c r="Z68" s="5">
        <f t="shared" si="17"/>
        <v>0</v>
      </c>
      <c r="AA68" s="4" t="str">
        <f t="shared" si="18"/>
        <v xml:space="preserve"> </v>
      </c>
      <c r="AB68" s="5">
        <f t="shared" si="19"/>
        <v>0</v>
      </c>
      <c r="AC68" s="4" t="str">
        <f t="shared" si="20"/>
        <v xml:space="preserve"> </v>
      </c>
      <c r="AD68" s="5">
        <f t="shared" si="21"/>
        <v>0</v>
      </c>
      <c r="AE68" s="4" t="str">
        <f t="shared" si="22"/>
        <v xml:space="preserve"> </v>
      </c>
      <c r="AF68" s="5">
        <f t="shared" si="23"/>
        <v>0</v>
      </c>
      <c r="AG68" s="4" t="str">
        <f t="shared" si="24"/>
        <v xml:space="preserve"> </v>
      </c>
      <c r="AH68" s="5">
        <f t="shared" si="25"/>
        <v>0</v>
      </c>
      <c r="AI68" s="4" t="str">
        <f t="shared" si="26"/>
        <v xml:space="preserve"> </v>
      </c>
      <c r="AJ68" s="5">
        <f t="shared" si="27"/>
        <v>0</v>
      </c>
      <c r="AK68" s="4" t="str">
        <f t="shared" si="28"/>
        <v xml:space="preserve"> </v>
      </c>
      <c r="AL68" s="5">
        <f t="shared" si="29"/>
        <v>0</v>
      </c>
      <c r="AM68" s="4" t="str">
        <f t="shared" si="30"/>
        <v xml:space="preserve"> </v>
      </c>
      <c r="AN68" s="5">
        <f t="shared" si="31"/>
        <v>0</v>
      </c>
      <c r="AO68" s="4" t="str">
        <f t="shared" si="32"/>
        <v xml:space="preserve"> </v>
      </c>
      <c r="AP68" s="5">
        <f t="shared" si="33"/>
        <v>0</v>
      </c>
      <c r="AQ68" s="4" t="str">
        <f t="shared" si="34"/>
        <v xml:space="preserve"> </v>
      </c>
      <c r="AR68" s="5">
        <f t="shared" si="35"/>
        <v>0</v>
      </c>
      <c r="AS68" s="4" t="str">
        <f t="shared" si="36"/>
        <v xml:space="preserve"> </v>
      </c>
      <c r="AT68" s="5">
        <f t="shared" si="37"/>
        <v>0</v>
      </c>
      <c r="AU68" s="4" t="str">
        <f t="shared" si="38"/>
        <v xml:space="preserve"> </v>
      </c>
      <c r="AV68" s="5">
        <f t="shared" si="39"/>
        <v>0</v>
      </c>
      <c r="AW68" s="4" t="str">
        <f t="shared" si="40"/>
        <v xml:space="preserve"> </v>
      </c>
    </row>
    <row r="69" spans="1:49" hidden="1" outlineLevel="1" x14ac:dyDescent="0.25">
      <c r="A69" s="1"/>
      <c r="B69" s="1"/>
      <c r="C69" s="1"/>
      <c r="D69" s="1"/>
      <c r="E69" s="1"/>
      <c r="F69" s="2"/>
      <c r="G69" s="2"/>
      <c r="H69" s="1"/>
      <c r="I69" s="5">
        <f t="shared" si="47"/>
        <v>0</v>
      </c>
      <c r="J69" s="5">
        <f t="shared" si="1"/>
        <v>0</v>
      </c>
      <c r="K69" s="4" t="str">
        <f t="shared" si="2"/>
        <v xml:space="preserve"> </v>
      </c>
      <c r="L69" s="5">
        <f t="shared" si="3"/>
        <v>0</v>
      </c>
      <c r="M69" s="4" t="str">
        <f t="shared" si="4"/>
        <v xml:space="preserve"> </v>
      </c>
      <c r="N69" s="5">
        <f t="shared" si="5"/>
        <v>0</v>
      </c>
      <c r="O69" s="4" t="str">
        <f t="shared" si="6"/>
        <v xml:space="preserve"> </v>
      </c>
      <c r="P69" s="5">
        <f t="shared" si="7"/>
        <v>0</v>
      </c>
      <c r="Q69" s="4" t="str">
        <f t="shared" si="8"/>
        <v xml:space="preserve"> </v>
      </c>
      <c r="R69" s="5">
        <f t="shared" si="9"/>
        <v>0</v>
      </c>
      <c r="S69" s="4" t="str">
        <f t="shared" si="10"/>
        <v xml:space="preserve"> </v>
      </c>
      <c r="T69" s="5">
        <f t="shared" si="11"/>
        <v>0</v>
      </c>
      <c r="U69" s="4" t="str">
        <f t="shared" si="12"/>
        <v xml:space="preserve"> </v>
      </c>
      <c r="V69" s="5">
        <f t="shared" si="13"/>
        <v>0</v>
      </c>
      <c r="W69" s="4" t="str">
        <f t="shared" si="14"/>
        <v xml:space="preserve"> </v>
      </c>
      <c r="X69" s="5">
        <f t="shared" si="15"/>
        <v>0</v>
      </c>
      <c r="Y69" s="4" t="str">
        <f t="shared" si="16"/>
        <v xml:space="preserve"> </v>
      </c>
      <c r="Z69" s="5">
        <f t="shared" si="17"/>
        <v>0</v>
      </c>
      <c r="AA69" s="4" t="str">
        <f t="shared" si="18"/>
        <v xml:space="preserve"> </v>
      </c>
      <c r="AB69" s="5">
        <f t="shared" si="19"/>
        <v>0</v>
      </c>
      <c r="AC69" s="4" t="str">
        <f t="shared" si="20"/>
        <v xml:space="preserve"> </v>
      </c>
      <c r="AD69" s="5">
        <f t="shared" si="21"/>
        <v>0</v>
      </c>
      <c r="AE69" s="4" t="str">
        <f t="shared" si="22"/>
        <v xml:space="preserve"> </v>
      </c>
      <c r="AF69" s="5">
        <f t="shared" si="23"/>
        <v>0</v>
      </c>
      <c r="AG69" s="4" t="str">
        <f t="shared" si="24"/>
        <v xml:space="preserve"> </v>
      </c>
      <c r="AH69" s="5">
        <f t="shared" si="25"/>
        <v>0</v>
      </c>
      <c r="AI69" s="4" t="str">
        <f t="shared" si="26"/>
        <v xml:space="preserve"> </v>
      </c>
      <c r="AJ69" s="5">
        <f t="shared" si="27"/>
        <v>0</v>
      </c>
      <c r="AK69" s="4" t="str">
        <f t="shared" si="28"/>
        <v xml:space="preserve"> </v>
      </c>
      <c r="AL69" s="5">
        <f t="shared" si="29"/>
        <v>0</v>
      </c>
      <c r="AM69" s="4" t="str">
        <f t="shared" si="30"/>
        <v xml:space="preserve"> </v>
      </c>
      <c r="AN69" s="5">
        <f t="shared" si="31"/>
        <v>0</v>
      </c>
      <c r="AO69" s="4" t="str">
        <f t="shared" si="32"/>
        <v xml:space="preserve"> </v>
      </c>
      <c r="AP69" s="5">
        <f t="shared" si="33"/>
        <v>0</v>
      </c>
      <c r="AQ69" s="4" t="str">
        <f t="shared" si="34"/>
        <v xml:space="preserve"> </v>
      </c>
      <c r="AR69" s="5">
        <f t="shared" si="35"/>
        <v>0</v>
      </c>
      <c r="AS69" s="4" t="str">
        <f t="shared" si="36"/>
        <v xml:space="preserve"> </v>
      </c>
      <c r="AT69" s="5">
        <f t="shared" si="37"/>
        <v>0</v>
      </c>
      <c r="AU69" s="4" t="str">
        <f t="shared" si="38"/>
        <v xml:space="preserve"> </v>
      </c>
      <c r="AV69" s="5">
        <f t="shared" si="39"/>
        <v>0</v>
      </c>
      <c r="AW69" s="4" t="str">
        <f t="shared" si="40"/>
        <v xml:space="preserve"> </v>
      </c>
    </row>
    <row r="70" spans="1:49" hidden="1" outlineLevel="1" x14ac:dyDescent="0.25">
      <c r="A70" s="1"/>
      <c r="B70" s="1"/>
      <c r="C70" s="1"/>
      <c r="D70" s="1"/>
      <c r="E70" s="1"/>
      <c r="F70" s="2"/>
      <c r="G70" s="2"/>
      <c r="H70" s="1"/>
      <c r="I70" s="5">
        <f t="shared" si="47"/>
        <v>0</v>
      </c>
      <c r="J70" s="5">
        <f t="shared" si="1"/>
        <v>0</v>
      </c>
      <c r="K70" s="4" t="str">
        <f t="shared" si="2"/>
        <v xml:space="preserve"> </v>
      </c>
      <c r="L70" s="5">
        <f t="shared" si="3"/>
        <v>0</v>
      </c>
      <c r="M70" s="4" t="str">
        <f t="shared" si="4"/>
        <v xml:space="preserve"> </v>
      </c>
      <c r="N70" s="5">
        <f t="shared" si="5"/>
        <v>0</v>
      </c>
      <c r="O70" s="4" t="str">
        <f t="shared" si="6"/>
        <v xml:space="preserve"> </v>
      </c>
      <c r="P70" s="5">
        <f t="shared" si="7"/>
        <v>0</v>
      </c>
      <c r="Q70" s="4" t="str">
        <f t="shared" si="8"/>
        <v xml:space="preserve"> </v>
      </c>
      <c r="R70" s="5">
        <f t="shared" si="9"/>
        <v>0</v>
      </c>
      <c r="S70" s="4" t="str">
        <f t="shared" si="10"/>
        <v xml:space="preserve"> </v>
      </c>
      <c r="T70" s="5">
        <f t="shared" si="11"/>
        <v>0</v>
      </c>
      <c r="U70" s="4" t="str">
        <f t="shared" si="12"/>
        <v xml:space="preserve"> </v>
      </c>
      <c r="V70" s="5">
        <f t="shared" si="13"/>
        <v>0</v>
      </c>
      <c r="W70" s="4" t="str">
        <f t="shared" si="14"/>
        <v xml:space="preserve"> </v>
      </c>
      <c r="X70" s="5">
        <f t="shared" si="15"/>
        <v>0</v>
      </c>
      <c r="Y70" s="4" t="str">
        <f t="shared" si="16"/>
        <v xml:space="preserve"> </v>
      </c>
      <c r="Z70" s="5">
        <f t="shared" si="17"/>
        <v>0</v>
      </c>
      <c r="AA70" s="4" t="str">
        <f t="shared" si="18"/>
        <v xml:space="preserve"> </v>
      </c>
      <c r="AB70" s="5">
        <f t="shared" si="19"/>
        <v>0</v>
      </c>
      <c r="AC70" s="4" t="str">
        <f t="shared" si="20"/>
        <v xml:space="preserve"> </v>
      </c>
      <c r="AD70" s="5">
        <f t="shared" si="21"/>
        <v>0</v>
      </c>
      <c r="AE70" s="4" t="str">
        <f t="shared" si="22"/>
        <v xml:space="preserve"> </v>
      </c>
      <c r="AF70" s="5">
        <f t="shared" si="23"/>
        <v>0</v>
      </c>
      <c r="AG70" s="4" t="str">
        <f t="shared" si="24"/>
        <v xml:space="preserve"> </v>
      </c>
      <c r="AH70" s="5">
        <f t="shared" si="25"/>
        <v>0</v>
      </c>
      <c r="AI70" s="4" t="str">
        <f t="shared" si="26"/>
        <v xml:space="preserve"> </v>
      </c>
      <c r="AJ70" s="5">
        <f t="shared" si="27"/>
        <v>0</v>
      </c>
      <c r="AK70" s="4" t="str">
        <f t="shared" si="28"/>
        <v xml:space="preserve"> </v>
      </c>
      <c r="AL70" s="5">
        <f t="shared" si="29"/>
        <v>0</v>
      </c>
      <c r="AM70" s="4" t="str">
        <f t="shared" si="30"/>
        <v xml:space="preserve"> </v>
      </c>
      <c r="AN70" s="5">
        <f t="shared" si="31"/>
        <v>0</v>
      </c>
      <c r="AO70" s="4" t="str">
        <f t="shared" si="32"/>
        <v xml:space="preserve"> </v>
      </c>
      <c r="AP70" s="5">
        <f t="shared" si="33"/>
        <v>0</v>
      </c>
      <c r="AQ70" s="4" t="str">
        <f t="shared" si="34"/>
        <v xml:space="preserve"> </v>
      </c>
      <c r="AR70" s="5">
        <f t="shared" si="35"/>
        <v>0</v>
      </c>
      <c r="AS70" s="4" t="str">
        <f t="shared" si="36"/>
        <v xml:space="preserve"> </v>
      </c>
      <c r="AT70" s="5">
        <f t="shared" si="37"/>
        <v>0</v>
      </c>
      <c r="AU70" s="4" t="str">
        <f t="shared" si="38"/>
        <v xml:space="preserve"> </v>
      </c>
      <c r="AV70" s="5">
        <f t="shared" si="39"/>
        <v>0</v>
      </c>
      <c r="AW70" s="4" t="str">
        <f t="shared" si="40"/>
        <v xml:space="preserve"> </v>
      </c>
    </row>
    <row r="71" spans="1:49" collapsed="1" x14ac:dyDescent="0.25">
      <c r="A71" s="69" t="s">
        <v>25</v>
      </c>
      <c r="B71" s="69"/>
      <c r="C71" s="69"/>
      <c r="D71" s="69"/>
      <c r="E71" s="69"/>
      <c r="F71" s="69"/>
      <c r="G71" s="69"/>
      <c r="H71" s="69"/>
      <c r="I71" s="19">
        <f>SUM(I11:I70)</f>
        <v>0</v>
      </c>
      <c r="J71" s="19"/>
      <c r="K71" s="6">
        <f>SUM(K11:K70)</f>
        <v>0</v>
      </c>
      <c r="L71" s="6"/>
      <c r="M71" s="6">
        <f t="shared" ref="M71:AW71" si="48">SUM(M11:M70)</f>
        <v>0</v>
      </c>
      <c r="N71" s="6"/>
      <c r="O71" s="6">
        <f t="shared" si="48"/>
        <v>0</v>
      </c>
      <c r="P71" s="6"/>
      <c r="Q71" s="6">
        <f t="shared" si="48"/>
        <v>0</v>
      </c>
      <c r="R71" s="6"/>
      <c r="S71" s="6">
        <f t="shared" si="48"/>
        <v>0</v>
      </c>
      <c r="T71" s="6"/>
      <c r="U71" s="6">
        <f t="shared" si="48"/>
        <v>0</v>
      </c>
      <c r="V71" s="6"/>
      <c r="W71" s="6">
        <f t="shared" si="48"/>
        <v>0</v>
      </c>
      <c r="X71" s="6"/>
      <c r="Y71" s="6">
        <f t="shared" si="48"/>
        <v>0</v>
      </c>
      <c r="Z71" s="6"/>
      <c r="AA71" s="6">
        <f t="shared" si="48"/>
        <v>0</v>
      </c>
      <c r="AB71" s="6"/>
      <c r="AC71" s="6">
        <f t="shared" si="48"/>
        <v>0</v>
      </c>
      <c r="AD71" s="6"/>
      <c r="AE71" s="6">
        <f t="shared" si="48"/>
        <v>0</v>
      </c>
      <c r="AF71" s="6"/>
      <c r="AG71" s="6">
        <f t="shared" si="48"/>
        <v>0</v>
      </c>
      <c r="AH71" s="6"/>
      <c r="AI71" s="6">
        <f t="shared" si="48"/>
        <v>0</v>
      </c>
      <c r="AJ71" s="6"/>
      <c r="AK71" s="6">
        <f t="shared" si="48"/>
        <v>0</v>
      </c>
      <c r="AL71" s="6"/>
      <c r="AM71" s="6">
        <f t="shared" si="48"/>
        <v>0</v>
      </c>
      <c r="AN71" s="6"/>
      <c r="AO71" s="6">
        <f t="shared" si="48"/>
        <v>0</v>
      </c>
      <c r="AP71" s="6"/>
      <c r="AQ71" s="6">
        <f t="shared" si="48"/>
        <v>0</v>
      </c>
      <c r="AR71" s="6" t="e">
        <f t="shared" si="48"/>
        <v>#VALUE!</v>
      </c>
      <c r="AS71" s="6">
        <f t="shared" si="48"/>
        <v>0</v>
      </c>
      <c r="AT71" s="6" t="e">
        <f t="shared" si="48"/>
        <v>#VALUE!</v>
      </c>
      <c r="AU71" s="6">
        <f t="shared" si="48"/>
        <v>0</v>
      </c>
      <c r="AV71" s="6" t="e">
        <f t="shared" si="48"/>
        <v>#VALUE!</v>
      </c>
      <c r="AW71" s="6">
        <f t="shared" si="48"/>
        <v>0</v>
      </c>
    </row>
    <row r="75" spans="1:49" ht="15" customHeight="1" x14ac:dyDescent="0.25">
      <c r="E75" s="46"/>
      <c r="F75" s="46"/>
      <c r="G75" s="46"/>
      <c r="H75" s="46"/>
      <c r="I75" s="46"/>
      <c r="J75" s="46"/>
      <c r="K75" s="46"/>
      <c r="L75" s="46"/>
      <c r="M75" s="46"/>
      <c r="N75" s="46"/>
      <c r="O75" s="46"/>
      <c r="P75" s="17"/>
    </row>
    <row r="76" spans="1:49" x14ac:dyDescent="0.25">
      <c r="E76" s="46"/>
      <c r="F76" s="46"/>
      <c r="G76" s="46"/>
      <c r="H76" s="46"/>
      <c r="I76" s="46"/>
      <c r="J76" s="46"/>
      <c r="K76" s="46"/>
      <c r="L76" s="46"/>
      <c r="M76" s="46"/>
      <c r="N76" s="46"/>
      <c r="O76" s="46"/>
      <c r="P76" s="17"/>
    </row>
    <row r="77" spans="1:49" x14ac:dyDescent="0.25">
      <c r="E77" s="46"/>
      <c r="F77" s="46"/>
      <c r="G77" s="46"/>
      <c r="H77" s="46"/>
      <c r="I77" s="46"/>
      <c r="J77" s="46"/>
      <c r="K77" s="46"/>
      <c r="L77" s="46"/>
      <c r="M77" s="46"/>
      <c r="N77" s="46"/>
      <c r="O77" s="46"/>
      <c r="P77" s="17"/>
    </row>
    <row r="78" spans="1:49" x14ac:dyDescent="0.25">
      <c r="E78" s="46"/>
      <c r="F78" s="46"/>
      <c r="G78" s="46"/>
      <c r="H78" s="46"/>
      <c r="I78" s="46"/>
      <c r="J78" s="46"/>
      <c r="K78" s="46"/>
      <c r="L78" s="46"/>
      <c r="M78" s="46"/>
      <c r="N78" s="46"/>
      <c r="O78" s="46"/>
      <c r="P78" s="17"/>
    </row>
    <row r="79" spans="1:49" x14ac:dyDescent="0.25">
      <c r="E79" s="46"/>
      <c r="F79" s="46"/>
      <c r="G79" s="46"/>
      <c r="H79" s="46"/>
      <c r="I79" s="46"/>
      <c r="J79" s="46"/>
      <c r="K79" s="46"/>
      <c r="L79" s="46"/>
      <c r="M79" s="46"/>
      <c r="N79" s="46"/>
      <c r="O79" s="46"/>
      <c r="P79" s="17"/>
    </row>
    <row r="80" spans="1:49" x14ac:dyDescent="0.25">
      <c r="E80" s="46"/>
      <c r="F80" s="46"/>
      <c r="G80" s="46"/>
      <c r="H80" s="46"/>
      <c r="I80" s="46"/>
      <c r="J80" s="46"/>
      <c r="K80" s="46"/>
      <c r="L80" s="46"/>
      <c r="M80" s="46"/>
      <c r="N80" s="46"/>
      <c r="O80" s="46"/>
      <c r="P80" s="17"/>
    </row>
    <row r="81" spans="5:16" x14ac:dyDescent="0.25">
      <c r="E81" s="46"/>
      <c r="F81" s="46"/>
      <c r="G81" s="46"/>
      <c r="H81" s="46"/>
      <c r="I81" s="46"/>
      <c r="J81" s="46"/>
      <c r="K81" s="46"/>
      <c r="L81" s="46"/>
      <c r="M81" s="46"/>
      <c r="N81" s="46"/>
      <c r="O81" s="46"/>
      <c r="P81" s="17"/>
    </row>
    <row r="82" spans="5:16" x14ac:dyDescent="0.25">
      <c r="E82" s="46"/>
      <c r="F82" s="46"/>
      <c r="G82" s="46"/>
      <c r="H82" s="46"/>
      <c r="I82" s="46"/>
      <c r="J82" s="46"/>
      <c r="K82" s="46"/>
      <c r="L82" s="46"/>
      <c r="M82" s="46"/>
      <c r="N82" s="46"/>
      <c r="O82" s="46"/>
      <c r="P82" s="17"/>
    </row>
    <row r="83" spans="5:16" x14ac:dyDescent="0.25">
      <c r="E83" s="46"/>
      <c r="F83" s="46"/>
      <c r="G83" s="46"/>
      <c r="H83" s="46"/>
      <c r="I83" s="46"/>
      <c r="J83" s="46"/>
      <c r="K83" s="46"/>
      <c r="L83" s="46"/>
      <c r="M83" s="46"/>
      <c r="N83" s="46"/>
      <c r="O83" s="46"/>
      <c r="P83" s="17"/>
    </row>
    <row r="84" spans="5:16" x14ac:dyDescent="0.25">
      <c r="E84" s="15"/>
    </row>
  </sheetData>
  <mergeCells count="9">
    <mergeCell ref="AY9:BD9"/>
    <mergeCell ref="K9:AW9"/>
    <mergeCell ref="E2:H2"/>
    <mergeCell ref="A71:H71"/>
    <mergeCell ref="A9:A10"/>
    <mergeCell ref="E9:E10"/>
    <mergeCell ref="G9:G10"/>
    <mergeCell ref="H9:H10"/>
    <mergeCell ref="F9:F10"/>
  </mergeCells>
  <dataValidations count="3">
    <dataValidation type="whole" allowBlank="1" showInputMessage="1" showErrorMessage="1" errorTitle="Invalid entry" error="Entry must be a number of years between 2 and 50." sqref="G56:G70" xr:uid="{00000000-0002-0000-0100-000000000000}">
      <formula1>2</formula1>
      <formula2>50</formula2>
    </dataValidation>
    <dataValidation type="whole" allowBlank="1" showInputMessage="1" showErrorMessage="1" errorTitle="Invalid entry" error="Entry must be a fiscal year in YYYY format (e.g. 2012)." sqref="F56:F70" xr:uid="{00000000-0002-0000-0100-000001000000}">
      <formula1>1990</formula1>
      <formula2>2050</formula2>
    </dataValidation>
    <dataValidation type="textLength" allowBlank="1" showInputMessage="1" showErrorMessage="1" errorTitle="Locked Cell" error="This value is based on a formula and should not be modified." sqref="I11:AW71 H5:H7" xr:uid="{00000000-0002-0000-0100-000002000000}">
      <formula1>0</formula1>
      <formula2>0</formula2>
    </dataValidation>
  </dataValidations>
  <pageMargins left="0.7" right="0.7" top="0.75" bottom="0.75" header="0.3" footer="0.3"/>
  <pageSetup orientation="portrait" r:id="rId1"/>
  <ignoredErrors>
    <ignoredError sqref="K11:AU55"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786-A2E1-4CE5-83ED-9F23D766B225}">
  <sheetPr>
    <tabColor rgb="FF92D050"/>
  </sheetPr>
  <dimension ref="A1:F46"/>
  <sheetViews>
    <sheetView tabSelected="1" workbookViewId="0">
      <selection activeCell="E17" sqref="E17"/>
    </sheetView>
  </sheetViews>
  <sheetFormatPr defaultRowHeight="15" x14ac:dyDescent="0.25"/>
  <cols>
    <col min="1" max="1" width="11.7109375" bestFit="1" customWidth="1"/>
    <col min="2" max="2" width="15.42578125" bestFit="1" customWidth="1"/>
    <col min="3" max="3" width="19" bestFit="1" customWidth="1"/>
    <col min="4" max="4" width="21.140625" bestFit="1" customWidth="1"/>
    <col min="5" max="5" width="12" bestFit="1" customWidth="1"/>
    <col min="6" max="6" width="10.85546875" bestFit="1" customWidth="1"/>
  </cols>
  <sheetData>
    <row r="1" spans="1:6" x14ac:dyDescent="0.25">
      <c r="A1" s="59" t="s">
        <v>45</v>
      </c>
      <c r="B1" s="59" t="s">
        <v>60</v>
      </c>
      <c r="C1" s="60" t="s">
        <v>47</v>
      </c>
      <c r="D1" s="60" t="s">
        <v>57</v>
      </c>
      <c r="E1" s="61" t="str">
        <f>IF(AND(D1&lt;&gt;"",'Depreciation Schedule'!BD10=""),0,'Depreciation Schedule'!BD10)</f>
        <v>Amount</v>
      </c>
      <c r="F1" s="51" t="s">
        <v>48</v>
      </c>
    </row>
    <row r="2" spans="1:6" x14ac:dyDescent="0.25">
      <c r="A2" s="54" t="str">
        <f>'Depreciation Schedule'!AY11</f>
        <v/>
      </c>
      <c r="B2" s="54" t="str">
        <f>'Depreciation Schedule'!AZ11</f>
        <v/>
      </c>
      <c r="C2" s="54" t="str">
        <f>'Depreciation Schedule'!BA11</f>
        <v/>
      </c>
      <c r="D2" t="str">
        <f>'Depreciation Schedule'!BC11</f>
        <v/>
      </c>
      <c r="E2" t="e">
        <f>IF(AND('Depreciation Schedule'!A11&lt;&gt;"",'Depreciation Schedule'!BD11=" "),0,'Depreciation Schedule'!BD11)</f>
        <v>#N/A</v>
      </c>
      <c r="F2" s="58" t="str">
        <f>'Depreciation Schedule'!BB11</f>
        <v/>
      </c>
    </row>
    <row r="3" spans="1:6" x14ac:dyDescent="0.25">
      <c r="A3" s="54" t="str">
        <f>'Depreciation Schedule'!AY12</f>
        <v/>
      </c>
      <c r="B3" s="54" t="str">
        <f>'Depreciation Schedule'!AZ12</f>
        <v/>
      </c>
      <c r="C3" s="54" t="str">
        <f>'Depreciation Schedule'!BA12</f>
        <v/>
      </c>
      <c r="D3" t="str">
        <f>'Depreciation Schedule'!BC12</f>
        <v/>
      </c>
      <c r="E3" t="e">
        <f>IF(AND('Depreciation Schedule'!A12&lt;&gt;"",'Depreciation Schedule'!BD12=" "),0,'Depreciation Schedule'!BD12)</f>
        <v>#N/A</v>
      </c>
      <c r="F3" s="58" t="str">
        <f>'Depreciation Schedule'!BB12</f>
        <v/>
      </c>
    </row>
    <row r="4" spans="1:6" x14ac:dyDescent="0.25">
      <c r="A4" s="54" t="str">
        <f>'Depreciation Schedule'!AY13</f>
        <v/>
      </c>
      <c r="B4" s="54" t="str">
        <f>'Depreciation Schedule'!AZ13</f>
        <v/>
      </c>
      <c r="C4" s="54" t="str">
        <f>'Depreciation Schedule'!BA13</f>
        <v/>
      </c>
      <c r="D4" t="str">
        <f>'Depreciation Schedule'!BC13</f>
        <v/>
      </c>
      <c r="E4" t="e">
        <f>IF(AND('Depreciation Schedule'!A13&lt;&gt;"",'Depreciation Schedule'!BD13=" "),0,'Depreciation Schedule'!BD13)</f>
        <v>#N/A</v>
      </c>
      <c r="F4" s="58" t="str">
        <f>'Depreciation Schedule'!BB13</f>
        <v/>
      </c>
    </row>
    <row r="5" spans="1:6" x14ac:dyDescent="0.25">
      <c r="A5" s="54" t="str">
        <f>'Depreciation Schedule'!AY14</f>
        <v/>
      </c>
      <c r="B5" s="54" t="str">
        <f>'Depreciation Schedule'!AZ14</f>
        <v/>
      </c>
      <c r="C5" s="54" t="str">
        <f>'Depreciation Schedule'!BA14</f>
        <v/>
      </c>
      <c r="D5" t="str">
        <f>'Depreciation Schedule'!BC14</f>
        <v/>
      </c>
      <c r="E5" t="e">
        <f>IF(AND('Depreciation Schedule'!A14&lt;&gt;"",'Depreciation Schedule'!BD14=" "),0,'Depreciation Schedule'!BD14)</f>
        <v>#N/A</v>
      </c>
      <c r="F5" s="58" t="str">
        <f>'Depreciation Schedule'!BB14</f>
        <v/>
      </c>
    </row>
    <row r="6" spans="1:6" x14ac:dyDescent="0.25">
      <c r="A6" s="54" t="str">
        <f>'Depreciation Schedule'!AY15</f>
        <v/>
      </c>
      <c r="B6" s="54" t="str">
        <f>'Depreciation Schedule'!AZ15</f>
        <v/>
      </c>
      <c r="C6" s="54" t="str">
        <f>'Depreciation Schedule'!BA15</f>
        <v/>
      </c>
      <c r="D6" t="str">
        <f>'Depreciation Schedule'!BC15</f>
        <v/>
      </c>
      <c r="E6" t="e">
        <f>IF(AND('Depreciation Schedule'!A15&lt;&gt;"",'Depreciation Schedule'!BD15=" "),0,'Depreciation Schedule'!BD15)</f>
        <v>#N/A</v>
      </c>
      <c r="F6" s="58" t="str">
        <f>'Depreciation Schedule'!BB15</f>
        <v/>
      </c>
    </row>
    <row r="7" spans="1:6" x14ac:dyDescent="0.25">
      <c r="A7" s="54" t="str">
        <f>'Depreciation Schedule'!AY16</f>
        <v/>
      </c>
      <c r="B7" s="54" t="str">
        <f>'Depreciation Schedule'!AZ16</f>
        <v/>
      </c>
      <c r="C7" s="54" t="str">
        <f>'Depreciation Schedule'!BA16</f>
        <v/>
      </c>
      <c r="D7" t="str">
        <f>'Depreciation Schedule'!BC16</f>
        <v/>
      </c>
      <c r="E7" t="e">
        <f>IF(AND('Depreciation Schedule'!A16&lt;&gt;"",'Depreciation Schedule'!BD16=" "),0,'Depreciation Schedule'!BD16)</f>
        <v>#N/A</v>
      </c>
      <c r="F7" s="58" t="str">
        <f>'Depreciation Schedule'!BB16</f>
        <v/>
      </c>
    </row>
    <row r="8" spans="1:6" x14ac:dyDescent="0.25">
      <c r="A8" s="54" t="str">
        <f>'Depreciation Schedule'!AY17</f>
        <v/>
      </c>
      <c r="B8" s="54" t="str">
        <f>'Depreciation Schedule'!AZ17</f>
        <v/>
      </c>
      <c r="C8" s="54" t="str">
        <f>'Depreciation Schedule'!BA17</f>
        <v/>
      </c>
      <c r="D8" t="str">
        <f>'Depreciation Schedule'!BC17</f>
        <v/>
      </c>
      <c r="E8" t="e">
        <f>IF(AND('Depreciation Schedule'!A17&lt;&gt;"",'Depreciation Schedule'!BD17=" "),0,'Depreciation Schedule'!BD17)</f>
        <v>#N/A</v>
      </c>
      <c r="F8" s="58" t="str">
        <f>'Depreciation Schedule'!BB17</f>
        <v/>
      </c>
    </row>
    <row r="9" spans="1:6" x14ac:dyDescent="0.25">
      <c r="A9" s="54" t="str">
        <f>'Depreciation Schedule'!AY18</f>
        <v/>
      </c>
      <c r="B9" s="54" t="str">
        <f>'Depreciation Schedule'!AZ18</f>
        <v/>
      </c>
      <c r="C9" s="54" t="str">
        <f>'Depreciation Schedule'!BA18</f>
        <v/>
      </c>
      <c r="D9" t="str">
        <f>'Depreciation Schedule'!BC18</f>
        <v/>
      </c>
      <c r="E9" t="e">
        <f>IF(AND('Depreciation Schedule'!A18&lt;&gt;"",'Depreciation Schedule'!BD18=" "),0,'Depreciation Schedule'!BD18)</f>
        <v>#N/A</v>
      </c>
      <c r="F9" s="58" t="str">
        <f>'Depreciation Schedule'!BB18</f>
        <v/>
      </c>
    </row>
    <row r="10" spans="1:6" x14ac:dyDescent="0.25">
      <c r="A10" s="54" t="str">
        <f>'Depreciation Schedule'!AY19</f>
        <v/>
      </c>
      <c r="B10" s="54" t="str">
        <f>'Depreciation Schedule'!AZ19</f>
        <v/>
      </c>
      <c r="C10" s="54" t="str">
        <f>'Depreciation Schedule'!BA19</f>
        <v/>
      </c>
      <c r="D10" t="str">
        <f>'Depreciation Schedule'!BC19</f>
        <v/>
      </c>
      <c r="E10" t="e">
        <f>IF(AND('Depreciation Schedule'!A19&lt;&gt;"",'Depreciation Schedule'!BD19=" "),0,'Depreciation Schedule'!BD19)</f>
        <v>#N/A</v>
      </c>
      <c r="F10" s="58" t="str">
        <f>'Depreciation Schedule'!BB19</f>
        <v/>
      </c>
    </row>
    <row r="11" spans="1:6" x14ac:dyDescent="0.25">
      <c r="A11" s="54" t="str">
        <f>'Depreciation Schedule'!AY20</f>
        <v/>
      </c>
      <c r="B11" s="54" t="str">
        <f>'Depreciation Schedule'!AZ20</f>
        <v/>
      </c>
      <c r="C11" s="54" t="str">
        <f>'Depreciation Schedule'!BA20</f>
        <v/>
      </c>
      <c r="D11" t="str">
        <f>'Depreciation Schedule'!BC20</f>
        <v/>
      </c>
      <c r="E11" t="e">
        <f>IF(AND('Depreciation Schedule'!A20&lt;&gt;"",'Depreciation Schedule'!BD20=" "),0,'Depreciation Schedule'!BD20)</f>
        <v>#N/A</v>
      </c>
      <c r="F11" s="58" t="str">
        <f>'Depreciation Schedule'!BB20</f>
        <v/>
      </c>
    </row>
    <row r="12" spans="1:6" x14ac:dyDescent="0.25">
      <c r="A12" s="54" t="str">
        <f>'Depreciation Schedule'!AY21</f>
        <v/>
      </c>
      <c r="B12" s="54" t="str">
        <f>'Depreciation Schedule'!AZ21</f>
        <v/>
      </c>
      <c r="C12" s="54" t="str">
        <f>'Depreciation Schedule'!BA21</f>
        <v/>
      </c>
      <c r="D12" t="str">
        <f>'Depreciation Schedule'!BC21</f>
        <v/>
      </c>
      <c r="E12" t="e">
        <f>IF(AND('Depreciation Schedule'!A21&lt;&gt;"",'Depreciation Schedule'!BD21=" "),0,'Depreciation Schedule'!BD21)</f>
        <v>#N/A</v>
      </c>
      <c r="F12" s="58" t="str">
        <f>'Depreciation Schedule'!BB21</f>
        <v/>
      </c>
    </row>
    <row r="13" spans="1:6" x14ac:dyDescent="0.25">
      <c r="A13" s="54" t="str">
        <f>'Depreciation Schedule'!AY22</f>
        <v/>
      </c>
      <c r="B13" s="54" t="str">
        <f>'Depreciation Schedule'!AZ22</f>
        <v/>
      </c>
      <c r="C13" s="54" t="str">
        <f>'Depreciation Schedule'!BA22</f>
        <v/>
      </c>
      <c r="D13" t="str">
        <f>'Depreciation Schedule'!BC22</f>
        <v/>
      </c>
      <c r="E13" t="e">
        <f>IF(AND('Depreciation Schedule'!A22&lt;&gt;"",'Depreciation Schedule'!BD22=" "),0,'Depreciation Schedule'!BD22)</f>
        <v>#N/A</v>
      </c>
      <c r="F13" s="58" t="str">
        <f>'Depreciation Schedule'!BB22</f>
        <v/>
      </c>
    </row>
    <row r="14" spans="1:6" x14ac:dyDescent="0.25">
      <c r="A14" s="54" t="str">
        <f>'Depreciation Schedule'!AY23</f>
        <v/>
      </c>
      <c r="B14" s="54" t="str">
        <f>'Depreciation Schedule'!AZ23</f>
        <v/>
      </c>
      <c r="C14" s="54" t="str">
        <f>'Depreciation Schedule'!BA23</f>
        <v/>
      </c>
      <c r="D14" t="str">
        <f>'Depreciation Schedule'!BC23</f>
        <v/>
      </c>
      <c r="E14" t="e">
        <f>IF(AND('Depreciation Schedule'!A23&lt;&gt;"",'Depreciation Schedule'!BD23=" "),0,'Depreciation Schedule'!BD23)</f>
        <v>#N/A</v>
      </c>
      <c r="F14" s="58" t="str">
        <f>'Depreciation Schedule'!BB23</f>
        <v/>
      </c>
    </row>
    <row r="15" spans="1:6" x14ac:dyDescent="0.25">
      <c r="A15" s="54" t="str">
        <f>'Depreciation Schedule'!AY24</f>
        <v/>
      </c>
      <c r="B15" s="54" t="str">
        <f>'Depreciation Schedule'!AZ24</f>
        <v/>
      </c>
      <c r="C15" s="54" t="str">
        <f>'Depreciation Schedule'!BA24</f>
        <v/>
      </c>
      <c r="D15" t="str">
        <f>'Depreciation Schedule'!BC24</f>
        <v/>
      </c>
      <c r="E15" t="e">
        <f>IF(AND('Depreciation Schedule'!A24&lt;&gt;"",'Depreciation Schedule'!BD24=" "),0,'Depreciation Schedule'!BD24)</f>
        <v>#N/A</v>
      </c>
      <c r="F15" s="58" t="str">
        <f>'Depreciation Schedule'!BB24</f>
        <v/>
      </c>
    </row>
    <row r="16" spans="1:6" x14ac:dyDescent="0.25">
      <c r="A16" s="54" t="str">
        <f>'Depreciation Schedule'!AY25</f>
        <v/>
      </c>
      <c r="B16" s="54" t="str">
        <f>'Depreciation Schedule'!AZ25</f>
        <v/>
      </c>
      <c r="C16" s="54" t="str">
        <f>'Depreciation Schedule'!BA25</f>
        <v/>
      </c>
      <c r="D16" t="str">
        <f>'Depreciation Schedule'!BC25</f>
        <v/>
      </c>
      <c r="E16" t="e">
        <f>IF(AND('Depreciation Schedule'!A25&lt;&gt;"",'Depreciation Schedule'!BD25=" "),0,'Depreciation Schedule'!BD25)</f>
        <v>#N/A</v>
      </c>
      <c r="F16" s="58" t="str">
        <f>'Depreciation Schedule'!BB25</f>
        <v/>
      </c>
    </row>
    <row r="17" spans="1:6" x14ac:dyDescent="0.25">
      <c r="A17" s="54" t="str">
        <f>'Depreciation Schedule'!AY26</f>
        <v/>
      </c>
      <c r="B17" s="54" t="str">
        <f>'Depreciation Schedule'!AZ26</f>
        <v/>
      </c>
      <c r="C17" s="54" t="str">
        <f>'Depreciation Schedule'!BA26</f>
        <v/>
      </c>
      <c r="D17" t="str">
        <f>'Depreciation Schedule'!BC26</f>
        <v/>
      </c>
      <c r="E17" t="e">
        <f>IF(AND('Depreciation Schedule'!A26&lt;&gt;"",'Depreciation Schedule'!BD26=" "),0,'Depreciation Schedule'!BD26)</f>
        <v>#N/A</v>
      </c>
      <c r="F17" s="58" t="str">
        <f>'Depreciation Schedule'!BB26</f>
        <v/>
      </c>
    </row>
    <row r="18" spans="1:6" x14ac:dyDescent="0.25">
      <c r="A18" s="54" t="str">
        <f>'Depreciation Schedule'!AY27</f>
        <v/>
      </c>
      <c r="B18" s="54" t="str">
        <f>'Depreciation Schedule'!AZ27</f>
        <v/>
      </c>
      <c r="C18" s="54" t="str">
        <f>'Depreciation Schedule'!BA27</f>
        <v/>
      </c>
      <c r="D18" t="str">
        <f>'Depreciation Schedule'!BC27</f>
        <v/>
      </c>
      <c r="E18" t="e">
        <f>IF(AND('Depreciation Schedule'!A27&lt;&gt;"",'Depreciation Schedule'!BD27=" "),0,'Depreciation Schedule'!BD27)</f>
        <v>#N/A</v>
      </c>
      <c r="F18" s="58" t="str">
        <f>'Depreciation Schedule'!BB27</f>
        <v/>
      </c>
    </row>
    <row r="19" spans="1:6" x14ac:dyDescent="0.25">
      <c r="A19" s="54" t="str">
        <f>'Depreciation Schedule'!AY28</f>
        <v/>
      </c>
      <c r="B19" s="54" t="str">
        <f>'Depreciation Schedule'!AZ28</f>
        <v/>
      </c>
      <c r="C19" s="54" t="str">
        <f>'Depreciation Schedule'!BA28</f>
        <v/>
      </c>
      <c r="D19" t="str">
        <f>'Depreciation Schedule'!BC28</f>
        <v/>
      </c>
      <c r="E19" t="e">
        <f>IF(AND('Depreciation Schedule'!A28&lt;&gt;"",'Depreciation Schedule'!BD28=" "),0,'Depreciation Schedule'!BD28)</f>
        <v>#N/A</v>
      </c>
      <c r="F19" s="58" t="str">
        <f>'Depreciation Schedule'!BB28</f>
        <v/>
      </c>
    </row>
    <row r="20" spans="1:6" x14ac:dyDescent="0.25">
      <c r="A20" s="54" t="str">
        <f>'Depreciation Schedule'!AY29</f>
        <v/>
      </c>
      <c r="B20" s="54" t="str">
        <f>'Depreciation Schedule'!AZ29</f>
        <v/>
      </c>
      <c r="C20" s="54" t="str">
        <f>'Depreciation Schedule'!BA29</f>
        <v/>
      </c>
      <c r="D20" t="str">
        <f>'Depreciation Schedule'!BC29</f>
        <v/>
      </c>
      <c r="E20" t="e">
        <f>IF(AND('Depreciation Schedule'!A29&lt;&gt;"",'Depreciation Schedule'!BD29=" "),0,'Depreciation Schedule'!BD29)</f>
        <v>#N/A</v>
      </c>
      <c r="F20" s="58" t="str">
        <f>'Depreciation Schedule'!BB29</f>
        <v/>
      </c>
    </row>
    <row r="21" spans="1:6" x14ac:dyDescent="0.25">
      <c r="A21" s="54" t="str">
        <f>'Depreciation Schedule'!AY30</f>
        <v/>
      </c>
      <c r="B21" s="54" t="str">
        <f>'Depreciation Schedule'!AZ30</f>
        <v/>
      </c>
      <c r="C21" s="54" t="str">
        <f>'Depreciation Schedule'!BA30</f>
        <v/>
      </c>
      <c r="D21" t="str">
        <f>'Depreciation Schedule'!BC30</f>
        <v/>
      </c>
      <c r="E21" t="e">
        <f>IF(AND('Depreciation Schedule'!A30&lt;&gt;"",'Depreciation Schedule'!BD30=" "),0,'Depreciation Schedule'!BD30)</f>
        <v>#N/A</v>
      </c>
      <c r="F21" s="58" t="str">
        <f>'Depreciation Schedule'!BB30</f>
        <v/>
      </c>
    </row>
    <row r="22" spans="1:6" x14ac:dyDescent="0.25">
      <c r="A22" s="54" t="str">
        <f>'Depreciation Schedule'!AY31</f>
        <v/>
      </c>
      <c r="B22" s="54" t="str">
        <f>'Depreciation Schedule'!AZ31</f>
        <v/>
      </c>
      <c r="C22" s="54" t="str">
        <f>'Depreciation Schedule'!BA31</f>
        <v/>
      </c>
      <c r="D22" t="str">
        <f>'Depreciation Schedule'!BC31</f>
        <v/>
      </c>
      <c r="E22" t="e">
        <f>IF(AND('Depreciation Schedule'!A31&lt;&gt;"",'Depreciation Schedule'!BD31=" "),0,'Depreciation Schedule'!BD31)</f>
        <v>#N/A</v>
      </c>
      <c r="F22" s="58" t="str">
        <f>'Depreciation Schedule'!BB31</f>
        <v/>
      </c>
    </row>
    <row r="23" spans="1:6" x14ac:dyDescent="0.25">
      <c r="A23" s="54" t="str">
        <f>'Depreciation Schedule'!AY32</f>
        <v/>
      </c>
      <c r="B23" s="54" t="str">
        <f>'Depreciation Schedule'!AZ32</f>
        <v/>
      </c>
      <c r="C23" s="54" t="str">
        <f>'Depreciation Schedule'!BA32</f>
        <v/>
      </c>
      <c r="D23" t="str">
        <f>'Depreciation Schedule'!BC32</f>
        <v/>
      </c>
      <c r="E23" t="e">
        <f>IF(AND('Depreciation Schedule'!A32&lt;&gt;"",'Depreciation Schedule'!BD32=" "),0,'Depreciation Schedule'!BD32)</f>
        <v>#N/A</v>
      </c>
      <c r="F23" s="58" t="str">
        <f>'Depreciation Schedule'!BB32</f>
        <v/>
      </c>
    </row>
    <row r="24" spans="1:6" x14ac:dyDescent="0.25">
      <c r="A24" s="54" t="str">
        <f>'Depreciation Schedule'!AY33</f>
        <v/>
      </c>
      <c r="B24" s="54" t="str">
        <f>'Depreciation Schedule'!AZ33</f>
        <v/>
      </c>
      <c r="C24" s="54" t="str">
        <f>'Depreciation Schedule'!BA33</f>
        <v/>
      </c>
      <c r="D24" t="str">
        <f>'Depreciation Schedule'!BC33</f>
        <v/>
      </c>
      <c r="E24" t="e">
        <f>IF(AND('Depreciation Schedule'!A33&lt;&gt;"",'Depreciation Schedule'!BD33=" "),0,'Depreciation Schedule'!BD33)</f>
        <v>#N/A</v>
      </c>
      <c r="F24" s="58" t="str">
        <f>'Depreciation Schedule'!BB33</f>
        <v/>
      </c>
    </row>
    <row r="25" spans="1:6" x14ac:dyDescent="0.25">
      <c r="A25" s="54" t="str">
        <f>'Depreciation Schedule'!AY34</f>
        <v/>
      </c>
      <c r="B25" s="54" t="str">
        <f>'Depreciation Schedule'!AZ34</f>
        <v/>
      </c>
      <c r="C25" s="54" t="str">
        <f>'Depreciation Schedule'!BA34</f>
        <v/>
      </c>
      <c r="D25" t="str">
        <f>'Depreciation Schedule'!BC34</f>
        <v/>
      </c>
      <c r="E25" t="e">
        <f>IF(AND('Depreciation Schedule'!A34&lt;&gt;"",'Depreciation Schedule'!BD34=" "),0,'Depreciation Schedule'!BD34)</f>
        <v>#N/A</v>
      </c>
      <c r="F25" s="58" t="str">
        <f>'Depreciation Schedule'!BB34</f>
        <v/>
      </c>
    </row>
    <row r="26" spans="1:6" x14ac:dyDescent="0.25">
      <c r="A26" s="54" t="str">
        <f>'Depreciation Schedule'!AY35</f>
        <v/>
      </c>
      <c r="B26" s="54" t="str">
        <f>'Depreciation Schedule'!AZ35</f>
        <v/>
      </c>
      <c r="C26" s="54" t="str">
        <f>'Depreciation Schedule'!BA35</f>
        <v/>
      </c>
      <c r="D26" t="str">
        <f>'Depreciation Schedule'!BC35</f>
        <v/>
      </c>
      <c r="E26" t="e">
        <f>IF(AND('Depreciation Schedule'!A35&lt;&gt;"",'Depreciation Schedule'!BD35=" "),0,'Depreciation Schedule'!BD35)</f>
        <v>#N/A</v>
      </c>
      <c r="F26" s="58" t="str">
        <f>'Depreciation Schedule'!BB35</f>
        <v/>
      </c>
    </row>
    <row r="27" spans="1:6" x14ac:dyDescent="0.25">
      <c r="A27" s="54" t="str">
        <f>'Depreciation Schedule'!AY36</f>
        <v/>
      </c>
      <c r="B27" s="54" t="str">
        <f>'Depreciation Schedule'!AZ36</f>
        <v/>
      </c>
      <c r="C27" s="54" t="str">
        <f>'Depreciation Schedule'!BA36</f>
        <v/>
      </c>
      <c r="D27" t="str">
        <f>'Depreciation Schedule'!BC36</f>
        <v/>
      </c>
      <c r="E27" t="e">
        <f>IF(AND('Depreciation Schedule'!A36&lt;&gt;"",'Depreciation Schedule'!BD36=" "),0,'Depreciation Schedule'!BD36)</f>
        <v>#N/A</v>
      </c>
      <c r="F27" s="58" t="str">
        <f>'Depreciation Schedule'!BB36</f>
        <v/>
      </c>
    </row>
    <row r="28" spans="1:6" x14ac:dyDescent="0.25">
      <c r="A28" s="54" t="str">
        <f>'Depreciation Schedule'!AY37</f>
        <v/>
      </c>
      <c r="B28" s="54" t="str">
        <f>'Depreciation Schedule'!AZ37</f>
        <v/>
      </c>
      <c r="C28" s="54" t="str">
        <f>'Depreciation Schedule'!BA37</f>
        <v/>
      </c>
      <c r="D28" t="str">
        <f>'Depreciation Schedule'!BC37</f>
        <v/>
      </c>
      <c r="E28" t="e">
        <f>IF(AND('Depreciation Schedule'!A37&lt;&gt;"",'Depreciation Schedule'!BD37=" "),0,'Depreciation Schedule'!BD37)</f>
        <v>#N/A</v>
      </c>
      <c r="F28" s="58" t="str">
        <f>'Depreciation Schedule'!BB37</f>
        <v/>
      </c>
    </row>
    <row r="29" spans="1:6" x14ac:dyDescent="0.25">
      <c r="A29" s="54" t="str">
        <f>'Depreciation Schedule'!AY38</f>
        <v/>
      </c>
      <c r="B29" s="54" t="str">
        <f>'Depreciation Schedule'!AZ38</f>
        <v/>
      </c>
      <c r="C29" s="54" t="str">
        <f>'Depreciation Schedule'!BA38</f>
        <v/>
      </c>
      <c r="D29" t="str">
        <f>'Depreciation Schedule'!BC38</f>
        <v/>
      </c>
      <c r="E29" t="e">
        <f>IF(AND('Depreciation Schedule'!A38&lt;&gt;"",'Depreciation Schedule'!BD38=" "),0,'Depreciation Schedule'!BD38)</f>
        <v>#N/A</v>
      </c>
      <c r="F29" s="58" t="str">
        <f>'Depreciation Schedule'!BB38</f>
        <v/>
      </c>
    </row>
    <row r="30" spans="1:6" x14ac:dyDescent="0.25">
      <c r="A30" s="54" t="str">
        <f>'Depreciation Schedule'!AY39</f>
        <v/>
      </c>
      <c r="B30" s="54" t="str">
        <f>'Depreciation Schedule'!AZ39</f>
        <v/>
      </c>
      <c r="C30" s="54" t="str">
        <f>'Depreciation Schedule'!BA39</f>
        <v/>
      </c>
      <c r="D30" t="str">
        <f>'Depreciation Schedule'!BC39</f>
        <v/>
      </c>
      <c r="E30" t="e">
        <f>IF(AND('Depreciation Schedule'!A39&lt;&gt;"",'Depreciation Schedule'!BD39=" "),0,'Depreciation Schedule'!BD39)</f>
        <v>#N/A</v>
      </c>
      <c r="F30" s="58" t="str">
        <f>'Depreciation Schedule'!BB39</f>
        <v/>
      </c>
    </row>
    <row r="31" spans="1:6" x14ac:dyDescent="0.25">
      <c r="A31" s="54" t="str">
        <f>'Depreciation Schedule'!AY40</f>
        <v/>
      </c>
      <c r="B31" s="54" t="str">
        <f>'Depreciation Schedule'!AZ40</f>
        <v/>
      </c>
      <c r="C31" s="54" t="str">
        <f>'Depreciation Schedule'!BA40</f>
        <v/>
      </c>
      <c r="D31" t="str">
        <f>'Depreciation Schedule'!BC40</f>
        <v/>
      </c>
      <c r="E31" t="e">
        <f>IF(AND('Depreciation Schedule'!A40&lt;&gt;"",'Depreciation Schedule'!BD40=" "),0,'Depreciation Schedule'!BD40)</f>
        <v>#N/A</v>
      </c>
      <c r="F31" s="58" t="str">
        <f>'Depreciation Schedule'!BB40</f>
        <v/>
      </c>
    </row>
    <row r="32" spans="1:6" x14ac:dyDescent="0.25">
      <c r="A32" s="54" t="str">
        <f>'Depreciation Schedule'!AY41</f>
        <v/>
      </c>
      <c r="B32" s="54" t="str">
        <f>'Depreciation Schedule'!AZ41</f>
        <v/>
      </c>
      <c r="C32" s="54" t="str">
        <f>'Depreciation Schedule'!BA41</f>
        <v/>
      </c>
      <c r="D32" t="str">
        <f>'Depreciation Schedule'!BC41</f>
        <v/>
      </c>
      <c r="E32" t="e">
        <f>IF(AND('Depreciation Schedule'!A41&lt;&gt;"",'Depreciation Schedule'!BD41=" "),0,'Depreciation Schedule'!BD41)</f>
        <v>#N/A</v>
      </c>
      <c r="F32" s="58" t="str">
        <f>'Depreciation Schedule'!BB41</f>
        <v/>
      </c>
    </row>
    <row r="33" spans="1:6" x14ac:dyDescent="0.25">
      <c r="A33" s="54" t="str">
        <f>'Depreciation Schedule'!AY42</f>
        <v/>
      </c>
      <c r="B33" s="54" t="str">
        <f>'Depreciation Schedule'!AZ42</f>
        <v/>
      </c>
      <c r="C33" s="54" t="str">
        <f>'Depreciation Schedule'!BA42</f>
        <v/>
      </c>
      <c r="D33" t="str">
        <f>'Depreciation Schedule'!BC42</f>
        <v/>
      </c>
      <c r="E33" t="e">
        <f>IF(AND('Depreciation Schedule'!A42&lt;&gt;"",'Depreciation Schedule'!BD42=" "),0,'Depreciation Schedule'!BD42)</f>
        <v>#N/A</v>
      </c>
      <c r="F33" s="58" t="str">
        <f>'Depreciation Schedule'!BB42</f>
        <v/>
      </c>
    </row>
    <row r="34" spans="1:6" x14ac:dyDescent="0.25">
      <c r="A34" s="54" t="str">
        <f>'Depreciation Schedule'!AY43</f>
        <v/>
      </c>
      <c r="B34" s="54" t="str">
        <f>'Depreciation Schedule'!AZ43</f>
        <v/>
      </c>
      <c r="C34" s="54" t="str">
        <f>'Depreciation Schedule'!BA43</f>
        <v/>
      </c>
      <c r="D34" t="str">
        <f>'Depreciation Schedule'!BC43</f>
        <v/>
      </c>
      <c r="E34" t="e">
        <f>IF(AND('Depreciation Schedule'!A43&lt;&gt;"",'Depreciation Schedule'!BD43=" "),0,'Depreciation Schedule'!BD43)</f>
        <v>#N/A</v>
      </c>
      <c r="F34" s="58" t="str">
        <f>'Depreciation Schedule'!BB43</f>
        <v/>
      </c>
    </row>
    <row r="35" spans="1:6" x14ac:dyDescent="0.25">
      <c r="A35" s="54" t="str">
        <f>'Depreciation Schedule'!AY44</f>
        <v/>
      </c>
      <c r="B35" s="54" t="str">
        <f>'Depreciation Schedule'!AZ44</f>
        <v/>
      </c>
      <c r="C35" s="54" t="str">
        <f>'Depreciation Schedule'!BA44</f>
        <v/>
      </c>
      <c r="D35" t="str">
        <f>'Depreciation Schedule'!BC44</f>
        <v/>
      </c>
      <c r="E35" t="e">
        <f>IF(AND('Depreciation Schedule'!A44&lt;&gt;"",'Depreciation Schedule'!BD44=" "),0,'Depreciation Schedule'!BD44)</f>
        <v>#N/A</v>
      </c>
      <c r="F35" s="58" t="str">
        <f>'Depreciation Schedule'!BB44</f>
        <v/>
      </c>
    </row>
    <row r="36" spans="1:6" x14ac:dyDescent="0.25">
      <c r="A36" s="54" t="str">
        <f>'Depreciation Schedule'!AY45</f>
        <v/>
      </c>
      <c r="B36" s="54" t="str">
        <f>'Depreciation Schedule'!AZ45</f>
        <v/>
      </c>
      <c r="C36" s="54" t="str">
        <f>'Depreciation Schedule'!BA45</f>
        <v/>
      </c>
      <c r="D36" t="str">
        <f>'Depreciation Schedule'!BC45</f>
        <v/>
      </c>
      <c r="E36" t="e">
        <f>IF(AND('Depreciation Schedule'!A45&lt;&gt;"",'Depreciation Schedule'!BD45=" "),0,'Depreciation Schedule'!BD45)</f>
        <v>#N/A</v>
      </c>
      <c r="F36" s="58" t="str">
        <f>'Depreciation Schedule'!BB45</f>
        <v/>
      </c>
    </row>
    <row r="37" spans="1:6" x14ac:dyDescent="0.25">
      <c r="A37" s="54" t="str">
        <f>'Depreciation Schedule'!AY46</f>
        <v/>
      </c>
      <c r="B37" s="54" t="str">
        <f>'Depreciation Schedule'!AZ46</f>
        <v/>
      </c>
      <c r="C37" s="54" t="str">
        <f>'Depreciation Schedule'!BA46</f>
        <v/>
      </c>
      <c r="D37" t="str">
        <f>'Depreciation Schedule'!BC46</f>
        <v/>
      </c>
      <c r="E37" t="e">
        <f>IF(AND('Depreciation Schedule'!A46&lt;&gt;"",'Depreciation Schedule'!BD46=" "),0,'Depreciation Schedule'!BD46)</f>
        <v>#N/A</v>
      </c>
      <c r="F37" s="58" t="str">
        <f>'Depreciation Schedule'!BB46</f>
        <v/>
      </c>
    </row>
    <row r="38" spans="1:6" x14ac:dyDescent="0.25">
      <c r="A38" s="54" t="str">
        <f>'Depreciation Schedule'!AY47</f>
        <v/>
      </c>
      <c r="B38" s="54" t="str">
        <f>'Depreciation Schedule'!AZ47</f>
        <v/>
      </c>
      <c r="C38" s="54" t="str">
        <f>'Depreciation Schedule'!BA47</f>
        <v/>
      </c>
      <c r="D38" t="str">
        <f>'Depreciation Schedule'!BC47</f>
        <v/>
      </c>
      <c r="E38" t="e">
        <f>IF(AND('Depreciation Schedule'!A47&lt;&gt;"",'Depreciation Schedule'!BD47=" "),0,'Depreciation Schedule'!BD47)</f>
        <v>#N/A</v>
      </c>
      <c r="F38" s="58" t="str">
        <f>'Depreciation Schedule'!BB47</f>
        <v/>
      </c>
    </row>
    <row r="39" spans="1:6" x14ac:dyDescent="0.25">
      <c r="A39" s="54" t="str">
        <f>'Depreciation Schedule'!AY48</f>
        <v/>
      </c>
      <c r="B39" s="54" t="str">
        <f>'Depreciation Schedule'!AZ48</f>
        <v/>
      </c>
      <c r="C39" s="54" t="str">
        <f>'Depreciation Schedule'!BA48</f>
        <v/>
      </c>
      <c r="D39" t="str">
        <f>'Depreciation Schedule'!BC48</f>
        <v/>
      </c>
      <c r="E39" t="e">
        <f>IF(AND('Depreciation Schedule'!A48&lt;&gt;"",'Depreciation Schedule'!BD48=" "),0,'Depreciation Schedule'!BD48)</f>
        <v>#N/A</v>
      </c>
      <c r="F39" s="58" t="str">
        <f>'Depreciation Schedule'!BB48</f>
        <v/>
      </c>
    </row>
    <row r="40" spans="1:6" x14ac:dyDescent="0.25">
      <c r="A40" s="54" t="str">
        <f>'Depreciation Schedule'!AY49</f>
        <v/>
      </c>
      <c r="B40" s="54" t="str">
        <f>'Depreciation Schedule'!AZ49</f>
        <v/>
      </c>
      <c r="C40" s="54" t="str">
        <f>'Depreciation Schedule'!BA49</f>
        <v/>
      </c>
      <c r="D40" t="str">
        <f>'Depreciation Schedule'!BC49</f>
        <v/>
      </c>
      <c r="E40" t="e">
        <f>IF(AND('Depreciation Schedule'!A49&lt;&gt;"",'Depreciation Schedule'!BD49=" "),0,'Depreciation Schedule'!BD49)</f>
        <v>#N/A</v>
      </c>
      <c r="F40" s="58" t="str">
        <f>'Depreciation Schedule'!BB49</f>
        <v/>
      </c>
    </row>
    <row r="41" spans="1:6" x14ac:dyDescent="0.25">
      <c r="A41" s="54" t="str">
        <f>'Depreciation Schedule'!AY50</f>
        <v/>
      </c>
      <c r="B41" s="54" t="str">
        <f>'Depreciation Schedule'!AZ50</f>
        <v/>
      </c>
      <c r="C41" s="54" t="str">
        <f>'Depreciation Schedule'!BA50</f>
        <v/>
      </c>
      <c r="D41" t="str">
        <f>'Depreciation Schedule'!BC50</f>
        <v/>
      </c>
      <c r="E41" t="e">
        <f>IF(AND('Depreciation Schedule'!A50&lt;&gt;"",'Depreciation Schedule'!BD50=" "),0,'Depreciation Schedule'!BD50)</f>
        <v>#N/A</v>
      </c>
      <c r="F41" s="58" t="str">
        <f>'Depreciation Schedule'!BB50</f>
        <v/>
      </c>
    </row>
    <row r="42" spans="1:6" x14ac:dyDescent="0.25">
      <c r="A42" s="54" t="str">
        <f>'Depreciation Schedule'!AY51</f>
        <v/>
      </c>
      <c r="B42" s="54" t="str">
        <f>'Depreciation Schedule'!AZ51</f>
        <v/>
      </c>
      <c r="C42" s="54" t="str">
        <f>'Depreciation Schedule'!BA51</f>
        <v/>
      </c>
      <c r="D42" t="str">
        <f>'Depreciation Schedule'!BC51</f>
        <v/>
      </c>
      <c r="E42" t="e">
        <f>IF(AND('Depreciation Schedule'!A51&lt;&gt;"",'Depreciation Schedule'!BD51=" "),0,'Depreciation Schedule'!BD51)</f>
        <v>#N/A</v>
      </c>
      <c r="F42" s="58" t="str">
        <f>'Depreciation Schedule'!BB51</f>
        <v/>
      </c>
    </row>
    <row r="43" spans="1:6" x14ac:dyDescent="0.25">
      <c r="A43" s="54" t="str">
        <f>'Depreciation Schedule'!AY52</f>
        <v/>
      </c>
      <c r="B43" s="54" t="str">
        <f>'Depreciation Schedule'!AZ52</f>
        <v/>
      </c>
      <c r="C43" s="54" t="str">
        <f>'Depreciation Schedule'!BA52</f>
        <v/>
      </c>
      <c r="D43" t="str">
        <f>'Depreciation Schedule'!BC52</f>
        <v/>
      </c>
      <c r="E43" t="e">
        <f>IF(AND('Depreciation Schedule'!A52&lt;&gt;"",'Depreciation Schedule'!BD52=" "),0,'Depreciation Schedule'!BD52)</f>
        <v>#N/A</v>
      </c>
      <c r="F43" s="58" t="str">
        <f>'Depreciation Schedule'!BB52</f>
        <v/>
      </c>
    </row>
    <row r="44" spans="1:6" x14ac:dyDescent="0.25">
      <c r="A44" s="54" t="str">
        <f>'Depreciation Schedule'!AY53</f>
        <v/>
      </c>
      <c r="B44" s="54" t="str">
        <f>'Depreciation Schedule'!AZ53</f>
        <v/>
      </c>
      <c r="C44" s="54" t="str">
        <f>'Depreciation Schedule'!BA53</f>
        <v/>
      </c>
      <c r="D44" t="str">
        <f>'Depreciation Schedule'!BC53</f>
        <v/>
      </c>
      <c r="E44" t="e">
        <f>IF(AND('Depreciation Schedule'!A53&lt;&gt;"",'Depreciation Schedule'!BD53=" "),0,'Depreciation Schedule'!BD53)</f>
        <v>#N/A</v>
      </c>
      <c r="F44" s="58" t="str">
        <f>'Depreciation Schedule'!BB53</f>
        <v/>
      </c>
    </row>
    <row r="45" spans="1:6" x14ac:dyDescent="0.25">
      <c r="A45" s="54" t="str">
        <f>'Depreciation Schedule'!AY54</f>
        <v/>
      </c>
      <c r="B45" s="54" t="str">
        <f>'Depreciation Schedule'!AZ54</f>
        <v/>
      </c>
      <c r="C45" s="54" t="str">
        <f>'Depreciation Schedule'!BA54</f>
        <v/>
      </c>
      <c r="D45" t="str">
        <f>'Depreciation Schedule'!BC54</f>
        <v/>
      </c>
      <c r="E45" t="e">
        <f>IF(AND('Depreciation Schedule'!A54&lt;&gt;"",'Depreciation Schedule'!BD54=" "),0,'Depreciation Schedule'!BD54)</f>
        <v>#N/A</v>
      </c>
      <c r="F45" s="58" t="str">
        <f>'Depreciation Schedule'!BB54</f>
        <v/>
      </c>
    </row>
    <row r="46" spans="1:6" x14ac:dyDescent="0.25">
      <c r="A46" s="54" t="str">
        <f>'Depreciation Schedule'!AY55</f>
        <v/>
      </c>
      <c r="B46" s="54" t="str">
        <f>'Depreciation Schedule'!AZ55</f>
        <v/>
      </c>
      <c r="C46" s="54" t="str">
        <f>'Depreciation Schedule'!BA55</f>
        <v/>
      </c>
      <c r="D46" t="str">
        <f>'Depreciation Schedule'!BC55</f>
        <v/>
      </c>
      <c r="E46" t="e">
        <f>IF(AND('Depreciation Schedule'!A55&lt;&gt;"",'Depreciation Schedule'!BD55=" "),0,'Depreciation Schedule'!BD55)</f>
        <v>#N/A</v>
      </c>
      <c r="F46" s="58" t="str">
        <f>'Depreciation Schedule'!BB55</f>
        <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WFDescription xmlns="4268b559-ae5c-44d0-acfc-003748d801b3">This worksheet is intended to assist in tracking an organization's fixed assets and annual depreciation estimates </WFDescription>
    <WFResourceType xmlns="4268b559-ae5c-44d0-acfc-003748d801b3">Tool</WFResourceType>
    <WFResourceName xmlns="4268b559-ae5c-44d0-acfc-003748d801b3">Fixed Asset and Depreciation Schedule</WFResourceName>
    <MainFile xmlns="4268b559-ae5c-44d0-acfc-003748d801b3">true</MainFile>
    <TimelineSeason xmlns="4268b559-ae5c-44d0-acfc-003748d801b3"/>
    <SortOrder xmlns="4268b559-ae5c-44d0-acfc-003748d801b3" xsi:nil="true"/>
    <ResourceFileType xmlns="4268b559-ae5c-44d0-acfc-003748d801b3">Tool</ResourceFileType>
    <Thumbnail1 xmlns="4268b559-ae5c-44d0-acfc-003748d801b3">&lt;img alt="Fixed Asset and Depreciation Schedule" src="/knowledge-center/resources-for-financial-management/PublishingImages/fixed-asset-and-depreciation-schedule-b.jpg" style="BORDER: 0px solid; "&gt;</Thumbnail1>
    <HomeFeature xmlns="90a05e0c-a6a9-4150-9aa7-29216b1f1e3b">false</HomeFeature>
    <SFMWFResourceTopic xmlns="4268b559-ae5c-44d0-acfc-003748d801b3">Audit Readiness</SFMWFResourceTopic>
    <URL xmlns="http://schemas.microsoft.com/sharepoint/v3">
      <Url>http://admin.wallacefoundation.org/knowledge-center/resources-for-financial-management/Documents/Fixed-Asset-and-Depreciation-Schedule.xlsx</Url>
      <Description>Fixed Asset and Depreciation Schedule</Description>
    </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WF SFM Resource" ma:contentTypeID="0x010100234DEAEFA0EF5147BA563C9D9835A8810015175633169C16488E4AE84A5BAE6BC0" ma:contentTypeVersion="7" ma:contentTypeDescription="" ma:contentTypeScope="" ma:versionID="f39c8da291eca82accd49647eee735cc">
  <xsd:schema xmlns:xsd="http://www.w3.org/2001/XMLSchema" xmlns:xs="http://www.w3.org/2001/XMLSchema" xmlns:p="http://schemas.microsoft.com/office/2006/metadata/properties" xmlns:ns1="http://schemas.microsoft.com/sharepoint/v3" xmlns:ns2="4268b559-ae5c-44d0-acfc-003748d801b3" xmlns:ns3="90a05e0c-a6a9-4150-9aa7-29216b1f1e3b" targetNamespace="http://schemas.microsoft.com/office/2006/metadata/properties" ma:root="true" ma:fieldsID="5d8b5abe604e2741829712f382ea7d92" ns1:_="" ns2:_="" ns3:_="">
    <xsd:import namespace="http://schemas.microsoft.com/sharepoint/v3"/>
    <xsd:import namespace="4268b559-ae5c-44d0-acfc-003748d801b3"/>
    <xsd:import namespace="90a05e0c-a6a9-4150-9aa7-29216b1f1e3b"/>
    <xsd:element name="properties">
      <xsd:complexType>
        <xsd:sequence>
          <xsd:element name="documentManagement">
            <xsd:complexType>
              <xsd:all>
                <xsd:element ref="ns2:WFDescription" minOccurs="0"/>
                <xsd:element ref="ns2:ResourceFileType" minOccurs="0"/>
                <xsd:element ref="ns2:SortOrder" minOccurs="0"/>
                <xsd:element ref="ns2:WFResourceType" minOccurs="0"/>
                <xsd:element ref="ns2:WFResourceName" minOccurs="0"/>
                <xsd:element ref="ns2:MainFile" minOccurs="0"/>
                <xsd:element ref="ns2:TimelineSeason" minOccurs="0"/>
                <xsd:element ref="ns2:Thumbnail1" minOccurs="0"/>
                <xsd:element ref="ns3:HomeFeature" minOccurs="0"/>
                <xsd:element ref="ns2:SFMWFResourceTopic" minOccurs="0"/>
                <xsd:element ref="ns1:UR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URL" ma:index="18" nillable="true" ma:displayName="URL" ma:internalName="URL">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268b559-ae5c-44d0-acfc-003748d801b3" elementFormDefault="qualified">
    <xsd:import namespace="http://schemas.microsoft.com/office/2006/documentManagement/types"/>
    <xsd:import namespace="http://schemas.microsoft.com/office/infopath/2007/PartnerControls"/>
    <xsd:element name="WFDescription" ma:index="8" nillable="true" ma:displayName="WFDescription" ma:internalName="WFDescription">
      <xsd:simpleType>
        <xsd:restriction base="dms:Note">
          <xsd:maxLength value="255"/>
        </xsd:restriction>
      </xsd:simpleType>
    </xsd:element>
    <xsd:element name="ResourceFileType" ma:index="9" nillable="true" ma:displayName="ResourceFileType" ma:format="Dropdown" ma:internalName="ResourceFileType" ma:readOnly="false">
      <xsd:simpleType>
        <xsd:union memberTypes="dms:Text">
          <xsd:simpleType>
            <xsd:restriction base="dms:Choice">
              <xsd:enumeration value="Guidance"/>
              <xsd:enumeration value="Tool"/>
              <xsd:enumeration value="Sample"/>
              <xsd:enumeration value="Download All"/>
            </xsd:restriction>
          </xsd:simpleType>
        </xsd:union>
      </xsd:simpleType>
    </xsd:element>
    <xsd:element name="SortOrder" ma:index="10" nillable="true" ma:displayName="SortOrder" ma:decimals="0" ma:default="0" ma:internalName="SortOrder">
      <xsd:simpleType>
        <xsd:restriction base="dms:Number"/>
      </xsd:simpleType>
    </xsd:element>
    <xsd:element name="WFResourceType" ma:index="11" nillable="true" ma:displayName="WFResourceType" ma:default="Report" ma:format="Dropdown" ma:internalName="WFResourceType">
      <xsd:simpleType>
        <xsd:restriction base="dms:Choice">
          <xsd:enumeration value="Report"/>
          <xsd:enumeration value="Video"/>
          <xsd:enumeration value="Slide Presentation"/>
          <xsd:enumeration value="Research Series"/>
          <xsd:enumeration value="Case Studies"/>
          <xsd:enumeration value="Tool"/>
          <xsd:enumeration value="Tip Sheets"/>
          <xsd:enumeration value="Article"/>
          <xsd:enumeration value="Guide"/>
          <xsd:enumeration value="Podcast"/>
        </xsd:restriction>
      </xsd:simpleType>
    </xsd:element>
    <xsd:element name="WFResourceName" ma:index="12" nillable="true" ma:displayName="WFResourceName" ma:internalName="WFResourceName" ma:readOnly="false">
      <xsd:simpleType>
        <xsd:restriction base="dms:Text">
          <xsd:maxLength value="255"/>
        </xsd:restriction>
      </xsd:simpleType>
    </xsd:element>
    <xsd:element name="MainFile" ma:index="13" nillable="true" ma:displayName="MainFile" ma:default="0" ma:internalName="MainFile" ma:readOnly="false">
      <xsd:simpleType>
        <xsd:restriction base="dms:Boolean"/>
      </xsd:simpleType>
    </xsd:element>
    <xsd:element name="TimelineSeason" ma:index="14" nillable="true" ma:displayName="TimelineSeason" ma:default="Fall" ma:internalName="TimelineSeason">
      <xsd:complexType>
        <xsd:complexContent>
          <xsd:extension base="dms:MultiChoice">
            <xsd:sequence>
              <xsd:element name="Value" maxOccurs="unbounded" minOccurs="0" nillable="true">
                <xsd:simpleType>
                  <xsd:restriction base="dms:Choice">
                    <xsd:enumeration value="Fall"/>
                    <xsd:enumeration value="Winter"/>
                    <xsd:enumeration value="Spring"/>
                    <xsd:enumeration value="Summer"/>
                  </xsd:restriction>
                </xsd:simpleType>
              </xsd:element>
            </xsd:sequence>
          </xsd:extension>
        </xsd:complexContent>
      </xsd:complexType>
    </xsd:element>
    <xsd:element name="Thumbnail1" ma:index="15" nillable="true" ma:displayName="Thumbnail" ma:description="" ma:internalName="Thumbnail1">
      <xsd:simpleType>
        <xsd:restriction base="dms:Unknown"/>
      </xsd:simpleType>
    </xsd:element>
    <xsd:element name="SFMWFResourceTopic" ma:index="17" nillable="true" ma:displayName="SFMWFResourceTopic" ma:format="Dropdown" ma:internalName="SFMWFResourceTopic">
      <xsd:simpleType>
        <xsd:restriction base="dms:Choice">
          <xsd:enumeration value="Budgeting"/>
          <xsd:enumeration value="Cash Flow"/>
          <xsd:enumeration value="Audit Readiness"/>
          <xsd:enumeration value="Operations"/>
          <xsd:enumeration value="Data and Analysis"/>
          <xsd:enumeration value="Governance and Strategy"/>
        </xsd:restriction>
      </xsd:simpleType>
    </xsd:element>
  </xsd:schema>
  <xsd:schema xmlns:xsd="http://www.w3.org/2001/XMLSchema" xmlns:xs="http://www.w3.org/2001/XMLSchema" xmlns:dms="http://schemas.microsoft.com/office/2006/documentManagement/types" xmlns:pc="http://schemas.microsoft.com/office/infopath/2007/PartnerControls" targetNamespace="90a05e0c-a6a9-4150-9aa7-29216b1f1e3b" elementFormDefault="qualified">
    <xsd:import namespace="http://schemas.microsoft.com/office/2006/documentManagement/types"/>
    <xsd:import namespace="http://schemas.microsoft.com/office/infopath/2007/PartnerControls"/>
    <xsd:element name="HomeFeature" ma:index="16" nillable="true" ma:displayName="HomeFeature" ma:default="0" ma:description="Check box to feature resource on home page" ma:internalName="HomeFeatur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8D129C-FE20-4CFB-AFFB-43CD45C50FD3}">
  <ds:schemaRefs>
    <ds:schemaRef ds:uri="http://schemas.microsoft.com/office/2006/metadata/properties"/>
    <ds:schemaRef ds:uri="http://schemas.microsoft.com/office/infopath/2007/PartnerControls"/>
    <ds:schemaRef ds:uri="4268b559-ae5c-44d0-acfc-003748d801b3"/>
    <ds:schemaRef ds:uri="90a05e0c-a6a9-4150-9aa7-29216b1f1e3b"/>
    <ds:schemaRef ds:uri="http://schemas.microsoft.com/sharepoint/v3"/>
  </ds:schemaRefs>
</ds:datastoreItem>
</file>

<file path=customXml/itemProps2.xml><?xml version="1.0" encoding="utf-8"?>
<ds:datastoreItem xmlns:ds="http://schemas.openxmlformats.org/officeDocument/2006/customXml" ds:itemID="{32F191EC-4B3D-4FFB-B396-14A8002B9C27}">
  <ds:schemaRefs>
    <ds:schemaRef ds:uri="http://schemas.microsoft.com/sharepoint/v3/contenttype/forms"/>
  </ds:schemaRefs>
</ds:datastoreItem>
</file>

<file path=customXml/itemProps3.xml><?xml version="1.0" encoding="utf-8"?>
<ds:datastoreItem xmlns:ds="http://schemas.openxmlformats.org/officeDocument/2006/customXml" ds:itemID="{C14EF638-4EA9-4833-B219-6179288EA9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268b559-ae5c-44d0-acfc-003748d801b3"/>
    <ds:schemaRef ds:uri="90a05e0c-a6a9-4150-9aa7-29216b1f1e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EOD</vt:lpstr>
      <vt:lpstr>Depreciation Schedule</vt:lpstr>
      <vt:lpstr>o_Transaction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Fixed Asset and Depreciation Schedule</dc:title>
  <dc:creator>jsummers</dc:creator>
  <cp:lastModifiedBy>Rafay Ahmed</cp:lastModifiedBy>
  <dcterms:created xsi:type="dcterms:W3CDTF">2014-01-17T20:54:50Z</dcterms:created>
  <dcterms:modified xsi:type="dcterms:W3CDTF">2025-12-18T17:39:16Z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0x010100234DEAEFA0EF5147BA563C9D9835A8810015175633169C16488E4AE84A5BAE6BC0</vt:lpwstr>
  </property>
  <property fmtid="{D5CDD505-2E9C-101B-9397-08002B2CF9AE}" pid="3" name="WFResourceTopic">
    <vt:lpwstr>Audit</vt:lpwstr>
  </property>
  <property fmtid="{D5CDD505-2E9C-101B-9397-08002B2CF9AE}" pid="4" name="SFMResourceTopic">
    <vt:lpwstr>Audit</vt:lpwstr>
  </property>
</Properties>
</file>