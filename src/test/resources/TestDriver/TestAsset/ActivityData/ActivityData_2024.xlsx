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Asset\ActivityData\"/>
    </mc:Choice>
  </mc:AlternateContent>
  <xr:revisionPtr revIDLastSave="0" documentId="13_ncr:1_{EE64BA22-6973-4ED3-ADB7-9513156045FC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InstrumentAttribute" sheetId="1" r:id="rId1"/>
    <sheet name="TransactionActivity" sheetId="5" r:id="rId2"/>
    <sheet name="GLRule" sheetId="2" state="hidden" r:id="rId3"/>
    <sheet name="Sheet1" sheetId="3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4" i="3" l="1"/>
  <c r="F25" i="3" s="1"/>
  <c r="E24" i="3"/>
  <c r="E25" i="3" s="1"/>
  <c r="D24" i="3"/>
  <c r="C24" i="3"/>
  <c r="D23" i="3"/>
  <c r="D25" i="3" s="1"/>
  <c r="C23" i="3"/>
  <c r="D22" i="3"/>
  <c r="C22" i="3"/>
  <c r="C25" i="3" s="1"/>
  <c r="G18" i="3"/>
  <c r="G15" i="3"/>
  <c r="J12" i="3"/>
  <c r="O12" i="3" s="1"/>
  <c r="J13" i="3" s="1"/>
  <c r="N13" i="3" s="1"/>
  <c r="K14" i="3" s="1"/>
  <c r="N14" i="3" s="1"/>
  <c r="K15" i="3" s="1"/>
  <c r="N15" i="3" s="1"/>
  <c r="K16" i="3" s="1"/>
  <c r="N16" i="3" s="1"/>
  <c r="K17" i="3" s="1"/>
  <c r="N17" i="3" s="1"/>
  <c r="K18" i="3" s="1"/>
  <c r="N18" i="3" s="1"/>
  <c r="K19" i="3" s="1"/>
  <c r="N19" i="3" s="1"/>
  <c r="K20" i="3" s="1"/>
  <c r="N20" i="3" s="1"/>
  <c r="K21" i="3" s="1"/>
  <c r="N21" i="3" s="1"/>
  <c r="K22" i="3" s="1"/>
  <c r="N22" i="3" s="1"/>
  <c r="G12" i="3"/>
  <c r="C5" i="3"/>
  <c r="A15" i="2"/>
  <c r="A14" i="2"/>
  <c r="A13" i="2"/>
  <c r="A12" i="2"/>
  <c r="A11" i="2"/>
  <c r="A10" i="2"/>
  <c r="A9" i="2"/>
  <c r="A8" i="2"/>
  <c r="A7" i="2"/>
  <c r="A6" i="2"/>
  <c r="A5" i="2"/>
  <c r="A4" i="2"/>
  <c r="A3" i="2"/>
</calcChain>
</file>

<file path=xl/sharedStrings.xml><?xml version="1.0" encoding="utf-8"?>
<sst xmlns="http://schemas.openxmlformats.org/spreadsheetml/2006/main" count="236" uniqueCount="81">
  <si>
    <t>PostingDate</t>
  </si>
  <si>
    <t>EffectiveDate</t>
  </si>
  <si>
    <t>AttributeId</t>
  </si>
  <si>
    <t>INSTRUMENTID</t>
  </si>
  <si>
    <t>System Generated</t>
  </si>
  <si>
    <t>Helper Column</t>
  </si>
  <si>
    <t>ID</t>
  </si>
  <si>
    <t>AccountSubType</t>
  </si>
  <si>
    <t>Sign</t>
  </si>
  <si>
    <t>Rule</t>
  </si>
  <si>
    <t>Criteria</t>
  </si>
  <si>
    <t>Revenue</t>
  </si>
  <si>
    <t>Positive</t>
  </si>
  <si>
    <t>Dr</t>
  </si>
  <si>
    <t>amount&gt;1</t>
  </si>
  <si>
    <t>Cr</t>
  </si>
  <si>
    <t>Negative</t>
  </si>
  <si>
    <t>amount&lt;1</t>
  </si>
  <si>
    <t>Deferred Revenue</t>
  </si>
  <si>
    <t>A/R</t>
  </si>
  <si>
    <t>Account</t>
  </si>
  <si>
    <t>Attribute</t>
  </si>
  <si>
    <t>Def</t>
  </si>
  <si>
    <t>Unbilled</t>
  </si>
  <si>
    <t>Rev</t>
  </si>
  <si>
    <t>Billed</t>
  </si>
  <si>
    <t>Un</t>
  </si>
  <si>
    <t>Bg def</t>
  </si>
  <si>
    <t>new bi</t>
  </si>
  <si>
    <t>rev</t>
  </si>
  <si>
    <t>end def</t>
  </si>
  <si>
    <t>clo un</t>
  </si>
  <si>
    <t>Def Revenue</t>
  </si>
  <si>
    <t>Clearing</t>
  </si>
  <si>
    <t>AR</t>
  </si>
  <si>
    <t>Def Rev</t>
  </si>
  <si>
    <t>Buildings</t>
  </si>
  <si>
    <t>Head_Office_Building</t>
  </si>
  <si>
    <t>Manufacturing_Plant_Building</t>
  </si>
  <si>
    <t>Warehouse_Facility</t>
  </si>
  <si>
    <t>Regional_Office_Building</t>
  </si>
  <si>
    <t>Staff_Accommodation_Building</t>
  </si>
  <si>
    <t>Research_&amp;_Development_Center</t>
  </si>
  <si>
    <t>Retail_Outlet_Building</t>
  </si>
  <si>
    <t>Data_Center_Facility</t>
  </si>
  <si>
    <t>Training_Institute_Building</t>
  </si>
  <si>
    <t>Security_Control_Building</t>
  </si>
  <si>
    <t>Machinery_&amp;_Equipment</t>
  </si>
  <si>
    <t>CNC_Milling_Machine</t>
  </si>
  <si>
    <t>Injection_Molding_Machine</t>
  </si>
  <si>
    <t>Industrial_Air_Compressor</t>
  </si>
  <si>
    <t>Power_Generator</t>
  </si>
  <si>
    <t>Packaging_Conveyor_System</t>
  </si>
  <si>
    <t>Hydraulic_Press_Machine</t>
  </si>
  <si>
    <t>Boiler_System</t>
  </si>
  <si>
    <t>Forklift_Truck</t>
  </si>
  <si>
    <t>Automated_Assembly_Line</t>
  </si>
  <si>
    <t>Industrial_Cooling_System</t>
  </si>
  <si>
    <t>Vehicles</t>
  </si>
  <si>
    <t>Company_Sedan</t>
  </si>
  <si>
    <t>Delivery_Van</t>
  </si>
  <si>
    <t>Heavy_Duty_Truck</t>
  </si>
  <si>
    <t>Executive_SUV</t>
  </si>
  <si>
    <t>Sales_Team_Vehicle</t>
  </si>
  <si>
    <t>Maintenance_Pickup_Truck</t>
  </si>
  <si>
    <t>Staff_Transport_Bus</t>
  </si>
  <si>
    <t>Refrigerated_Delivery_Vehicle</t>
  </si>
  <si>
    <t>Fuel_Tanker</t>
  </si>
  <si>
    <t>Mobile_Service_Vehicle</t>
  </si>
  <si>
    <t>ASSET_NAME</t>
  </si>
  <si>
    <t>ACQUISITION_YEAR</t>
  </si>
  <si>
    <t>COST</t>
  </si>
  <si>
    <t>USEFUL_LIFE</t>
  </si>
  <si>
    <t>SALVAGE_VALUE</t>
  </si>
  <si>
    <t>Postingdate</t>
  </si>
  <si>
    <t>TransactionDate</t>
  </si>
  <si>
    <t>InstrumentId</t>
  </si>
  <si>
    <t>TransactionName</t>
  </si>
  <si>
    <t>Amount</t>
  </si>
  <si>
    <t>AtrributeId</t>
  </si>
  <si>
    <t>ASSET_BOARDING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</si>
</sst>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0" fillId="0" borderId="0" xfId="0" applyAlignment="1" applyProtection="1"/>
    <xf numFmtId="0" fontId="1" fillId="2" borderId="0" xfId="1" applyFont="1" applyFill="1" applyAlignment="1" applyProtection="1"/>
    <xf numFmtId="0" fontId="1" fillId="0" borderId="0" xfId="1" applyFont="1" applyAlignment="1" applyProtection="1"/>
    <xf numFmtId="0" fontId="1" fillId="3" borderId="0" xfId="1" applyFont="1" applyFill="1" applyAlignment="1" applyProtection="1"/>
    <xf numFmtId="14" fontId="0" fillId="2" borderId="0" xfId="1" applyNumberFormat="1" applyFont="1" applyFill="1" applyAlignment="1" applyProtection="1"/>
    <xf numFmtId="0" fontId="0" fillId="0" borderId="0" xfId="1" applyFont="1" applyAlignment="1" applyProtection="1"/>
    <xf numFmtId="0" fontId="1" fillId="0" borderId="0" xfId="0" applyFont="1" applyAlignment="1" applyProtection="1"/>
    <xf numFmtId="0" fontId="0" fillId="2" borderId="0" xfId="0" applyFont="1" applyFill="1" applyAlignment="1" applyProtection="1"/>
    <xf numFmtId="0" fontId="0" fillId="0" borderId="0" xfId="0" applyFont="1" applyAlignment="1" applyProtection="1"/>
    <xf numFmtId="0" fontId="0" fillId="0" borderId="0" xfId="0" applyAlignment="1">
      <alignment vertical="center" wrapText="1"/>
    </xf>
    <xf numFmtId="0" fontId="0" fillId="0" borderId="0" xfId="1" applyFont="1" applyFill="1" applyAlignment="1" applyProtection="1"/>
    <xf numFmtId="3" fontId="0" fillId="0" borderId="0" xfId="0" applyNumberFormat="1" applyAlignment="1">
      <alignment vertical="center" wrapText="1"/>
    </xf>
    <xf numFmtId="0" fontId="1" fillId="2" borderId="1" xfId="1" applyFont="1" applyFill="1" applyBorder="1"/>
    <xf numFmtId="0" fontId="1" fillId="0" borderId="1" xfId="1" applyFont="1" applyBorder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31"/>
  <sheetViews>
    <sheetView tabSelected="1" zoomScale="120" zoomScaleNormal="120" workbookViewId="0">
      <selection activeCell="I20" sqref="I20"/>
    </sheetView>
  </sheetViews>
  <sheetFormatPr defaultColWidth="11.5703125" defaultRowHeight="15" customHeight="1" x14ac:dyDescent="0.25"/>
  <cols>
    <col min="1" max="1" width="12" bestFit="1" customWidth="1"/>
    <col min="2" max="2" width="13.140625" bestFit="1" customWidth="1"/>
    <col min="3" max="3" width="11" bestFit="1" customWidth="1"/>
    <col min="4" max="4" width="23.85546875" bestFit="1" customWidth="1"/>
    <col min="5" max="5" width="32.28515625" style="1" bestFit="1" customWidth="1"/>
    <col min="6" max="6" width="19.140625" bestFit="1" customWidth="1"/>
    <col min="7" max="7" width="8" bestFit="1" customWidth="1"/>
    <col min="8" max="8" width="12.7109375" bestFit="1" customWidth="1"/>
    <col min="9" max="9" width="16.7109375" bestFit="1" customWidth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69</v>
      </c>
      <c r="F1" s="4" t="s">
        <v>70</v>
      </c>
      <c r="G1" s="4" t="s">
        <v>71</v>
      </c>
      <c r="H1" s="4" t="s">
        <v>72</v>
      </c>
      <c r="I1" s="4" t="s">
        <v>73</v>
      </c>
    </row>
    <row r="2" spans="1:9" x14ac:dyDescent="0.25">
      <c r="A2" s="5">
        <v>45657</v>
      </c>
      <c r="B2" s="5">
        <v>45657</v>
      </c>
      <c r="C2" s="6">
        <v>1</v>
      </c>
      <c r="D2" s="6" t="s">
        <v>36</v>
      </c>
      <c r="E2" s="6" t="s">
        <v>37</v>
      </c>
      <c r="F2" s="10">
        <v>2018</v>
      </c>
      <c r="G2" s="12">
        <v>850000</v>
      </c>
      <c r="H2" s="10">
        <v>15</v>
      </c>
      <c r="I2" s="12">
        <v>85000</v>
      </c>
    </row>
    <row r="3" spans="1:9" ht="15" customHeight="1" x14ac:dyDescent="0.25">
      <c r="A3" s="5">
        <v>45657</v>
      </c>
      <c r="B3" s="5">
        <v>45657</v>
      </c>
      <c r="C3" s="6">
        <v>2</v>
      </c>
      <c r="D3" s="6" t="s">
        <v>36</v>
      </c>
      <c r="E3" s="6" t="s">
        <v>38</v>
      </c>
      <c r="F3" s="10">
        <v>2019</v>
      </c>
      <c r="G3" s="12">
        <v>920000</v>
      </c>
      <c r="H3" s="10">
        <v>14</v>
      </c>
      <c r="I3" s="12">
        <v>92000</v>
      </c>
    </row>
    <row r="4" spans="1:9" ht="15" customHeight="1" x14ac:dyDescent="0.25">
      <c r="A4" s="5">
        <v>45657</v>
      </c>
      <c r="B4" s="5">
        <v>45657</v>
      </c>
      <c r="C4" s="6">
        <v>3</v>
      </c>
      <c r="D4" s="6" t="s">
        <v>36</v>
      </c>
      <c r="E4" s="6" t="s">
        <v>39</v>
      </c>
      <c r="F4" s="10">
        <v>2020</v>
      </c>
      <c r="G4" s="12">
        <v>700000</v>
      </c>
      <c r="H4" s="10">
        <v>12</v>
      </c>
      <c r="I4" s="12">
        <v>70000</v>
      </c>
    </row>
    <row r="5" spans="1:9" ht="15" customHeight="1" x14ac:dyDescent="0.25">
      <c r="A5" s="5">
        <v>45657</v>
      </c>
      <c r="B5" s="5">
        <v>45657</v>
      </c>
      <c r="C5" s="11">
        <v>4</v>
      </c>
      <c r="D5" t="s">
        <v>36</v>
      </c>
      <c r="E5" s="1" t="s">
        <v>40</v>
      </c>
      <c r="F5" s="10">
        <v>2021</v>
      </c>
      <c r="G5" s="12">
        <v>650000</v>
      </c>
      <c r="H5" s="10">
        <v>12</v>
      </c>
      <c r="I5" s="12">
        <v>65000</v>
      </c>
    </row>
    <row r="6" spans="1:9" ht="15" customHeight="1" x14ac:dyDescent="0.25">
      <c r="A6" s="5">
        <v>45657</v>
      </c>
      <c r="B6" s="5">
        <v>45657</v>
      </c>
      <c r="C6" s="11">
        <v>5</v>
      </c>
      <c r="D6" t="s">
        <v>36</v>
      </c>
      <c r="E6" s="1" t="s">
        <v>41</v>
      </c>
      <c r="F6" s="10">
        <v>2017</v>
      </c>
      <c r="G6" s="12">
        <v>780000</v>
      </c>
      <c r="H6" s="10">
        <v>15</v>
      </c>
      <c r="I6" s="12">
        <v>78000</v>
      </c>
    </row>
    <row r="7" spans="1:9" ht="15" customHeight="1" x14ac:dyDescent="0.25">
      <c r="A7" s="5">
        <v>45657</v>
      </c>
      <c r="B7" s="5">
        <v>45657</v>
      </c>
      <c r="C7" s="11">
        <v>6</v>
      </c>
      <c r="D7" t="s">
        <v>36</v>
      </c>
      <c r="E7" s="1" t="s">
        <v>42</v>
      </c>
      <c r="F7" s="10">
        <v>2022</v>
      </c>
      <c r="G7" s="12">
        <v>900000</v>
      </c>
      <c r="H7" s="10">
        <v>10</v>
      </c>
      <c r="I7" s="12">
        <v>90000</v>
      </c>
    </row>
    <row r="8" spans="1:9" ht="15" customHeight="1" x14ac:dyDescent="0.25">
      <c r="A8" s="5">
        <v>45657</v>
      </c>
      <c r="B8" s="5">
        <v>45657</v>
      </c>
      <c r="C8" s="11">
        <v>7</v>
      </c>
      <c r="D8" t="s">
        <v>36</v>
      </c>
      <c r="E8" s="1" t="s">
        <v>43</v>
      </c>
      <c r="F8" s="10">
        <v>2023</v>
      </c>
      <c r="G8" s="12">
        <v>600000</v>
      </c>
      <c r="H8" s="10">
        <v>10</v>
      </c>
      <c r="I8" s="12">
        <v>60000</v>
      </c>
    </row>
    <row r="9" spans="1:9" ht="15" customHeight="1" x14ac:dyDescent="0.25">
      <c r="A9" s="5">
        <v>45657</v>
      </c>
      <c r="B9" s="5">
        <v>45657</v>
      </c>
      <c r="C9" s="11">
        <v>8</v>
      </c>
      <c r="D9" t="s">
        <v>36</v>
      </c>
      <c r="E9" s="1" t="s">
        <v>44</v>
      </c>
      <c r="F9" s="10">
        <v>2021</v>
      </c>
      <c r="G9" s="12">
        <v>950000</v>
      </c>
      <c r="H9" s="10">
        <v>8</v>
      </c>
      <c r="I9" s="12">
        <v>95000</v>
      </c>
    </row>
    <row r="10" spans="1:9" ht="15" customHeight="1" x14ac:dyDescent="0.25">
      <c r="A10" s="5">
        <v>45657</v>
      </c>
      <c r="B10" s="5">
        <v>45657</v>
      </c>
      <c r="C10" s="11">
        <v>9</v>
      </c>
      <c r="D10" t="s">
        <v>36</v>
      </c>
      <c r="E10" s="1" t="s">
        <v>45</v>
      </c>
      <c r="F10" s="10">
        <v>2019</v>
      </c>
      <c r="G10" s="12">
        <v>720000</v>
      </c>
      <c r="H10" s="10">
        <v>12</v>
      </c>
      <c r="I10" s="12">
        <v>72000</v>
      </c>
    </row>
    <row r="11" spans="1:9" ht="15" customHeight="1" x14ac:dyDescent="0.25">
      <c r="A11" s="5">
        <v>45657</v>
      </c>
      <c r="B11" s="5">
        <v>45657</v>
      </c>
      <c r="C11" s="11">
        <v>10</v>
      </c>
      <c r="D11" t="s">
        <v>36</v>
      </c>
      <c r="E11" s="1" t="s">
        <v>46</v>
      </c>
      <c r="F11" s="10">
        <v>2020</v>
      </c>
      <c r="G11" s="12">
        <v>500000</v>
      </c>
      <c r="H11" s="10">
        <v>10</v>
      </c>
      <c r="I11" s="12">
        <v>50000</v>
      </c>
    </row>
    <row r="12" spans="1:9" ht="15" customHeight="1" x14ac:dyDescent="0.25">
      <c r="A12" s="5">
        <v>45657</v>
      </c>
      <c r="B12" s="5">
        <v>45657</v>
      </c>
      <c r="C12" s="6">
        <v>11</v>
      </c>
      <c r="D12" t="s">
        <v>47</v>
      </c>
      <c r="E12" s="1" t="s">
        <v>48</v>
      </c>
      <c r="F12" s="10">
        <v>2021</v>
      </c>
      <c r="G12" s="12">
        <v>420000</v>
      </c>
      <c r="H12" s="10">
        <v>10</v>
      </c>
      <c r="I12" s="12">
        <v>42000</v>
      </c>
    </row>
    <row r="13" spans="1:9" ht="15" customHeight="1" x14ac:dyDescent="0.25">
      <c r="A13" s="5">
        <v>45657</v>
      </c>
      <c r="B13" s="5">
        <v>45657</v>
      </c>
      <c r="C13" s="6">
        <v>12</v>
      </c>
      <c r="D13" t="s">
        <v>47</v>
      </c>
      <c r="E13" s="1" t="s">
        <v>49</v>
      </c>
      <c r="F13" s="10">
        <v>2020</v>
      </c>
      <c r="G13" s="12">
        <v>480000</v>
      </c>
      <c r="H13" s="10">
        <v>12</v>
      </c>
      <c r="I13" s="12">
        <v>48000</v>
      </c>
    </row>
    <row r="14" spans="1:9" ht="15" customHeight="1" x14ac:dyDescent="0.25">
      <c r="A14" s="5">
        <v>45657</v>
      </c>
      <c r="B14" s="5">
        <v>45657</v>
      </c>
      <c r="C14" s="6">
        <v>13</v>
      </c>
      <c r="D14" t="s">
        <v>47</v>
      </c>
      <c r="E14" s="1" t="s">
        <v>50</v>
      </c>
      <c r="F14" s="10">
        <v>2019</v>
      </c>
      <c r="G14" s="12">
        <v>260000</v>
      </c>
      <c r="H14" s="10">
        <v>8</v>
      </c>
      <c r="I14" s="12">
        <v>26000</v>
      </c>
    </row>
    <row r="15" spans="1:9" ht="15" customHeight="1" x14ac:dyDescent="0.25">
      <c r="A15" s="5">
        <v>45657</v>
      </c>
      <c r="B15" s="5">
        <v>45657</v>
      </c>
      <c r="C15" s="6">
        <v>14</v>
      </c>
      <c r="D15" t="s">
        <v>47</v>
      </c>
      <c r="E15" s="1" t="s">
        <v>51</v>
      </c>
      <c r="F15" s="10">
        <v>2018</v>
      </c>
      <c r="G15" s="12">
        <v>350000</v>
      </c>
      <c r="H15" s="10">
        <v>10</v>
      </c>
      <c r="I15" s="12">
        <v>35000</v>
      </c>
    </row>
    <row r="16" spans="1:9" ht="15" customHeight="1" x14ac:dyDescent="0.25">
      <c r="A16" s="5">
        <v>45657</v>
      </c>
      <c r="B16" s="5">
        <v>45657</v>
      </c>
      <c r="C16" s="6">
        <v>15</v>
      </c>
      <c r="D16" t="s">
        <v>47</v>
      </c>
      <c r="E16" s="1" t="s">
        <v>52</v>
      </c>
      <c r="F16" s="10">
        <v>2022</v>
      </c>
      <c r="G16" s="12">
        <v>300000</v>
      </c>
      <c r="H16" s="10">
        <v>7</v>
      </c>
      <c r="I16" s="12">
        <v>30000</v>
      </c>
    </row>
    <row r="17" spans="1:9" ht="15" customHeight="1" x14ac:dyDescent="0.25">
      <c r="A17" s="5">
        <v>45657</v>
      </c>
      <c r="B17" s="5">
        <v>45657</v>
      </c>
      <c r="C17" s="11">
        <v>16</v>
      </c>
      <c r="D17" t="s">
        <v>47</v>
      </c>
      <c r="E17" s="1" t="s">
        <v>53</v>
      </c>
      <c r="F17" s="10">
        <v>2020</v>
      </c>
      <c r="G17" s="12">
        <v>520000</v>
      </c>
      <c r="H17" s="10">
        <v>12</v>
      </c>
      <c r="I17" s="12">
        <v>52000</v>
      </c>
    </row>
    <row r="18" spans="1:9" ht="15" customHeight="1" x14ac:dyDescent="0.25">
      <c r="A18" s="5">
        <v>45657</v>
      </c>
      <c r="B18" s="5">
        <v>45657</v>
      </c>
      <c r="C18" s="11">
        <v>17</v>
      </c>
      <c r="D18" t="s">
        <v>47</v>
      </c>
      <c r="E18" s="1" t="s">
        <v>54</v>
      </c>
      <c r="F18" s="10">
        <v>2017</v>
      </c>
      <c r="G18" s="12">
        <v>400000</v>
      </c>
      <c r="H18" s="10">
        <v>15</v>
      </c>
      <c r="I18" s="12">
        <v>40000</v>
      </c>
    </row>
    <row r="19" spans="1:9" ht="15" customHeight="1" x14ac:dyDescent="0.25">
      <c r="A19" s="5">
        <v>45657</v>
      </c>
      <c r="B19" s="5">
        <v>45657</v>
      </c>
      <c r="C19" s="11">
        <v>18</v>
      </c>
      <c r="D19" t="s">
        <v>47</v>
      </c>
      <c r="E19" s="1" t="s">
        <v>55</v>
      </c>
      <c r="F19" s="10">
        <v>2023</v>
      </c>
      <c r="G19" s="12">
        <v>180000</v>
      </c>
      <c r="H19" s="10">
        <v>6</v>
      </c>
      <c r="I19" s="12">
        <v>18000</v>
      </c>
    </row>
    <row r="20" spans="1:9" ht="15" customHeight="1" x14ac:dyDescent="0.25">
      <c r="A20" s="5">
        <v>45657</v>
      </c>
      <c r="B20" s="5">
        <v>45657</v>
      </c>
      <c r="C20" s="11">
        <v>19</v>
      </c>
      <c r="D20" t="s">
        <v>47</v>
      </c>
      <c r="E20" s="1" t="s">
        <v>56</v>
      </c>
      <c r="F20" s="10">
        <v>2021</v>
      </c>
      <c r="G20" s="12">
        <v>750000</v>
      </c>
      <c r="H20" s="10">
        <v>10</v>
      </c>
      <c r="I20" s="12">
        <v>75000</v>
      </c>
    </row>
    <row r="21" spans="1:9" ht="15" customHeight="1" x14ac:dyDescent="0.25">
      <c r="A21" s="5">
        <v>45657</v>
      </c>
      <c r="B21" s="5">
        <v>45657</v>
      </c>
      <c r="C21" s="11">
        <v>20</v>
      </c>
      <c r="D21" t="s">
        <v>47</v>
      </c>
      <c r="E21" s="1" t="s">
        <v>57</v>
      </c>
      <c r="F21" s="10">
        <v>2019</v>
      </c>
      <c r="G21" s="12">
        <v>550000</v>
      </c>
      <c r="H21" s="10">
        <v>10</v>
      </c>
      <c r="I21" s="12">
        <v>55000</v>
      </c>
    </row>
    <row r="22" spans="1:9" ht="15" customHeight="1" x14ac:dyDescent="0.25">
      <c r="A22" s="5">
        <v>45657</v>
      </c>
      <c r="B22" s="5">
        <v>45657</v>
      </c>
      <c r="C22" s="11">
        <v>21</v>
      </c>
      <c r="D22" t="s">
        <v>58</v>
      </c>
      <c r="E22" s="1" t="s">
        <v>59</v>
      </c>
      <c r="F22" s="10">
        <v>2022</v>
      </c>
      <c r="G22" s="12">
        <v>120000</v>
      </c>
      <c r="H22" s="10">
        <v>5</v>
      </c>
      <c r="I22" s="12">
        <v>12000</v>
      </c>
    </row>
    <row r="23" spans="1:9" ht="15" customHeight="1" x14ac:dyDescent="0.25">
      <c r="A23" s="5">
        <v>45657</v>
      </c>
      <c r="B23" s="5">
        <v>45657</v>
      </c>
      <c r="C23" s="11">
        <v>22</v>
      </c>
      <c r="D23" t="s">
        <v>58</v>
      </c>
      <c r="E23" s="1" t="s">
        <v>60</v>
      </c>
      <c r="F23" s="10">
        <v>2021</v>
      </c>
      <c r="G23" s="12">
        <v>150000</v>
      </c>
      <c r="H23" s="10">
        <v>6</v>
      </c>
      <c r="I23" s="12">
        <v>15000</v>
      </c>
    </row>
    <row r="24" spans="1:9" ht="15" customHeight="1" x14ac:dyDescent="0.25">
      <c r="A24" s="5">
        <v>45657</v>
      </c>
      <c r="B24" s="5">
        <v>45657</v>
      </c>
      <c r="C24" s="6">
        <v>23</v>
      </c>
      <c r="D24" t="s">
        <v>58</v>
      </c>
      <c r="E24" s="1" t="s">
        <v>61</v>
      </c>
      <c r="F24" s="10">
        <v>2020</v>
      </c>
      <c r="G24" s="12">
        <v>350000</v>
      </c>
      <c r="H24" s="10">
        <v>8</v>
      </c>
      <c r="I24" s="12">
        <v>35000</v>
      </c>
    </row>
    <row r="25" spans="1:9" ht="15" customHeight="1" x14ac:dyDescent="0.25">
      <c r="A25" s="5">
        <v>45657</v>
      </c>
      <c r="B25" s="5">
        <v>45657</v>
      </c>
      <c r="C25" s="6">
        <v>24</v>
      </c>
      <c r="D25" t="s">
        <v>58</v>
      </c>
      <c r="E25" s="1" t="s">
        <v>62</v>
      </c>
      <c r="F25" s="10">
        <v>2023</v>
      </c>
      <c r="G25" s="12">
        <v>220000</v>
      </c>
      <c r="H25" s="10">
        <v>5</v>
      </c>
      <c r="I25" s="12">
        <v>22000</v>
      </c>
    </row>
    <row r="26" spans="1:9" ht="15" customHeight="1" x14ac:dyDescent="0.25">
      <c r="A26" s="5">
        <v>45657</v>
      </c>
      <c r="B26" s="5">
        <v>45657</v>
      </c>
      <c r="C26" s="6">
        <v>25</v>
      </c>
      <c r="D26" t="s">
        <v>58</v>
      </c>
      <c r="E26" s="1" t="s">
        <v>63</v>
      </c>
      <c r="F26" s="10">
        <v>2022</v>
      </c>
      <c r="G26" s="12">
        <v>140000</v>
      </c>
      <c r="H26" s="10">
        <v>5</v>
      </c>
      <c r="I26" s="12">
        <v>14000</v>
      </c>
    </row>
    <row r="27" spans="1:9" ht="15" customHeight="1" x14ac:dyDescent="0.25">
      <c r="A27" s="5">
        <v>45657</v>
      </c>
      <c r="B27" s="5">
        <v>45657</v>
      </c>
      <c r="C27" s="6">
        <v>26</v>
      </c>
      <c r="D27" t="s">
        <v>58</v>
      </c>
      <c r="E27" s="1" t="s">
        <v>64</v>
      </c>
      <c r="F27" s="10">
        <v>2021</v>
      </c>
      <c r="G27" s="12">
        <v>180000</v>
      </c>
      <c r="H27" s="10">
        <v>6</v>
      </c>
      <c r="I27" s="12">
        <v>18000</v>
      </c>
    </row>
    <row r="28" spans="1:9" ht="15" customHeight="1" x14ac:dyDescent="0.25">
      <c r="A28" s="5">
        <v>45657</v>
      </c>
      <c r="B28" s="5">
        <v>45657</v>
      </c>
      <c r="C28" s="6">
        <v>27</v>
      </c>
      <c r="D28" t="s">
        <v>58</v>
      </c>
      <c r="E28" s="1" t="s">
        <v>65</v>
      </c>
      <c r="F28" s="10">
        <v>2019</v>
      </c>
      <c r="G28" s="12">
        <v>420000</v>
      </c>
      <c r="H28" s="10">
        <v>10</v>
      </c>
      <c r="I28" s="12">
        <v>42000</v>
      </c>
    </row>
    <row r="29" spans="1:9" ht="15" customHeight="1" x14ac:dyDescent="0.25">
      <c r="A29" s="5">
        <v>45657</v>
      </c>
      <c r="B29" s="5">
        <v>45657</v>
      </c>
      <c r="C29" s="11">
        <v>28</v>
      </c>
      <c r="D29" t="s">
        <v>58</v>
      </c>
      <c r="E29" s="1" t="s">
        <v>66</v>
      </c>
      <c r="F29" s="10">
        <v>2020</v>
      </c>
      <c r="G29" s="12">
        <v>320000</v>
      </c>
      <c r="H29" s="10">
        <v>7</v>
      </c>
      <c r="I29" s="12">
        <v>32000</v>
      </c>
    </row>
    <row r="30" spans="1:9" ht="15" customHeight="1" x14ac:dyDescent="0.25">
      <c r="A30" s="5">
        <v>45657</v>
      </c>
      <c r="B30" s="5">
        <v>45657</v>
      </c>
      <c r="C30" s="11">
        <v>29</v>
      </c>
      <c r="D30" t="s">
        <v>58</v>
      </c>
      <c r="E30" s="1" t="s">
        <v>67</v>
      </c>
      <c r="F30" s="10">
        <v>2018</v>
      </c>
      <c r="G30" s="12">
        <v>550000</v>
      </c>
      <c r="H30" s="10">
        <v>12</v>
      </c>
      <c r="I30" s="12">
        <v>55000</v>
      </c>
    </row>
    <row r="31" spans="1:9" ht="15" customHeight="1" x14ac:dyDescent="0.25">
      <c r="A31" s="5">
        <v>45657</v>
      </c>
      <c r="B31" s="5">
        <v>45657</v>
      </c>
      <c r="C31" s="11">
        <v>30</v>
      </c>
      <c r="D31" t="s">
        <v>58</v>
      </c>
      <c r="E31" s="1" t="s">
        <v>68</v>
      </c>
      <c r="F31" s="10">
        <v>2021</v>
      </c>
      <c r="G31" s="12">
        <v>200000</v>
      </c>
      <c r="H31" s="10">
        <v>6</v>
      </c>
      <c r="I31" s="12">
        <v>20000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C9A27-CA41-49FB-9E34-202C6C4368FB}">
  <sheetPr>
    <tabColor rgb="FFFFC000"/>
  </sheetPr>
  <dimension ref="A1:F31"/>
  <sheetViews>
    <sheetView zoomScaleNormal="100" workbookViewId="0"/>
  </sheetViews>
  <sheetFormatPr defaultColWidth="8.7109375" defaultRowHeight="15" customHeight="1" x14ac:dyDescent="0.25"/>
  <cols>
    <col min="1" max="1" width="15.42578125" customWidth="1"/>
    <col min="2" max="2" width="12.5703125" customWidth="1"/>
    <col min="3" max="3" width="16.5703125" customWidth="1"/>
    <col min="4" max="4" width="9.28515625" customWidth="1"/>
    <col min="5" max="5" width="10.85546875" customWidth="1"/>
  </cols>
  <sheetData>
    <row r="1" spans="1:6" x14ac:dyDescent="0.25">
      <c r="A1" s="13" t="s">
        <v>74</v>
      </c>
      <c r="B1" s="14" t="s">
        <v>75</v>
      </c>
      <c r="C1" s="14" t="s">
        <v>76</v>
      </c>
      <c r="D1" s="14" t="s">
        <v>77</v>
      </c>
      <c r="E1" s="14" t="s">
        <v>78</v>
      </c>
      <c r="F1" s="14" t="s">
        <v>79</v>
      </c>
    </row>
    <row r="2" spans="1:6" x14ac:dyDescent="0.25">
      <c r="A2" s="5">
        <v>45657</v>
      </c>
      <c r="B2" s="5">
        <v>45657</v>
      </c>
      <c r="C2" s="6" t="s">
        <v>36</v>
      </c>
      <c r="D2" t="s">
        <v>80</v>
      </c>
      <c r="E2" s="12">
        <v>850000</v>
      </c>
      <c r="F2" s="6">
        <v>1</v>
      </c>
    </row>
    <row r="3" spans="1:6" ht="15" customHeight="1" x14ac:dyDescent="0.25">
      <c r="A3" s="5">
        <v>45657</v>
      </c>
      <c r="B3" s="5">
        <v>45657</v>
      </c>
      <c r="C3" s="6" t="s">
        <v>36</v>
      </c>
      <c r="D3" t="s">
        <v>80</v>
      </c>
      <c r="E3" s="12">
        <v>920000</v>
      </c>
      <c r="F3" s="6">
        <v>2</v>
      </c>
    </row>
    <row r="4" spans="1:6" ht="15" customHeight="1" x14ac:dyDescent="0.25">
      <c r="A4" s="5">
        <v>45657</v>
      </c>
      <c r="B4" s="5">
        <v>45657</v>
      </c>
      <c r="C4" s="6" t="s">
        <v>36</v>
      </c>
      <c r="D4" t="s">
        <v>80</v>
      </c>
      <c r="E4" s="12">
        <v>700000</v>
      </c>
      <c r="F4" s="6">
        <v>3</v>
      </c>
    </row>
    <row r="5" spans="1:6" ht="15" customHeight="1" x14ac:dyDescent="0.25">
      <c r="A5" s="5">
        <v>45657</v>
      </c>
      <c r="B5" s="5">
        <v>45657</v>
      </c>
      <c r="C5" t="s">
        <v>36</v>
      </c>
      <c r="D5" t="s">
        <v>80</v>
      </c>
      <c r="E5" s="12">
        <v>650000</v>
      </c>
      <c r="F5" s="11">
        <v>4</v>
      </c>
    </row>
    <row r="6" spans="1:6" ht="15" customHeight="1" x14ac:dyDescent="0.25">
      <c r="A6" s="5">
        <v>45657</v>
      </c>
      <c r="B6" s="5">
        <v>45657</v>
      </c>
      <c r="C6" t="s">
        <v>36</v>
      </c>
      <c r="D6" t="s">
        <v>80</v>
      </c>
      <c r="E6" s="12">
        <v>780000</v>
      </c>
      <c r="F6" s="11">
        <v>5</v>
      </c>
    </row>
    <row r="7" spans="1:6" ht="15" customHeight="1" x14ac:dyDescent="0.25">
      <c r="A7" s="5">
        <v>45657</v>
      </c>
      <c r="B7" s="5">
        <v>45657</v>
      </c>
      <c r="C7" t="s">
        <v>36</v>
      </c>
      <c r="D7" t="s">
        <v>80</v>
      </c>
      <c r="E7" s="12">
        <v>900000</v>
      </c>
      <c r="F7" s="11">
        <v>6</v>
      </c>
    </row>
    <row r="8" spans="1:6" ht="15" customHeight="1" x14ac:dyDescent="0.25">
      <c r="A8" s="5">
        <v>45657</v>
      </c>
      <c r="B8" s="5">
        <v>45657</v>
      </c>
      <c r="C8" t="s">
        <v>36</v>
      </c>
      <c r="D8" t="s">
        <v>80</v>
      </c>
      <c r="E8" s="12">
        <v>600000</v>
      </c>
      <c r="F8" s="11">
        <v>7</v>
      </c>
    </row>
    <row r="9" spans="1:6" ht="15" customHeight="1" x14ac:dyDescent="0.25">
      <c r="A9" s="5">
        <v>45657</v>
      </c>
      <c r="B9" s="5">
        <v>45657</v>
      </c>
      <c r="C9" t="s">
        <v>36</v>
      </c>
      <c r="D9" t="s">
        <v>80</v>
      </c>
      <c r="E9" s="12">
        <v>950000</v>
      </c>
      <c r="F9" s="11">
        <v>8</v>
      </c>
    </row>
    <row r="10" spans="1:6" ht="15" customHeight="1" x14ac:dyDescent="0.25">
      <c r="A10" s="5">
        <v>45657</v>
      </c>
      <c r="B10" s="5">
        <v>45657</v>
      </c>
      <c r="C10" t="s">
        <v>36</v>
      </c>
      <c r="D10" t="s">
        <v>80</v>
      </c>
      <c r="E10" s="12">
        <v>720000</v>
      </c>
      <c r="F10" s="11">
        <v>9</v>
      </c>
    </row>
    <row r="11" spans="1:6" ht="15" customHeight="1" x14ac:dyDescent="0.25">
      <c r="A11" s="5">
        <v>45657</v>
      </c>
      <c r="B11" s="5">
        <v>45657</v>
      </c>
      <c r="C11" t="s">
        <v>36</v>
      </c>
      <c r="D11" t="s">
        <v>80</v>
      </c>
      <c r="E11" s="12">
        <v>500000</v>
      </c>
      <c r="F11" s="11">
        <v>10</v>
      </c>
    </row>
    <row r="12" spans="1:6" ht="15" customHeight="1" x14ac:dyDescent="0.25">
      <c r="A12" s="5">
        <v>45657</v>
      </c>
      <c r="B12" s="5">
        <v>45657</v>
      </c>
      <c r="C12" t="s">
        <v>47</v>
      </c>
      <c r="D12" t="s">
        <v>80</v>
      </c>
      <c r="E12" s="12">
        <v>420000</v>
      </c>
      <c r="F12" s="6">
        <v>1</v>
      </c>
    </row>
    <row r="13" spans="1:6" ht="15" customHeight="1" x14ac:dyDescent="0.25">
      <c r="A13" s="5">
        <v>45657</v>
      </c>
      <c r="B13" s="5">
        <v>45657</v>
      </c>
      <c r="C13" t="s">
        <v>47</v>
      </c>
      <c r="D13" t="s">
        <v>80</v>
      </c>
      <c r="E13" s="12">
        <v>480000</v>
      </c>
      <c r="F13" s="6">
        <v>2</v>
      </c>
    </row>
    <row r="14" spans="1:6" ht="15" customHeight="1" x14ac:dyDescent="0.25">
      <c r="A14" s="5">
        <v>45657</v>
      </c>
      <c r="B14" s="5">
        <v>45657</v>
      </c>
      <c r="C14" t="s">
        <v>47</v>
      </c>
      <c r="D14" t="s">
        <v>80</v>
      </c>
      <c r="E14" s="12">
        <v>260000</v>
      </c>
      <c r="F14" s="6">
        <v>3</v>
      </c>
    </row>
    <row r="15" spans="1:6" ht="15" customHeight="1" x14ac:dyDescent="0.25">
      <c r="A15" s="5">
        <v>45657</v>
      </c>
      <c r="B15" s="5">
        <v>45657</v>
      </c>
      <c r="C15" t="s">
        <v>47</v>
      </c>
      <c r="D15" t="s">
        <v>80</v>
      </c>
      <c r="E15" s="12">
        <v>350000</v>
      </c>
      <c r="F15" s="11">
        <v>4</v>
      </c>
    </row>
    <row r="16" spans="1:6" ht="15" customHeight="1" x14ac:dyDescent="0.25">
      <c r="A16" s="5">
        <v>45657</v>
      </c>
      <c r="B16" s="5">
        <v>45657</v>
      </c>
      <c r="C16" t="s">
        <v>47</v>
      </c>
      <c r="D16" t="s">
        <v>80</v>
      </c>
      <c r="E16" s="12">
        <v>300000</v>
      </c>
      <c r="F16" s="11">
        <v>5</v>
      </c>
    </row>
    <row r="17" spans="1:6" ht="15" customHeight="1" x14ac:dyDescent="0.25">
      <c r="A17" s="5">
        <v>45657</v>
      </c>
      <c r="B17" s="5">
        <v>45657</v>
      </c>
      <c r="C17" t="s">
        <v>47</v>
      </c>
      <c r="D17" t="s">
        <v>80</v>
      </c>
      <c r="E17" s="12">
        <v>520000</v>
      </c>
      <c r="F17" s="11">
        <v>6</v>
      </c>
    </row>
    <row r="18" spans="1:6" ht="15" customHeight="1" x14ac:dyDescent="0.25">
      <c r="A18" s="5">
        <v>45657</v>
      </c>
      <c r="B18" s="5">
        <v>45657</v>
      </c>
      <c r="C18" t="s">
        <v>47</v>
      </c>
      <c r="D18" t="s">
        <v>80</v>
      </c>
      <c r="E18" s="12">
        <v>400000</v>
      </c>
      <c r="F18" s="11">
        <v>7</v>
      </c>
    </row>
    <row r="19" spans="1:6" ht="15" customHeight="1" x14ac:dyDescent="0.25">
      <c r="A19" s="5">
        <v>45657</v>
      </c>
      <c r="B19" s="5">
        <v>45657</v>
      </c>
      <c r="C19" t="s">
        <v>47</v>
      </c>
      <c r="D19" t="s">
        <v>80</v>
      </c>
      <c r="E19" s="12">
        <v>180000</v>
      </c>
      <c r="F19" s="11">
        <v>8</v>
      </c>
    </row>
    <row r="20" spans="1:6" ht="15" customHeight="1" x14ac:dyDescent="0.25">
      <c r="A20" s="5">
        <v>45657</v>
      </c>
      <c r="B20" s="5">
        <v>45657</v>
      </c>
      <c r="C20" t="s">
        <v>47</v>
      </c>
      <c r="D20" t="s">
        <v>80</v>
      </c>
      <c r="E20" s="12">
        <v>750000</v>
      </c>
      <c r="F20" s="11">
        <v>9</v>
      </c>
    </row>
    <row r="21" spans="1:6" ht="15" customHeight="1" x14ac:dyDescent="0.25">
      <c r="A21" s="5">
        <v>45657</v>
      </c>
      <c r="B21" s="5">
        <v>45657</v>
      </c>
      <c r="C21" t="s">
        <v>47</v>
      </c>
      <c r="D21" t="s">
        <v>80</v>
      </c>
      <c r="E21" s="12">
        <v>550000</v>
      </c>
      <c r="F21" s="11">
        <v>10</v>
      </c>
    </row>
    <row r="22" spans="1:6" ht="15" customHeight="1" x14ac:dyDescent="0.25">
      <c r="A22" s="5">
        <v>45657</v>
      </c>
      <c r="B22" s="5">
        <v>45657</v>
      </c>
      <c r="C22" t="s">
        <v>58</v>
      </c>
      <c r="D22" t="s">
        <v>80</v>
      </c>
      <c r="E22" s="12">
        <v>120000</v>
      </c>
      <c r="F22" s="6">
        <v>1</v>
      </c>
    </row>
    <row r="23" spans="1:6" ht="15" customHeight="1" x14ac:dyDescent="0.25">
      <c r="A23" s="5">
        <v>45657</v>
      </c>
      <c r="B23" s="5">
        <v>45657</v>
      </c>
      <c r="C23" t="s">
        <v>58</v>
      </c>
      <c r="D23" t="s">
        <v>80</v>
      </c>
      <c r="E23" s="12">
        <v>150000</v>
      </c>
      <c r="F23" s="6">
        <v>2</v>
      </c>
    </row>
    <row r="24" spans="1:6" ht="15" customHeight="1" x14ac:dyDescent="0.25">
      <c r="A24" s="5">
        <v>45657</v>
      </c>
      <c r="B24" s="5">
        <v>45657</v>
      </c>
      <c r="C24" t="s">
        <v>58</v>
      </c>
      <c r="D24" t="s">
        <v>80</v>
      </c>
      <c r="E24" s="12">
        <v>350000</v>
      </c>
      <c r="F24" s="6">
        <v>3</v>
      </c>
    </row>
    <row r="25" spans="1:6" ht="15" customHeight="1" x14ac:dyDescent="0.25">
      <c r="A25" s="5">
        <v>45657</v>
      </c>
      <c r="B25" s="5">
        <v>45657</v>
      </c>
      <c r="C25" t="s">
        <v>58</v>
      </c>
      <c r="D25" t="s">
        <v>80</v>
      </c>
      <c r="E25" s="12">
        <v>220000</v>
      </c>
      <c r="F25" s="11">
        <v>4</v>
      </c>
    </row>
    <row r="26" spans="1:6" ht="15" customHeight="1" x14ac:dyDescent="0.25">
      <c r="A26" s="5">
        <v>45657</v>
      </c>
      <c r="B26" s="5">
        <v>45657</v>
      </c>
      <c r="C26" t="s">
        <v>58</v>
      </c>
      <c r="D26" t="s">
        <v>80</v>
      </c>
      <c r="E26" s="12">
        <v>140000</v>
      </c>
      <c r="F26" s="11">
        <v>5</v>
      </c>
    </row>
    <row r="27" spans="1:6" ht="15" customHeight="1" x14ac:dyDescent="0.25">
      <c r="A27" s="5">
        <v>45657</v>
      </c>
      <c r="B27" s="5">
        <v>45657</v>
      </c>
      <c r="C27" t="s">
        <v>58</v>
      </c>
      <c r="D27" t="s">
        <v>80</v>
      </c>
      <c r="E27" s="12">
        <v>180000</v>
      </c>
      <c r="F27" s="11">
        <v>6</v>
      </c>
    </row>
    <row r="28" spans="1:6" ht="15" customHeight="1" x14ac:dyDescent="0.25">
      <c r="A28" s="5">
        <v>45657</v>
      </c>
      <c r="B28" s="5">
        <v>45657</v>
      </c>
      <c r="C28" t="s">
        <v>58</v>
      </c>
      <c r="D28" t="s">
        <v>80</v>
      </c>
      <c r="E28" s="12">
        <v>420000</v>
      </c>
      <c r="F28" s="11">
        <v>7</v>
      </c>
    </row>
    <row r="29" spans="1:6" ht="15" customHeight="1" x14ac:dyDescent="0.25">
      <c r="A29" s="5">
        <v>45657</v>
      </c>
      <c r="B29" s="5">
        <v>45657</v>
      </c>
      <c r="C29" t="s">
        <v>58</v>
      </c>
      <c r="D29" t="s">
        <v>80</v>
      </c>
      <c r="E29" s="12">
        <v>320000</v>
      </c>
      <c r="F29" s="11">
        <v>8</v>
      </c>
    </row>
    <row r="30" spans="1:6" ht="15" customHeight="1" x14ac:dyDescent="0.25">
      <c r="A30" s="5">
        <v>45657</v>
      </c>
      <c r="B30" s="5">
        <v>45657</v>
      </c>
      <c r="C30" t="s">
        <v>58</v>
      </c>
      <c r="D30" t="s">
        <v>80</v>
      </c>
      <c r="E30" s="12">
        <v>550000</v>
      </c>
      <c r="F30" s="11">
        <v>9</v>
      </c>
    </row>
    <row r="31" spans="1:6" ht="15" customHeight="1" x14ac:dyDescent="0.25">
      <c r="A31" s="5">
        <v>45657</v>
      </c>
      <c r="B31" s="5">
        <v>45657</v>
      </c>
      <c r="C31" t="s">
        <v>58</v>
      </c>
      <c r="D31" t="s">
        <v>80</v>
      </c>
      <c r="E31" s="12">
        <v>200000</v>
      </c>
      <c r="F31" s="11">
        <v>10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15"/>
  <sheetViews>
    <sheetView zoomScale="120" zoomScaleNormal="120" workbookViewId="0">
      <selection activeCell="B28" sqref="B28"/>
    </sheetView>
  </sheetViews>
  <sheetFormatPr defaultColWidth="8.7109375" defaultRowHeight="15" customHeight="1" x14ac:dyDescent="0.25"/>
  <cols>
    <col min="1" max="1" width="57.7109375" style="1" customWidth="1"/>
    <col min="2" max="2" width="27" style="1" customWidth="1"/>
    <col min="3" max="3" width="29" style="1" customWidth="1"/>
    <col min="4" max="4" width="34.7109375" style="1" customWidth="1"/>
  </cols>
  <sheetData>
    <row r="1" spans="1:6" x14ac:dyDescent="0.25">
      <c r="A1" s="7" t="s">
        <v>4</v>
      </c>
    </row>
    <row r="2" spans="1:6" x14ac:dyDescent="0.25">
      <c r="A2" s="1" t="s">
        <v>5</v>
      </c>
      <c r="B2" s="7" t="s">
        <v>6</v>
      </c>
      <c r="C2" s="7" t="s">
        <v>7</v>
      </c>
      <c r="D2" s="7" t="s">
        <v>8</v>
      </c>
      <c r="E2" s="7" t="s">
        <v>9</v>
      </c>
      <c r="F2" s="7" t="s">
        <v>10</v>
      </c>
    </row>
    <row r="3" spans="1:6" x14ac:dyDescent="0.25">
      <c r="A3" s="1" t="str">
        <f t="shared" ref="A3:A14" si="0">CONCATENATE(C3,F3,E3)</f>
        <v>Revenueamount&gt;1Dr</v>
      </c>
      <c r="B3" s="1">
        <v>1</v>
      </c>
      <c r="C3" s="1" t="s">
        <v>11</v>
      </c>
      <c r="D3" s="1" t="s">
        <v>12</v>
      </c>
      <c r="E3" s="1" t="s">
        <v>13</v>
      </c>
      <c r="F3" s="1" t="s">
        <v>14</v>
      </c>
    </row>
    <row r="4" spans="1:6" x14ac:dyDescent="0.25">
      <c r="A4" s="1" t="str">
        <f t="shared" si="0"/>
        <v>Revenueamount&gt;1Cr</v>
      </c>
      <c r="B4" s="1">
        <v>2</v>
      </c>
      <c r="C4" s="8" t="s">
        <v>11</v>
      </c>
      <c r="D4" s="8" t="s">
        <v>12</v>
      </c>
      <c r="E4" s="8" t="s">
        <v>15</v>
      </c>
      <c r="F4" s="9" t="s">
        <v>14</v>
      </c>
    </row>
    <row r="5" spans="1:6" x14ac:dyDescent="0.25">
      <c r="A5" s="1" t="str">
        <f t="shared" si="0"/>
        <v>Revenueamount&lt;1Dr</v>
      </c>
      <c r="B5" s="1">
        <v>3</v>
      </c>
      <c r="C5" s="8" t="s">
        <v>11</v>
      </c>
      <c r="D5" s="8" t="s">
        <v>16</v>
      </c>
      <c r="E5" s="8" t="s">
        <v>13</v>
      </c>
      <c r="F5" s="9" t="s">
        <v>17</v>
      </c>
    </row>
    <row r="6" spans="1:6" x14ac:dyDescent="0.25">
      <c r="A6" s="1" t="str">
        <f t="shared" si="0"/>
        <v>Revenueamount&lt;1Cr</v>
      </c>
      <c r="B6" s="1">
        <v>4</v>
      </c>
      <c r="C6" s="1" t="s">
        <v>11</v>
      </c>
      <c r="D6" s="1" t="s">
        <v>16</v>
      </c>
      <c r="E6" s="1" t="s">
        <v>15</v>
      </c>
      <c r="F6" s="1" t="s">
        <v>17</v>
      </c>
    </row>
    <row r="7" spans="1:6" x14ac:dyDescent="0.25">
      <c r="A7" s="1" t="str">
        <f t="shared" si="0"/>
        <v>Deferred Revenueamount&gt;1Dr</v>
      </c>
      <c r="B7" s="1">
        <v>5</v>
      </c>
      <c r="C7" s="1" t="s">
        <v>18</v>
      </c>
      <c r="D7" s="1" t="s">
        <v>12</v>
      </c>
      <c r="E7" s="1" t="s">
        <v>13</v>
      </c>
      <c r="F7" s="1" t="s">
        <v>14</v>
      </c>
    </row>
    <row r="8" spans="1:6" x14ac:dyDescent="0.25">
      <c r="A8" s="1" t="str">
        <f t="shared" si="0"/>
        <v>Deferred Revenueamount&gt;1Cr</v>
      </c>
      <c r="B8" s="1">
        <v>6</v>
      </c>
      <c r="C8" s="1" t="s">
        <v>18</v>
      </c>
      <c r="D8" s="1" t="s">
        <v>12</v>
      </c>
      <c r="E8" s="1" t="s">
        <v>15</v>
      </c>
      <c r="F8" s="1" t="s">
        <v>14</v>
      </c>
    </row>
    <row r="9" spans="1:6" x14ac:dyDescent="0.25">
      <c r="A9" s="1" t="str">
        <f t="shared" si="0"/>
        <v>Deferred Revenueamount&lt;1Dr</v>
      </c>
      <c r="B9" s="1">
        <v>7</v>
      </c>
      <c r="C9" s="1" t="s">
        <v>18</v>
      </c>
      <c r="D9" s="1" t="s">
        <v>16</v>
      </c>
      <c r="E9" s="1" t="s">
        <v>13</v>
      </c>
      <c r="F9" s="1" t="s">
        <v>17</v>
      </c>
    </row>
    <row r="10" spans="1:6" x14ac:dyDescent="0.25">
      <c r="A10" s="1" t="str">
        <f t="shared" si="0"/>
        <v>Deferred Revenueamount&lt;1Cr</v>
      </c>
      <c r="B10" s="1">
        <v>8</v>
      </c>
      <c r="C10" s="1" t="s">
        <v>18</v>
      </c>
      <c r="D10" s="1" t="s">
        <v>16</v>
      </c>
      <c r="E10" s="1" t="s">
        <v>15</v>
      </c>
      <c r="F10" s="1" t="s">
        <v>17</v>
      </c>
    </row>
    <row r="11" spans="1:6" x14ac:dyDescent="0.25">
      <c r="A11" s="1" t="str">
        <f t="shared" si="0"/>
        <v>A/Ramount&gt;1Dr</v>
      </c>
      <c r="B11" s="1">
        <v>9</v>
      </c>
      <c r="C11" s="1" t="s">
        <v>19</v>
      </c>
      <c r="D11" s="1" t="s">
        <v>12</v>
      </c>
      <c r="E11" s="1" t="s">
        <v>13</v>
      </c>
      <c r="F11" s="1" t="s">
        <v>14</v>
      </c>
    </row>
    <row r="12" spans="1:6" x14ac:dyDescent="0.25">
      <c r="A12" s="1" t="str">
        <f t="shared" si="0"/>
        <v>A/Ramount&gt;1Cr</v>
      </c>
      <c r="B12" s="1">
        <v>10</v>
      </c>
      <c r="C12" s="1" t="s">
        <v>19</v>
      </c>
      <c r="D12" s="1" t="s">
        <v>12</v>
      </c>
      <c r="E12" s="1" t="s">
        <v>15</v>
      </c>
      <c r="F12" s="1" t="s">
        <v>14</v>
      </c>
    </row>
    <row r="13" spans="1:6" x14ac:dyDescent="0.25">
      <c r="A13" s="1" t="str">
        <f t="shared" si="0"/>
        <v>A/Ramount&lt;1Dr</v>
      </c>
      <c r="B13" s="1">
        <v>11</v>
      </c>
      <c r="C13" s="1" t="s">
        <v>19</v>
      </c>
      <c r="D13" s="1" t="s">
        <v>16</v>
      </c>
      <c r="E13" s="1" t="s">
        <v>13</v>
      </c>
      <c r="F13" s="1" t="s">
        <v>17</v>
      </c>
    </row>
    <row r="14" spans="1:6" x14ac:dyDescent="0.25">
      <c r="A14" s="1" t="str">
        <f t="shared" si="0"/>
        <v>A/Ramount&lt;1Cr</v>
      </c>
      <c r="B14" s="1">
        <v>12</v>
      </c>
      <c r="C14" s="1" t="s">
        <v>19</v>
      </c>
      <c r="D14" s="1" t="s">
        <v>16</v>
      </c>
      <c r="E14" s="1" t="s">
        <v>15</v>
      </c>
      <c r="F14" s="1" t="s">
        <v>17</v>
      </c>
    </row>
    <row r="15" spans="1:6" x14ac:dyDescent="0.25">
      <c r="A15" s="1" t="str">
        <f>CONCATENATE(C15,D15,E15)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O25"/>
  <sheetViews>
    <sheetView zoomScale="120" zoomScaleNormal="120" workbookViewId="0">
      <selection activeCell="Q20" sqref="Q20"/>
    </sheetView>
  </sheetViews>
  <sheetFormatPr defaultColWidth="8.7109375" defaultRowHeight="15" customHeight="1" x14ac:dyDescent="0.25"/>
  <cols>
    <col min="9" max="9" width="8.85546875" style="9" customWidth="1"/>
  </cols>
  <sheetData>
    <row r="1" spans="2:15" x14ac:dyDescent="0.25">
      <c r="B1" s="1">
        <v>1</v>
      </c>
      <c r="D1" s="1" t="s">
        <v>13</v>
      </c>
      <c r="E1" s="1" t="s">
        <v>15</v>
      </c>
      <c r="G1" s="7" t="s">
        <v>20</v>
      </c>
      <c r="H1" s="7" t="s">
        <v>21</v>
      </c>
      <c r="I1" s="7"/>
    </row>
    <row r="2" spans="2:15" x14ac:dyDescent="0.25">
      <c r="C2" s="1" t="s">
        <v>22</v>
      </c>
      <c r="D2" s="1">
        <v>100</v>
      </c>
      <c r="G2" s="1" t="s">
        <v>23</v>
      </c>
      <c r="H2" s="9" t="s">
        <v>23</v>
      </c>
    </row>
    <row r="3" spans="2:15" x14ac:dyDescent="0.25">
      <c r="C3" s="1" t="s">
        <v>24</v>
      </c>
      <c r="E3" s="1">
        <v>-100</v>
      </c>
      <c r="G3" s="1" t="s">
        <v>11</v>
      </c>
      <c r="H3" s="9" t="s">
        <v>23</v>
      </c>
    </row>
    <row r="5" spans="2:15" x14ac:dyDescent="0.25">
      <c r="B5" s="1">
        <v>2</v>
      </c>
      <c r="C5" s="9" t="str">
        <f>C2</f>
        <v>Def</v>
      </c>
      <c r="D5" s="9">
        <v>100</v>
      </c>
      <c r="E5" s="9"/>
      <c r="G5" s="9" t="s">
        <v>23</v>
      </c>
      <c r="H5" s="9" t="s">
        <v>23</v>
      </c>
    </row>
    <row r="6" spans="2:15" x14ac:dyDescent="0.25">
      <c r="C6" s="9" t="s">
        <v>24</v>
      </c>
      <c r="D6" s="9"/>
      <c r="E6" s="9">
        <v>-100</v>
      </c>
      <c r="G6" s="9" t="s">
        <v>11</v>
      </c>
      <c r="H6" s="9" t="s">
        <v>23</v>
      </c>
    </row>
    <row r="8" spans="2:15" x14ac:dyDescent="0.25">
      <c r="B8" s="1">
        <v>3</v>
      </c>
      <c r="C8" s="9" t="s">
        <v>24</v>
      </c>
      <c r="D8" s="9">
        <v>200</v>
      </c>
      <c r="E8" s="9"/>
      <c r="F8" s="9"/>
      <c r="G8" s="9" t="s">
        <v>11</v>
      </c>
      <c r="H8" s="9" t="s">
        <v>25</v>
      </c>
    </row>
    <row r="9" spans="2:15" x14ac:dyDescent="0.25">
      <c r="C9" s="9" t="s">
        <v>22</v>
      </c>
      <c r="D9" s="9"/>
      <c r="E9" s="9">
        <v>-200</v>
      </c>
      <c r="F9" s="9"/>
      <c r="G9" s="9" t="s">
        <v>23</v>
      </c>
      <c r="H9" s="9" t="s">
        <v>25</v>
      </c>
    </row>
    <row r="10" spans="2:15" x14ac:dyDescent="0.25">
      <c r="J10" s="9" t="s">
        <v>26</v>
      </c>
      <c r="K10" s="9" t="s">
        <v>27</v>
      </c>
      <c r="L10" s="9" t="s">
        <v>28</v>
      </c>
      <c r="M10" s="9" t="s">
        <v>29</v>
      </c>
      <c r="N10" s="9" t="s">
        <v>30</v>
      </c>
      <c r="O10" s="9" t="s">
        <v>31</v>
      </c>
    </row>
    <row r="11" spans="2:15" x14ac:dyDescent="0.25">
      <c r="B11" s="1">
        <v>3</v>
      </c>
      <c r="C11" s="1" t="s">
        <v>22</v>
      </c>
      <c r="D11" s="1">
        <v>200</v>
      </c>
      <c r="G11" s="9" t="s">
        <v>32</v>
      </c>
      <c r="H11" s="9" t="s">
        <v>25</v>
      </c>
      <c r="M11" s="1">
        <v>100</v>
      </c>
      <c r="O11" s="1">
        <v>100</v>
      </c>
    </row>
    <row r="12" spans="2:15" x14ac:dyDescent="0.25">
      <c r="C12" s="1" t="s">
        <v>24</v>
      </c>
      <c r="E12" s="1">
        <v>-200</v>
      </c>
      <c r="G12" s="9" t="str">
        <f>G8</f>
        <v>Revenue</v>
      </c>
      <c r="H12" s="9" t="s">
        <v>25</v>
      </c>
      <c r="J12" s="9">
        <f>O11</f>
        <v>100</v>
      </c>
      <c r="M12" s="1">
        <v>100</v>
      </c>
      <c r="O12" s="9">
        <f>J12+M12</f>
        <v>200</v>
      </c>
    </row>
    <row r="13" spans="2:15" x14ac:dyDescent="0.25">
      <c r="J13" s="9">
        <f>O12</f>
        <v>200</v>
      </c>
      <c r="L13" s="1">
        <v>1200</v>
      </c>
      <c r="M13" s="1">
        <v>100</v>
      </c>
      <c r="N13" s="9">
        <f>L13-J13-M13</f>
        <v>900</v>
      </c>
      <c r="O13" s="1">
        <v>0</v>
      </c>
    </row>
    <row r="14" spans="2:15" x14ac:dyDescent="0.25">
      <c r="B14" s="1">
        <v>3</v>
      </c>
      <c r="C14" s="1" t="s">
        <v>33</v>
      </c>
      <c r="D14" s="1">
        <v>1200</v>
      </c>
      <c r="G14" s="1" t="s">
        <v>34</v>
      </c>
      <c r="H14" s="9" t="s">
        <v>25</v>
      </c>
      <c r="K14" s="9">
        <f t="shared" ref="K14:K22" si="0">N13</f>
        <v>900</v>
      </c>
      <c r="M14" s="9">
        <v>100</v>
      </c>
      <c r="N14" s="9">
        <f t="shared" ref="N14:N22" si="1">K14-M14</f>
        <v>800</v>
      </c>
    </row>
    <row r="15" spans="2:15" x14ac:dyDescent="0.25">
      <c r="C15" s="1" t="s">
        <v>35</v>
      </c>
      <c r="E15" s="1">
        <v>-1200</v>
      </c>
      <c r="G15" s="9" t="str">
        <f>G11</f>
        <v>Def Revenue</v>
      </c>
      <c r="H15" s="9" t="s">
        <v>25</v>
      </c>
      <c r="K15" s="9">
        <f t="shared" si="0"/>
        <v>800</v>
      </c>
      <c r="L15" s="9"/>
      <c r="M15" s="9">
        <v>100</v>
      </c>
      <c r="N15" s="9">
        <f t="shared" si="1"/>
        <v>700</v>
      </c>
    </row>
    <row r="16" spans="2:15" x14ac:dyDescent="0.25">
      <c r="K16" s="9">
        <f t="shared" si="0"/>
        <v>700</v>
      </c>
      <c r="L16" s="9"/>
      <c r="M16" s="9">
        <v>100</v>
      </c>
      <c r="N16" s="9">
        <f t="shared" si="1"/>
        <v>600</v>
      </c>
    </row>
    <row r="17" spans="2:14" x14ac:dyDescent="0.25">
      <c r="B17" s="1">
        <v>3</v>
      </c>
      <c r="C17" s="1" t="s">
        <v>22</v>
      </c>
      <c r="D17" s="1">
        <v>100</v>
      </c>
      <c r="G17" s="9" t="s">
        <v>32</v>
      </c>
      <c r="H17" s="9" t="s">
        <v>25</v>
      </c>
      <c r="K17" s="9">
        <f t="shared" si="0"/>
        <v>600</v>
      </c>
      <c r="L17" s="9"/>
      <c r="M17" s="9">
        <v>100</v>
      </c>
      <c r="N17" s="9">
        <f t="shared" si="1"/>
        <v>500</v>
      </c>
    </row>
    <row r="18" spans="2:14" x14ac:dyDescent="0.25">
      <c r="C18" s="1" t="s">
        <v>24</v>
      </c>
      <c r="E18" s="1">
        <v>-100</v>
      </c>
      <c r="G18" s="9" t="str">
        <f>G12</f>
        <v>Revenue</v>
      </c>
      <c r="H18" s="9" t="s">
        <v>25</v>
      </c>
      <c r="K18" s="9">
        <f t="shared" si="0"/>
        <v>500</v>
      </c>
      <c r="L18" s="9"/>
      <c r="M18" s="9">
        <v>100</v>
      </c>
      <c r="N18" s="9">
        <f t="shared" si="1"/>
        <v>400</v>
      </c>
    </row>
    <row r="19" spans="2:14" x14ac:dyDescent="0.25">
      <c r="K19" s="9">
        <f t="shared" si="0"/>
        <v>400</v>
      </c>
      <c r="L19" s="9"/>
      <c r="M19" s="9">
        <v>100</v>
      </c>
      <c r="N19" s="9">
        <f t="shared" si="1"/>
        <v>300</v>
      </c>
    </row>
    <row r="20" spans="2:14" x14ac:dyDescent="0.25">
      <c r="K20" s="9">
        <f t="shared" si="0"/>
        <v>300</v>
      </c>
      <c r="L20" s="9"/>
      <c r="M20" s="9">
        <v>100</v>
      </c>
      <c r="N20" s="9">
        <f t="shared" si="1"/>
        <v>200</v>
      </c>
    </row>
    <row r="21" spans="2:14" x14ac:dyDescent="0.25">
      <c r="C21" s="1" t="s">
        <v>23</v>
      </c>
      <c r="D21" s="1" t="s">
        <v>11</v>
      </c>
      <c r="E21" s="1" t="s">
        <v>34</v>
      </c>
      <c r="F21" s="1" t="s">
        <v>32</v>
      </c>
      <c r="K21" s="9">
        <f t="shared" si="0"/>
        <v>200</v>
      </c>
      <c r="L21" s="9"/>
      <c r="M21" s="9">
        <v>100</v>
      </c>
      <c r="N21" s="9">
        <f t="shared" si="1"/>
        <v>100</v>
      </c>
    </row>
    <row r="22" spans="2:14" x14ac:dyDescent="0.25">
      <c r="B22" s="1">
        <v>1</v>
      </c>
      <c r="C22" s="1">
        <f>D2</f>
        <v>100</v>
      </c>
      <c r="D22" s="1">
        <f>E3</f>
        <v>-100</v>
      </c>
      <c r="E22" s="1">
        <v>0</v>
      </c>
      <c r="F22" s="1">
        <v>0</v>
      </c>
      <c r="K22" s="9">
        <f t="shared" si="0"/>
        <v>100</v>
      </c>
      <c r="L22" s="9"/>
      <c r="M22" s="9">
        <v>100</v>
      </c>
      <c r="N22" s="9">
        <f t="shared" si="1"/>
        <v>0</v>
      </c>
    </row>
    <row r="23" spans="2:14" x14ac:dyDescent="0.25">
      <c r="B23" s="1">
        <v>2</v>
      </c>
      <c r="C23" s="1">
        <f>D5</f>
        <v>100</v>
      </c>
      <c r="D23" s="1">
        <f>E6</f>
        <v>-100</v>
      </c>
      <c r="E23" s="1">
        <v>0</v>
      </c>
      <c r="F23" s="1">
        <v>0</v>
      </c>
      <c r="G23" s="9"/>
    </row>
    <row r="24" spans="2:14" x14ac:dyDescent="0.25">
      <c r="B24" s="1">
        <v>3</v>
      </c>
      <c r="C24" s="1">
        <f>E9</f>
        <v>-200</v>
      </c>
      <c r="D24" s="1">
        <f>D8+E12+E18</f>
        <v>-100</v>
      </c>
      <c r="E24" s="1">
        <f>D14</f>
        <v>1200</v>
      </c>
      <c r="F24" s="1">
        <f>D11+E15+D17</f>
        <v>-900</v>
      </c>
      <c r="G24" s="9"/>
    </row>
    <row r="25" spans="2:14" x14ac:dyDescent="0.25">
      <c r="C25" s="1">
        <f>SUM(C22:C24)</f>
        <v>0</v>
      </c>
      <c r="D25" s="1">
        <f>SUM(D22:D24)</f>
        <v>-300</v>
      </c>
      <c r="E25" s="9">
        <f>SUM(E22:E24)</f>
        <v>1200</v>
      </c>
      <c r="F25" s="9">
        <f>SUM(F22:F24)</f>
        <v>-900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InstrumentAttribute</vt:lpstr>
      <vt:lpstr>TransactionActivity</vt:lpstr>
      <vt:lpstr>GLRule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27</cp:revision>
  <dcterms:created xsi:type="dcterms:W3CDTF">2024-02-24T05:30:44Z</dcterms:created>
  <dcterms:modified xsi:type="dcterms:W3CDTF">2025-12-18T19:53:15Z</dcterms:modified>
  <dc:language>en-US</dc:language>
</cp:coreProperties>
</file>