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Event\Model\"/>
    </mc:Choice>
  </mc:AlternateContent>
  <xr:revisionPtr revIDLastSave="0" documentId="13_ncr:1_{33C5783C-4104-486A-88A8-AF1F8C41DDAC}" xr6:coauthVersionLast="47" xr6:coauthVersionMax="47" xr10:uidLastSave="{00000000-0000-0000-0000-000000000000}"/>
  <bookViews>
    <workbookView xWindow="-120" yWindow="-120" windowWidth="29040" windowHeight="17520" tabRatio="500" activeTab="3" xr2:uid="{00000000-000D-0000-FFFF-FFFF00000000}"/>
  </bookViews>
  <sheets>
    <sheet name="ORIG" sheetId="2" r:id="rId1"/>
    <sheet name="PMT" sheetId="3" r:id="rId2"/>
    <sheet name="INT_ACC" sheetId="4" r:id="rId3"/>
    <sheet name="RC" sheetId="5" r:id="rId4"/>
    <sheet name="CALC" sheetId="10" r:id="rId5"/>
    <sheet name="o_Transaction" sheetId="9" r:id="rId6"/>
    <sheet name="Expected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" i="10" l="1"/>
  <c r="F27" i="10"/>
  <c r="E28" i="10"/>
  <c r="E27" i="10"/>
  <c r="D28" i="10"/>
  <c r="D27" i="10"/>
  <c r="C28" i="10"/>
  <c r="C27" i="10"/>
  <c r="B28" i="10"/>
  <c r="B27" i="10"/>
  <c r="A28" i="10"/>
  <c r="A27" i="10"/>
  <c r="F18" i="10" s="1"/>
  <c r="E10" i="9" s="1"/>
  <c r="A24" i="10"/>
  <c r="B16" i="10"/>
  <c r="A8" i="9" s="1"/>
  <c r="E21" i="10"/>
  <c r="E20" i="10"/>
  <c r="E5" i="10"/>
  <c r="E4" i="10"/>
  <c r="D5" i="9"/>
  <c r="D4" i="9"/>
  <c r="C12" i="10"/>
  <c r="B4" i="9" s="1"/>
  <c r="F21" i="10"/>
  <c r="D21" i="10"/>
  <c r="G13" i="10" s="1"/>
  <c r="F5" i="9" s="1"/>
  <c r="C21" i="10"/>
  <c r="D13" i="10" s="1"/>
  <c r="C5" i="9" s="1"/>
  <c r="B21" i="10"/>
  <c r="C13" i="10" s="1"/>
  <c r="B5" i="9" s="1"/>
  <c r="A21" i="10"/>
  <c r="B13" i="10" s="1"/>
  <c r="A5" i="9" s="1"/>
  <c r="F20" i="10"/>
  <c r="D20" i="10"/>
  <c r="G12" i="10" s="1"/>
  <c r="F4" i="9" s="1"/>
  <c r="C20" i="10"/>
  <c r="D12" i="10" s="1"/>
  <c r="C4" i="9" s="1"/>
  <c r="B20" i="10"/>
  <c r="A20" i="10"/>
  <c r="B12" i="10" s="1"/>
  <c r="A4" i="9" s="1"/>
  <c r="A4" i="10"/>
  <c r="A5" i="10"/>
  <c r="B5" i="10"/>
  <c r="B4" i="10"/>
  <c r="B17" i="10" l="1"/>
  <c r="A9" i="9" s="1"/>
  <c r="C17" i="10"/>
  <c r="B9" i="9" s="1"/>
  <c r="D17" i="10"/>
  <c r="C9" i="9" s="1"/>
  <c r="E17" i="10"/>
  <c r="D9" i="9" s="1"/>
  <c r="F17" i="10"/>
  <c r="E9" i="9" s="1"/>
  <c r="G17" i="10"/>
  <c r="F9" i="9" s="1"/>
  <c r="B18" i="10"/>
  <c r="A10" i="9" s="1"/>
  <c r="C18" i="10"/>
  <c r="B10" i="9" s="1"/>
  <c r="D18" i="10"/>
  <c r="C10" i="9" s="1"/>
  <c r="G18" i="10"/>
  <c r="F10" i="9" s="1"/>
  <c r="E18" i="10"/>
  <c r="D10" i="9" s="1"/>
  <c r="F13" i="10"/>
  <c r="E5" i="9" s="1"/>
  <c r="B14" i="10"/>
  <c r="E14" i="10"/>
  <c r="D6" i="9" s="1"/>
  <c r="E15" i="10"/>
  <c r="D7" i="9" s="1"/>
  <c r="F14" i="10"/>
  <c r="E6" i="9" s="1"/>
  <c r="F15" i="10"/>
  <c r="E7" i="9" s="1"/>
  <c r="G10" i="10"/>
  <c r="F2" i="9" s="1"/>
  <c r="B15" i="10"/>
  <c r="A7" i="9" s="1"/>
  <c r="C14" i="10"/>
  <c r="B6" i="9" s="1"/>
  <c r="C15" i="10"/>
  <c r="B7" i="9" s="1"/>
  <c r="D14" i="10"/>
  <c r="C6" i="9" s="1"/>
  <c r="F12" i="10"/>
  <c r="E4" i="9" s="1"/>
  <c r="D15" i="10"/>
  <c r="C7" i="9" s="1"/>
  <c r="G14" i="10"/>
  <c r="F6" i="9" s="1"/>
  <c r="G15" i="10"/>
  <c r="F7" i="9" s="1"/>
  <c r="G11" i="10"/>
  <c r="F3" i="9" s="1"/>
  <c r="D10" i="10"/>
  <c r="C2" i="9" s="1"/>
  <c r="D11" i="10"/>
  <c r="C3" i="9" s="1"/>
  <c r="E10" i="10"/>
  <c r="D2" i="9" s="1"/>
  <c r="E11" i="10"/>
  <c r="D3" i="9" s="1"/>
  <c r="C16" i="10"/>
  <c r="A6" i="9" l="1"/>
  <c r="D16" i="10"/>
  <c r="E16" i="10" s="1"/>
  <c r="B8" i="9"/>
  <c r="H5" i="10"/>
  <c r="G5" i="10"/>
  <c r="J5" i="10" s="1"/>
  <c r="F5" i="10"/>
  <c r="D5" i="10"/>
  <c r="C11" i="10" s="1"/>
  <c r="B3" i="9" s="1"/>
  <c r="C5" i="10"/>
  <c r="B11" i="10" s="1"/>
  <c r="A3" i="9" s="1"/>
  <c r="H4" i="10"/>
  <c r="G4" i="10"/>
  <c r="J4" i="10" s="1"/>
  <c r="F4" i="10"/>
  <c r="K4" i="10" s="1"/>
  <c r="D4" i="10"/>
  <c r="C10" i="10" s="1"/>
  <c r="B2" i="9" s="1"/>
  <c r="C4" i="10"/>
  <c r="B10" i="10" s="1"/>
  <c r="A2" i="9" s="1"/>
  <c r="K5" i="10" l="1"/>
  <c r="F10" i="10"/>
  <c r="E2" i="9" s="1"/>
  <c r="F11" i="10"/>
  <c r="E3" i="9" s="1"/>
  <c r="C8" i="9"/>
  <c r="D8" i="9" l="1"/>
  <c r="F16" i="10"/>
  <c r="E8" i="9" l="1"/>
  <c r="G16" i="10"/>
  <c r="F8" i="9" s="1"/>
</calcChain>
</file>

<file path=xl/sharedStrings.xml><?xml version="1.0" encoding="utf-8"?>
<sst xmlns="http://schemas.openxmlformats.org/spreadsheetml/2006/main" count="93" uniqueCount="34">
  <si>
    <t>Transactions</t>
  </si>
  <si>
    <t>Amount</t>
  </si>
  <si>
    <t>PostingDate</t>
  </si>
  <si>
    <t>EffectiveDate</t>
  </si>
  <si>
    <t>InstrumentId</t>
  </si>
  <si>
    <t>AttributeId</t>
  </si>
  <si>
    <t>ATTRIBUTE_LOAN_AMOUNT_CURRENT</t>
  </si>
  <si>
    <t>ATTRIBUTE_INTEREST_RECEIVABLE_CONSUMER_CURRENT</t>
  </si>
  <si>
    <t>ATTRIBUTE_INTEREST_RATE_CURRENT</t>
  </si>
  <si>
    <t>BALANCES_ENDINGBALANCE_Servicing_Interest_Accrual</t>
  </si>
  <si>
    <t>ATTRIBUTE_INTEREST_RATE_PRIOR</t>
  </si>
  <si>
    <t>TransactionDate</t>
  </si>
  <si>
    <t>Transactiontype</t>
  </si>
  <si>
    <t>TransactionName</t>
  </si>
  <si>
    <t>TRANSACTIONS_AMOUNT_Interest_Adjustment</t>
  </si>
  <si>
    <t>TRANSACTIONS_AMOUNT_Payment_Interest</t>
  </si>
  <si>
    <t>TRANSACTIONS_AMOUNT_Payment_UPB</t>
  </si>
  <si>
    <t>LOAN1</t>
  </si>
  <si>
    <t>TRANS3</t>
  </si>
  <si>
    <t>TRANS4</t>
  </si>
  <si>
    <t/>
  </si>
  <si>
    <t>TRANS5</t>
  </si>
  <si>
    <t>TRANS6</t>
  </si>
  <si>
    <t>BALANCES_ENDINGBALANCE_UNPAID_PRINCIPAL_BALANCE</t>
  </si>
  <si>
    <t>BALANCES_ENDINGBALANCE_ACCRUED_INTEREST_RECEIVABLE</t>
  </si>
  <si>
    <t>TRANS1</t>
  </si>
  <si>
    <t>TRANS2</t>
  </si>
  <si>
    <t>ATTRIBUTE_LOAN_TERM_CURRENT</t>
  </si>
  <si>
    <t>ATTRIBUTE_LOAN_TERM_PRIOR</t>
  </si>
  <si>
    <t>ATTRIBUTE_LOAN_STATUS_CURRENT</t>
  </si>
  <si>
    <t>ATTRIBUTE_LOAN_STATUS_PRIOR</t>
  </si>
  <si>
    <t>BALANCES_BEGINNINGBALANCE_Servicing_Interest_Accrual</t>
  </si>
  <si>
    <t>BALANCES_ACTIVITY_Servicing_Interest_Accrual</t>
  </si>
  <si>
    <t>ATTRIBUTE_INTEREST_RATE_FIRST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</si>
</sst>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_);[Red]\(#,##0.0000\)"/>
    <numFmt numFmtId="165" formatCode="0.0000"/>
    <numFmt numFmtId="166" formatCode="0.000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38">
    <xf numFmtId="0" fontId="0" fillId="0" borderId="0" xfId="0"/>
    <xf numFmtId="0" fontId="0" fillId="0" borderId="2" xfId="0" applyFont="1" applyBorder="1"/>
    <xf numFmtId="0" fontId="1" fillId="0" borderId="0" xfId="0" applyFont="1"/>
    <xf numFmtId="14" fontId="0" fillId="0" borderId="2" xfId="0" applyNumberFormat="1" applyBorder="1"/>
    <xf numFmtId="0" fontId="1" fillId="0" borderId="0" xfId="1" applyFont="1"/>
    <xf numFmtId="0" fontId="1" fillId="0" borderId="0" xfId="1" applyFont="1"/>
    <xf numFmtId="0" fontId="1" fillId="2" borderId="0" xfId="1" applyFont="1" applyFill="1"/>
    <xf numFmtId="0" fontId="1" fillId="2" borderId="0" xfId="0" applyFont="1" applyFill="1"/>
    <xf numFmtId="14" fontId="0" fillId="0" borderId="0" xfId="0" applyNumberFormat="1"/>
    <xf numFmtId="0" fontId="0" fillId="0" borderId="0" xfId="1" applyFont="1"/>
    <xf numFmtId="165" fontId="0" fillId="0" borderId="2" xfId="0" applyNumberFormat="1" applyBorder="1"/>
    <xf numFmtId="0" fontId="0" fillId="2" borderId="0" xfId="1" applyFont="1" applyFill="1"/>
    <xf numFmtId="0" fontId="1" fillId="5" borderId="3" xfId="1" applyFont="1" applyFill="1" applyBorder="1"/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1" applyNumberFormat="1" applyFont="1"/>
    <xf numFmtId="1" fontId="0" fillId="0" borderId="0" xfId="1" applyNumberFormat="1" applyFont="1"/>
    <xf numFmtId="0" fontId="3" fillId="6" borderId="0" xfId="1" applyFont="1" applyFill="1"/>
    <xf numFmtId="0" fontId="3" fillId="6" borderId="0" xfId="0" applyFont="1" applyFill="1"/>
    <xf numFmtId="14" fontId="0" fillId="3" borderId="0" xfId="1" applyNumberFormat="1" applyFont="1" applyFill="1"/>
    <xf numFmtId="0" fontId="0" fillId="0" borderId="2" xfId="0" applyBorder="1"/>
    <xf numFmtId="2" fontId="0" fillId="0" borderId="0" xfId="0" applyNumberFormat="1"/>
    <xf numFmtId="1" fontId="0" fillId="0" borderId="0" xfId="0" applyNumberFormat="1"/>
    <xf numFmtId="2" fontId="0" fillId="0" borderId="2" xfId="0" applyNumberFormat="1" applyBorder="1" applyAlignment="1">
      <alignment horizontal="center"/>
    </xf>
    <xf numFmtId="1" fontId="0" fillId="0" borderId="2" xfId="0" applyNumberFormat="1" applyBorder="1"/>
    <xf numFmtId="2" fontId="0" fillId="0" borderId="0" xfId="1" applyNumberFormat="1" applyFont="1"/>
    <xf numFmtId="0" fontId="0" fillId="0" borderId="0" xfId="1" applyNumberFormat="1" applyFont="1"/>
    <xf numFmtId="14" fontId="0" fillId="3" borderId="2" xfId="1" applyNumberFormat="1" applyFont="1" applyFill="1" applyBorder="1"/>
    <xf numFmtId="14" fontId="0" fillId="0" borderId="2" xfId="1" applyNumberFormat="1" applyFont="1" applyBorder="1"/>
    <xf numFmtId="0" fontId="0" fillId="0" borderId="2" xfId="1" applyFont="1" applyBorder="1"/>
    <xf numFmtId="0" fontId="0" fillId="0" borderId="0" xfId="0" applyFont="1" applyBorder="1"/>
    <xf numFmtId="166" fontId="0" fillId="0" borderId="2" xfId="1" applyNumberFormat="1" applyFont="1" applyBorder="1"/>
    <xf numFmtId="2" fontId="0" fillId="0" borderId="2" xfId="0" applyNumberFormat="1" applyBorder="1"/>
    <xf numFmtId="0" fontId="0" fillId="7" borderId="0" xfId="0" applyFill="1"/>
    <xf numFmtId="14" fontId="0" fillId="0" borderId="0" xfId="0" applyNumberFormat="1" applyBorder="1"/>
    <xf numFmtId="2" fontId="0" fillId="0" borderId="0" xfId="0" applyNumberFormat="1" applyBorder="1"/>
    <xf numFmtId="0" fontId="0" fillId="0" borderId="0" xfId="0" applyNumberFormat="1" applyBorder="1"/>
    <xf numFmtId="0" fontId="1" fillId="4" borderId="1" xfId="0" applyFont="1" applyFill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H3"/>
  <sheetViews>
    <sheetView zoomScaleNormal="100" workbookViewId="0">
      <selection activeCell="H1" sqref="H1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6.140625" bestFit="1" customWidth="1"/>
    <col min="6" max="6" width="53.28515625" bestFit="1" customWidth="1"/>
    <col min="7" max="7" width="48" bestFit="1" customWidth="1"/>
    <col min="8" max="8" width="50.5703125" bestFit="1" customWidth="1"/>
  </cols>
  <sheetData>
    <row r="1" spans="1:8" x14ac:dyDescent="0.25">
      <c r="A1" s="4" t="s">
        <v>2</v>
      </c>
      <c r="B1" s="2" t="s">
        <v>3</v>
      </c>
      <c r="C1" s="5" t="s">
        <v>4</v>
      </c>
      <c r="D1" s="5" t="s">
        <v>5</v>
      </c>
      <c r="E1" s="6" t="s">
        <v>6</v>
      </c>
      <c r="F1" s="7" t="s">
        <v>7</v>
      </c>
      <c r="G1" s="17" t="s">
        <v>23</v>
      </c>
      <c r="H1" s="18" t="s">
        <v>24</v>
      </c>
    </row>
    <row r="2" spans="1:8" x14ac:dyDescent="0.25">
      <c r="A2" s="19"/>
      <c r="B2" s="15"/>
      <c r="C2" s="9"/>
      <c r="D2" s="9"/>
      <c r="E2" s="9"/>
      <c r="F2" s="9"/>
      <c r="G2" s="9"/>
      <c r="H2" s="9"/>
    </row>
    <row r="3" spans="1:8" ht="15" customHeight="1" x14ac:dyDescent="0.25">
      <c r="A3" s="19"/>
      <c r="B3" s="15"/>
      <c r="C3" s="9"/>
      <c r="D3" s="9"/>
      <c r="E3" s="9"/>
      <c r="F3" s="9"/>
      <c r="G3" s="9"/>
      <c r="H3" s="9"/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H13"/>
  <sheetViews>
    <sheetView zoomScaleNormal="100" workbookViewId="0">
      <selection activeCell="F1" sqref="F1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0.5703125" customWidth="1"/>
  </cols>
  <sheetData>
    <row r="1" spans="1:8" x14ac:dyDescent="0.25">
      <c r="A1" s="4" t="s">
        <v>2</v>
      </c>
      <c r="B1" s="2" t="s">
        <v>3</v>
      </c>
      <c r="C1" s="5" t="s">
        <v>4</v>
      </c>
      <c r="D1" s="5" t="s">
        <v>5</v>
      </c>
      <c r="E1" s="6" t="s">
        <v>14</v>
      </c>
      <c r="F1" s="6" t="s">
        <v>15</v>
      </c>
      <c r="G1" s="6" t="s">
        <v>16</v>
      </c>
    </row>
    <row r="2" spans="1:8" x14ac:dyDescent="0.25">
      <c r="A2" s="27"/>
      <c r="B2" s="28"/>
      <c r="C2" s="29"/>
      <c r="D2" s="30"/>
      <c r="E2" s="10"/>
      <c r="F2" s="8"/>
      <c r="H2" s="31"/>
    </row>
    <row r="3" spans="1:8" x14ac:dyDescent="0.25">
      <c r="A3" s="27"/>
      <c r="B3" s="28"/>
      <c r="C3" s="29"/>
      <c r="D3" s="1"/>
      <c r="E3" s="10"/>
      <c r="F3" s="8"/>
    </row>
    <row r="4" spans="1:8" x14ac:dyDescent="0.25">
      <c r="A4" s="27"/>
      <c r="B4" s="28"/>
      <c r="C4" s="29"/>
      <c r="D4" s="1"/>
      <c r="E4" s="10"/>
      <c r="F4" s="31"/>
      <c r="G4" s="31"/>
    </row>
    <row r="5" spans="1:8" x14ac:dyDescent="0.25">
      <c r="A5" s="27"/>
      <c r="B5" s="28"/>
      <c r="C5" s="29"/>
      <c r="D5" s="20"/>
      <c r="E5" s="31"/>
    </row>
    <row r="6" spans="1:8" x14ac:dyDescent="0.25">
      <c r="A6" s="27"/>
      <c r="B6" s="28"/>
      <c r="C6" s="29"/>
      <c r="D6" s="1"/>
      <c r="E6" s="1"/>
      <c r="H6" s="31"/>
    </row>
    <row r="7" spans="1:8" x14ac:dyDescent="0.25">
      <c r="A7" s="27"/>
      <c r="B7" s="28"/>
      <c r="C7" s="29"/>
      <c r="D7" s="1"/>
      <c r="E7" s="1"/>
      <c r="G7" s="31"/>
    </row>
    <row r="8" spans="1:8" x14ac:dyDescent="0.25">
      <c r="A8" s="27"/>
      <c r="B8" s="28"/>
      <c r="C8" s="29"/>
      <c r="D8" s="1"/>
      <c r="E8" s="1"/>
      <c r="F8" s="31"/>
    </row>
    <row r="9" spans="1:8" x14ac:dyDescent="0.25">
      <c r="A9" s="27"/>
      <c r="B9" s="28"/>
      <c r="C9" s="29"/>
      <c r="D9" s="1"/>
      <c r="E9" s="31"/>
    </row>
    <row r="10" spans="1:8" x14ac:dyDescent="0.25">
      <c r="A10" s="1"/>
      <c r="B10" s="1"/>
      <c r="C10" s="1"/>
      <c r="D10" s="1"/>
      <c r="E10" s="1"/>
    </row>
    <row r="11" spans="1:8" x14ac:dyDescent="0.25">
      <c r="A11" s="1"/>
      <c r="B11" s="1"/>
      <c r="C11" s="1"/>
      <c r="D11" s="1"/>
      <c r="E11" s="1"/>
    </row>
    <row r="12" spans="1:8" x14ac:dyDescent="0.25">
      <c r="A12" s="1"/>
      <c r="B12" s="1"/>
      <c r="C12" s="1"/>
      <c r="D12" s="1"/>
      <c r="E12" s="1"/>
    </row>
    <row r="13" spans="1:8" x14ac:dyDescent="0.25">
      <c r="A13" s="1"/>
      <c r="B13" s="1"/>
      <c r="C13" s="1"/>
      <c r="D13" s="1"/>
      <c r="E13" s="1"/>
    </row>
  </sheetData>
  <sortState xmlns:xlrd2="http://schemas.microsoft.com/office/spreadsheetml/2017/richdata2" ref="A2:G9">
    <sortCondition ref="D2:D9"/>
    <sortCondition descending="1" ref="B2:B9"/>
  </sortState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H3"/>
  <sheetViews>
    <sheetView zoomScaleNormal="100" workbookViewId="0"/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5.140625" customWidth="1"/>
    <col min="6" max="6" width="61" customWidth="1"/>
  </cols>
  <sheetData>
    <row r="1" spans="1:8" x14ac:dyDescent="0.25">
      <c r="A1" s="4" t="s">
        <v>2</v>
      </c>
      <c r="B1" s="2" t="s">
        <v>3</v>
      </c>
      <c r="C1" s="5" t="s">
        <v>4</v>
      </c>
      <c r="D1" s="5" t="s">
        <v>5</v>
      </c>
      <c r="E1" s="11" t="s">
        <v>8</v>
      </c>
      <c r="F1" s="11" t="s">
        <v>9</v>
      </c>
      <c r="G1" s="11" t="s">
        <v>31</v>
      </c>
      <c r="H1" s="11" t="s">
        <v>32</v>
      </c>
    </row>
    <row r="2" spans="1:8" x14ac:dyDescent="0.25">
      <c r="A2" s="19"/>
      <c r="B2" s="19"/>
      <c r="C2" s="9"/>
      <c r="D2" s="9"/>
      <c r="E2" s="9"/>
      <c r="F2" s="9"/>
    </row>
    <row r="3" spans="1:8" ht="15" customHeight="1" x14ac:dyDescent="0.25">
      <c r="A3" s="19"/>
      <c r="B3" s="19"/>
      <c r="C3" s="9"/>
      <c r="D3" s="9"/>
      <c r="E3" s="9"/>
      <c r="F3" s="9"/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K3"/>
  <sheetViews>
    <sheetView tabSelected="1" zoomScaleNormal="100" workbookViewId="0">
      <selection activeCell="J3" sqref="J3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6" customWidth="1"/>
    <col min="6" max="6" width="33.140625" customWidth="1"/>
    <col min="7" max="7" width="39.28515625" customWidth="1"/>
    <col min="8" max="8" width="38.7109375" customWidth="1"/>
  </cols>
  <sheetData>
    <row r="1" spans="1:11" x14ac:dyDescent="0.25">
      <c r="A1" s="4" t="s">
        <v>2</v>
      </c>
      <c r="B1" s="2" t="s">
        <v>3</v>
      </c>
      <c r="C1" s="5" t="s">
        <v>4</v>
      </c>
      <c r="D1" s="5" t="s">
        <v>5</v>
      </c>
      <c r="E1" s="11" t="s">
        <v>8</v>
      </c>
      <c r="F1" s="11" t="s">
        <v>10</v>
      </c>
      <c r="G1" s="11" t="s">
        <v>33</v>
      </c>
      <c r="H1" s="11" t="s">
        <v>27</v>
      </c>
      <c r="I1" s="11" t="s">
        <v>28</v>
      </c>
      <c r="J1" s="11" t="s">
        <v>29</v>
      </c>
      <c r="K1" s="11" t="s">
        <v>30</v>
      </c>
    </row>
    <row r="2" spans="1:11" x14ac:dyDescent="0.25">
      <c r="A2" s="19"/>
      <c r="B2" s="19"/>
      <c r="C2" s="9"/>
      <c r="D2" s="9"/>
      <c r="E2" s="9"/>
    </row>
    <row r="3" spans="1:11" ht="15" customHeight="1" x14ac:dyDescent="0.25">
      <c r="A3" s="19"/>
      <c r="B3" s="19"/>
      <c r="C3" s="9"/>
      <c r="D3" s="9"/>
      <c r="E3" s="9"/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1F0F9-DFA4-40F6-8280-B1559D1D3210}">
  <sheetPr>
    <tabColor rgb="FFFFFF00"/>
  </sheetPr>
  <dimension ref="A4:K28"/>
  <sheetViews>
    <sheetView topLeftCell="A11" workbookViewId="0">
      <selection activeCell="B17" sqref="B17"/>
    </sheetView>
  </sheetViews>
  <sheetFormatPr defaultRowHeight="15" x14ac:dyDescent="0.25"/>
  <cols>
    <col min="1" max="1" width="9.7109375" bestFit="1" customWidth="1"/>
    <col min="2" max="2" width="11.7109375" bestFit="1" customWidth="1"/>
    <col min="3" max="3" width="15.42578125" bestFit="1" customWidth="1"/>
    <col min="4" max="4" width="12.5703125" bestFit="1" customWidth="1"/>
    <col min="5" max="5" width="20.42578125" bestFit="1" customWidth="1"/>
    <col min="6" max="6" width="9.7109375" bestFit="1" customWidth="1"/>
    <col min="7" max="7" width="10.85546875" bestFit="1" customWidth="1"/>
  </cols>
  <sheetData>
    <row r="4" spans="1:11" x14ac:dyDescent="0.25">
      <c r="A4" t="str">
        <f>IF(ORIG!C2="","",ORIG!C2)</f>
        <v/>
      </c>
      <c r="B4">
        <f>ORIG!D2</f>
        <v>0</v>
      </c>
      <c r="C4" s="8">
        <f>ORIG!A2</f>
        <v>0</v>
      </c>
      <c r="D4" s="8">
        <f>ORIG!B2</f>
        <v>0</v>
      </c>
      <c r="E4" t="str">
        <f>IF(ORIG!E2="","",ORIG!E2)</f>
        <v/>
      </c>
      <c r="F4">
        <f>ORIG!F2</f>
        <v>0</v>
      </c>
      <c r="G4">
        <f>ORIG!G2</f>
        <v>0</v>
      </c>
      <c r="H4">
        <f>ORIG!H2</f>
        <v>0</v>
      </c>
      <c r="J4">
        <f>IFERROR(E4-G4+10,0)</f>
        <v>0</v>
      </c>
      <c r="K4">
        <f>F4-H4+10</f>
        <v>10</v>
      </c>
    </row>
    <row r="5" spans="1:11" x14ac:dyDescent="0.25">
      <c r="A5" t="str">
        <f>IF(ORIG!C3="","",ORIG!C3)</f>
        <v/>
      </c>
      <c r="B5">
        <f>ORIG!D3</f>
        <v>0</v>
      </c>
      <c r="C5" s="8">
        <f>ORIG!A3</f>
        <v>0</v>
      </c>
      <c r="D5" s="8">
        <f>ORIG!B3</f>
        <v>0</v>
      </c>
      <c r="E5" t="str">
        <f>IF(ORIG!E3="","",ORIG!E3)</f>
        <v/>
      </c>
      <c r="F5">
        <f>ORIG!F3</f>
        <v>0</v>
      </c>
      <c r="G5">
        <f>ORIG!G3</f>
        <v>0</v>
      </c>
      <c r="H5">
        <f>ORIG!H3</f>
        <v>0</v>
      </c>
      <c r="J5">
        <f>IFERROR(E5-G5+20,0)</f>
        <v>0</v>
      </c>
      <c r="K5">
        <f>F5-H5+20</f>
        <v>20</v>
      </c>
    </row>
    <row r="7" spans="1:11" ht="15.75" thickBot="1" x14ac:dyDescent="0.3"/>
    <row r="8" spans="1:11" ht="15.75" thickBot="1" x14ac:dyDescent="0.3">
      <c r="B8" s="37" t="s">
        <v>0</v>
      </c>
      <c r="C8" s="37"/>
      <c r="D8" s="37"/>
      <c r="E8" s="37"/>
      <c r="F8" s="37"/>
      <c r="G8" s="37"/>
    </row>
    <row r="9" spans="1:11" x14ac:dyDescent="0.25">
      <c r="B9" s="12" t="s">
        <v>2</v>
      </c>
      <c r="C9" s="12" t="s">
        <v>11</v>
      </c>
      <c r="D9" s="12" t="s">
        <v>4</v>
      </c>
      <c r="E9" s="12" t="s">
        <v>12</v>
      </c>
      <c r="F9" s="12" t="s">
        <v>1</v>
      </c>
      <c r="G9" s="12" t="s">
        <v>5</v>
      </c>
    </row>
    <row r="10" spans="1:11" x14ac:dyDescent="0.25">
      <c r="B10" s="3" t="str">
        <f>IF($A$4="","",C4)</f>
        <v/>
      </c>
      <c r="C10" s="3" t="str">
        <f>IF($A$4="","",D4)</f>
        <v/>
      </c>
      <c r="D10" s="20" t="str">
        <f>IF($A$4="","",A4)</f>
        <v/>
      </c>
      <c r="E10" s="20" t="str">
        <f>IF($A$4="","","TRANS1")</f>
        <v/>
      </c>
      <c r="F10" s="13" t="str">
        <f>IF($A$4="","",J4+K4)</f>
        <v/>
      </c>
      <c r="G10" s="20" t="str">
        <f>IF($A$4="","",B4)</f>
        <v/>
      </c>
    </row>
    <row r="11" spans="1:11" x14ac:dyDescent="0.25">
      <c r="B11" s="3" t="str">
        <f>IF($A$4="","",C5)</f>
        <v/>
      </c>
      <c r="C11" s="3" t="str">
        <f>IF($A$4="","",D5)</f>
        <v/>
      </c>
      <c r="D11" s="20" t="str">
        <f>IF($A$4="","",A5)</f>
        <v/>
      </c>
      <c r="E11" s="20" t="str">
        <f>IF($A$4="","","TRANS2")</f>
        <v/>
      </c>
      <c r="F11" s="14" t="str">
        <f>IF($A$4="","",J5+K5)</f>
        <v/>
      </c>
      <c r="G11" s="20" t="str">
        <f>IF($A$4="","",B5)</f>
        <v/>
      </c>
    </row>
    <row r="12" spans="1:11" x14ac:dyDescent="0.25">
      <c r="B12" s="3">
        <f t="shared" ref="B12:D13" si="0">A20</f>
        <v>0</v>
      </c>
      <c r="C12" s="3">
        <f t="shared" si="0"/>
        <v>0</v>
      </c>
      <c r="D12" s="3">
        <f t="shared" si="0"/>
        <v>0</v>
      </c>
      <c r="E12" s="20" t="s">
        <v>18</v>
      </c>
      <c r="F12" s="23" t="str">
        <f>IFERROR(E20+F20,"")</f>
        <v/>
      </c>
      <c r="G12" s="24">
        <f>D20</f>
        <v>0</v>
      </c>
    </row>
    <row r="13" spans="1:11" x14ac:dyDescent="0.25">
      <c r="B13" s="3">
        <f t="shared" si="0"/>
        <v>0</v>
      </c>
      <c r="C13" s="3">
        <f t="shared" si="0"/>
        <v>0</v>
      </c>
      <c r="D13" s="3">
        <f t="shared" si="0"/>
        <v>0</v>
      </c>
      <c r="E13" s="20" t="s">
        <v>19</v>
      </c>
      <c r="F13" s="23" t="str">
        <f>IFERROR(E21+F21,"")</f>
        <v/>
      </c>
      <c r="G13" s="24">
        <f>D21</f>
        <v>0</v>
      </c>
    </row>
    <row r="14" spans="1:11" x14ac:dyDescent="0.25">
      <c r="B14" s="3" t="str">
        <f t="shared" ref="B14:D15" si="1">IF($E$20="","",A20)</f>
        <v/>
      </c>
      <c r="C14" s="3" t="str">
        <f t="shared" si="1"/>
        <v/>
      </c>
      <c r="D14" s="3" t="str">
        <f t="shared" si="1"/>
        <v/>
      </c>
      <c r="E14" s="3" t="str">
        <f>IF($E$20="","","TRANS5")</f>
        <v/>
      </c>
      <c r="F14" s="14" t="str">
        <f>IF(E20="","",E20+F20)</f>
        <v/>
      </c>
      <c r="G14" s="20" t="str">
        <f>IF($E$20="","",D20)</f>
        <v/>
      </c>
    </row>
    <row r="15" spans="1:11" x14ac:dyDescent="0.25">
      <c r="B15" s="3" t="str">
        <f t="shared" si="1"/>
        <v/>
      </c>
      <c r="C15" s="3" t="str">
        <f t="shared" si="1"/>
        <v/>
      </c>
      <c r="D15" s="3" t="str">
        <f t="shared" si="1"/>
        <v/>
      </c>
      <c r="E15" s="3" t="str">
        <f>IF($E$20="","","TRANS5")</f>
        <v/>
      </c>
      <c r="F15" s="14" t="str">
        <f>IF(E21="","",E21+F21)</f>
        <v/>
      </c>
      <c r="G15" s="20" t="str">
        <f>IF($E$20="","",D21)</f>
        <v/>
      </c>
    </row>
    <row r="16" spans="1:11" x14ac:dyDescent="0.25">
      <c r="B16" s="3" t="str">
        <f>IF(A24="","",B12)</f>
        <v/>
      </c>
      <c r="C16" s="3" t="str">
        <f t="shared" ref="C16" si="2">IF(B16="","",B16)</f>
        <v/>
      </c>
      <c r="D16" s="3" t="str">
        <f>IF(C16="","",D12)</f>
        <v/>
      </c>
      <c r="E16" s="3" t="str">
        <f>IF(D16="","","TRANS6")</f>
        <v/>
      </c>
      <c r="F16" s="32" t="str">
        <f>IF(E16="","",A24)</f>
        <v/>
      </c>
      <c r="G16" s="32" t="str">
        <f>IF(F16="","",G12)</f>
        <v/>
      </c>
    </row>
    <row r="17" spans="1:7" x14ac:dyDescent="0.25">
      <c r="B17" s="34" t="str">
        <f t="shared" ref="B17:D18" si="3">IF($A$27="","",B12)</f>
        <v/>
      </c>
      <c r="C17" s="34" t="str">
        <f t="shared" si="3"/>
        <v/>
      </c>
      <c r="D17" s="36" t="str">
        <f t="shared" si="3"/>
        <v/>
      </c>
      <c r="E17" s="34" t="str">
        <f>IF($A$27="","","TRANS7")</f>
        <v/>
      </c>
      <c r="F17" s="35" t="str">
        <f>IF($A$27="","",A27+B27+A28+B28)</f>
        <v/>
      </c>
      <c r="G17" s="35" t="str">
        <f>IF($A$27="","",G12)</f>
        <v/>
      </c>
    </row>
    <row r="18" spans="1:7" x14ac:dyDescent="0.25">
      <c r="B18" s="34" t="str">
        <f t="shared" si="3"/>
        <v/>
      </c>
      <c r="C18" s="34" t="str">
        <f t="shared" si="3"/>
        <v/>
      </c>
      <c r="D18" s="36" t="str">
        <f t="shared" si="3"/>
        <v/>
      </c>
      <c r="E18" s="34" t="str">
        <f>IF($A$27="","","TRANS8")</f>
        <v/>
      </c>
      <c r="F18" s="35" t="str">
        <f>IF($A$27="","",C27+C28+D27+D28+E27+E28+F27+F28)</f>
        <v/>
      </c>
      <c r="G18" s="35" t="str">
        <f>IF($A$27="","",G13)</f>
        <v/>
      </c>
    </row>
    <row r="20" spans="1:7" x14ac:dyDescent="0.25">
      <c r="A20" s="8">
        <f>INT_ACC!A2</f>
        <v>0</v>
      </c>
      <c r="B20" s="8">
        <f>INT_ACC!B2</f>
        <v>0</v>
      </c>
      <c r="C20" s="8">
        <f>INT_ACC!C2</f>
        <v>0</v>
      </c>
      <c r="D20" s="22">
        <f>INT_ACC!D2</f>
        <v>0</v>
      </c>
      <c r="E20" s="21" t="str">
        <f>IF(INT_ACC!E2="","",INT_ACC!E2)</f>
        <v/>
      </c>
      <c r="F20" s="21">
        <f>INT_ACC!F2</f>
        <v>0</v>
      </c>
      <c r="G20" s="8"/>
    </row>
    <row r="21" spans="1:7" x14ac:dyDescent="0.25">
      <c r="A21" s="8">
        <f>INT_ACC!A3</f>
        <v>0</v>
      </c>
      <c r="B21" s="8">
        <f>INT_ACC!B3</f>
        <v>0</v>
      </c>
      <c r="C21" s="8">
        <f>INT_ACC!C3</f>
        <v>0</v>
      </c>
      <c r="D21" s="22">
        <f>INT_ACC!D3</f>
        <v>0</v>
      </c>
      <c r="E21" s="21" t="str">
        <f>IF(INT_ACC!E3="","",INT_ACC!E3)</f>
        <v/>
      </c>
      <c r="F21" s="21">
        <f>INT_ACC!F3</f>
        <v>0</v>
      </c>
    </row>
    <row r="24" spans="1:7" x14ac:dyDescent="0.25">
      <c r="A24" s="33" t="str">
        <f>IF(PMT!H2="","",PMT!H2+PMT!F4+PMT!G4+PMT!E5+PMT!H6+PMT!G7+PMT!F8+PMT!E9)</f>
        <v/>
      </c>
    </row>
    <row r="27" spans="1:7" x14ac:dyDescent="0.25">
      <c r="A27" t="str">
        <f>IF('RC'!$E$2="","",'RC'!E2)</f>
        <v/>
      </c>
      <c r="B27" t="str">
        <f>IF('RC'!$E$2="","",'RC'!F2)</f>
        <v/>
      </c>
      <c r="C27" t="str">
        <f>IF('RC'!$E$2="","",'RC'!G2)</f>
        <v/>
      </c>
      <c r="D27" t="str">
        <f>IF('RC'!$E$2="","",'RC'!H2)</f>
        <v/>
      </c>
      <c r="E27" t="str">
        <f>IF('RC'!$E$2="","",'RC'!I2)</f>
        <v/>
      </c>
      <c r="F27" t="str">
        <f>IF('RC'!$E$2="","",'RC'!J2)</f>
        <v/>
      </c>
    </row>
    <row r="28" spans="1:7" x14ac:dyDescent="0.25">
      <c r="A28" t="str">
        <f>IF('RC'!$E$2="","",'RC'!E3)</f>
        <v/>
      </c>
      <c r="B28" t="str">
        <f>IF('RC'!$E$2="","",'RC'!F3)</f>
        <v/>
      </c>
      <c r="C28" t="str">
        <f>IF('RC'!$E$2="","",'RC'!G3)</f>
        <v/>
      </c>
      <c r="D28" t="str">
        <f>IF('RC'!$E$2="","",'RC'!H3)</f>
        <v/>
      </c>
      <c r="E28" t="str">
        <f>IF('RC'!$E$2="","",'RC'!I3)</f>
        <v/>
      </c>
      <c r="F28" t="str">
        <f>IF('RC'!$E$2="","",'RC'!J3)</f>
        <v/>
      </c>
    </row>
  </sheetData>
  <mergeCells count="1">
    <mergeCell ref="B8:G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F10"/>
  <sheetViews>
    <sheetView zoomScaleNormal="100" workbookViewId="0">
      <selection activeCell="D6" sqref="D6"/>
    </sheetView>
  </sheetViews>
  <sheetFormatPr defaultColWidth="8.7109375" defaultRowHeight="15" customHeight="1" x14ac:dyDescent="0.25"/>
  <cols>
    <col min="1" max="1" width="33" style="9" customWidth="1"/>
    <col min="2" max="2" width="15.42578125" style="9" customWidth="1"/>
    <col min="3" max="3" width="12.5703125" style="9" customWidth="1"/>
    <col min="4" max="4" width="32.7109375" style="9" customWidth="1"/>
    <col min="5" max="5" width="22" style="9" customWidth="1"/>
    <col min="6" max="6" width="10.85546875" style="9" customWidth="1"/>
    <col min="7" max="16384" width="8.7109375" style="9"/>
  </cols>
  <sheetData>
    <row r="1" spans="1:6" x14ac:dyDescent="0.25">
      <c r="A1" s="12" t="s">
        <v>2</v>
      </c>
      <c r="B1" s="12" t="s">
        <v>11</v>
      </c>
      <c r="C1" s="12" t="s">
        <v>4</v>
      </c>
      <c r="D1" s="12" t="s">
        <v>13</v>
      </c>
      <c r="E1" s="12" t="s">
        <v>1</v>
      </c>
      <c r="F1" s="12" t="s">
        <v>5</v>
      </c>
    </row>
    <row r="2" spans="1:6" x14ac:dyDescent="0.25">
      <c r="A2" s="15" t="str">
        <f>CALC!B10</f>
        <v/>
      </c>
      <c r="B2" s="15" t="str">
        <f>CALC!C10</f>
        <v/>
      </c>
      <c r="C2" s="26" t="str">
        <f>CALC!D10</f>
        <v/>
      </c>
      <c r="D2" s="26" t="str">
        <f>CALC!E10</f>
        <v/>
      </c>
      <c r="E2" s="25" t="str">
        <f>CALC!F10</f>
        <v/>
      </c>
      <c r="F2" s="16" t="str">
        <f>CALC!G10</f>
        <v/>
      </c>
    </row>
    <row r="3" spans="1:6" x14ac:dyDescent="0.25">
      <c r="A3" s="15" t="str">
        <f>CALC!B11</f>
        <v/>
      </c>
      <c r="B3" s="15" t="str">
        <f>CALC!C11</f>
        <v/>
      </c>
      <c r="C3" s="26" t="str">
        <f>CALC!D11</f>
        <v/>
      </c>
      <c r="D3" s="26" t="str">
        <f>CALC!E11</f>
        <v/>
      </c>
      <c r="E3" s="25" t="str">
        <f>CALC!F11</f>
        <v/>
      </c>
      <c r="F3" s="16" t="str">
        <f>CALC!G11</f>
        <v/>
      </c>
    </row>
    <row r="4" spans="1:6" x14ac:dyDescent="0.25">
      <c r="A4" s="15">
        <f>CALC!B12</f>
        <v>0</v>
      </c>
      <c r="B4" s="15">
        <f>CALC!C12</f>
        <v>0</v>
      </c>
      <c r="C4" s="26">
        <f>CALC!D12</f>
        <v>0</v>
      </c>
      <c r="D4" s="26" t="str">
        <f>CALC!E12</f>
        <v>TRANS3</v>
      </c>
      <c r="E4" s="25" t="str">
        <f>CALC!F12</f>
        <v/>
      </c>
      <c r="F4" s="16">
        <f>CALC!G12</f>
        <v>0</v>
      </c>
    </row>
    <row r="5" spans="1:6" x14ac:dyDescent="0.25">
      <c r="A5" s="15">
        <f>CALC!B13</f>
        <v>0</v>
      </c>
      <c r="B5" s="15">
        <f>CALC!C13</f>
        <v>0</v>
      </c>
      <c r="C5" s="26">
        <f>CALC!D13</f>
        <v>0</v>
      </c>
      <c r="D5" s="26" t="str">
        <f>CALC!E13</f>
        <v>TRANS4</v>
      </c>
      <c r="E5" s="25" t="str">
        <f>CALC!F13</f>
        <v/>
      </c>
      <c r="F5" s="16">
        <f>CALC!G13</f>
        <v>0</v>
      </c>
    </row>
    <row r="6" spans="1:6" ht="15" customHeight="1" x14ac:dyDescent="0.25">
      <c r="A6" s="15" t="str">
        <f>CALC!B14</f>
        <v/>
      </c>
      <c r="B6" s="15" t="str">
        <f>CALC!C14</f>
        <v/>
      </c>
      <c r="C6" s="26" t="str">
        <f>CALC!D14</f>
        <v/>
      </c>
      <c r="D6" s="26" t="str">
        <f>CALC!E14</f>
        <v/>
      </c>
      <c r="E6" s="25" t="str">
        <f>CALC!F14</f>
        <v/>
      </c>
      <c r="F6" s="16" t="str">
        <f>CALC!G14</f>
        <v/>
      </c>
    </row>
    <row r="7" spans="1:6" ht="15" customHeight="1" x14ac:dyDescent="0.25">
      <c r="A7" s="15" t="str">
        <f>CALC!B15</f>
        <v/>
      </c>
      <c r="B7" s="15" t="str">
        <f>CALC!C15</f>
        <v/>
      </c>
      <c r="C7" s="26" t="str">
        <f>CALC!D15</f>
        <v/>
      </c>
      <c r="D7" s="26" t="str">
        <f>CALC!E15</f>
        <v/>
      </c>
      <c r="E7" s="25" t="str">
        <f>CALC!F15</f>
        <v/>
      </c>
      <c r="F7" s="16" t="str">
        <f>CALC!G15</f>
        <v/>
      </c>
    </row>
    <row r="8" spans="1:6" ht="15" customHeight="1" x14ac:dyDescent="0.25">
      <c r="A8" s="15" t="str">
        <f>CALC!B16</f>
        <v/>
      </c>
      <c r="B8" s="15" t="str">
        <f>CALC!C16</f>
        <v/>
      </c>
      <c r="C8" s="26" t="str">
        <f>CALC!D16</f>
        <v/>
      </c>
      <c r="D8" s="26" t="str">
        <f>CALC!E16</f>
        <v/>
      </c>
      <c r="E8" s="25" t="str">
        <f>CALC!F16</f>
        <v/>
      </c>
      <c r="F8" s="16" t="str">
        <f>CALC!G16</f>
        <v/>
      </c>
    </row>
    <row r="9" spans="1:6" ht="15" customHeight="1" x14ac:dyDescent="0.25">
      <c r="A9" s="15" t="str">
        <f>CALC!B17</f>
        <v/>
      </c>
      <c r="B9" s="15" t="str">
        <f>CALC!C17</f>
        <v/>
      </c>
      <c r="C9" s="26" t="str">
        <f>CALC!D17</f>
        <v/>
      </c>
      <c r="D9" s="26" t="str">
        <f>CALC!E17</f>
        <v/>
      </c>
      <c r="E9" s="25" t="str">
        <f>CALC!F17</f>
        <v/>
      </c>
      <c r="F9" s="16" t="str">
        <f>CALC!G17</f>
        <v/>
      </c>
    </row>
    <row r="10" spans="1:6" ht="15" customHeight="1" x14ac:dyDescent="0.25">
      <c r="A10" s="15" t="str">
        <f>CALC!B18</f>
        <v/>
      </c>
      <c r="B10" s="15" t="str">
        <f>CALC!C18</f>
        <v/>
      </c>
      <c r="C10" s="26" t="str">
        <f>CALC!D18</f>
        <v/>
      </c>
      <c r="D10" s="26" t="str">
        <f>CALC!E18</f>
        <v/>
      </c>
      <c r="E10" s="25" t="str">
        <f>CALC!F18</f>
        <v/>
      </c>
      <c r="F10" s="16" t="str">
        <f>CALC!G18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9A2A8-3CE7-4DB9-998C-6F4AA7E8F83E}">
  <sheetPr>
    <tabColor rgb="FFFFFF00"/>
  </sheetPr>
  <dimension ref="A1:H25"/>
  <sheetViews>
    <sheetView topLeftCell="A8" workbookViewId="0">
      <selection activeCell="B24" sqref="B24"/>
    </sheetView>
  </sheetViews>
  <sheetFormatPr defaultRowHeight="15" x14ac:dyDescent="0.25"/>
  <cols>
    <col min="1" max="2" width="9.7109375" bestFit="1" customWidth="1"/>
  </cols>
  <sheetData>
    <row r="1" spans="1:6" x14ac:dyDescent="0.25">
      <c r="A1" t="s">
        <v>20</v>
      </c>
      <c r="B1" t="s">
        <v>20</v>
      </c>
      <c r="C1" t="s">
        <v>20</v>
      </c>
      <c r="D1" t="s">
        <v>20</v>
      </c>
      <c r="E1" t="s">
        <v>20</v>
      </c>
      <c r="F1" t="s">
        <v>20</v>
      </c>
    </row>
    <row r="2" spans="1:6" x14ac:dyDescent="0.25">
      <c r="A2" t="s">
        <v>20</v>
      </c>
      <c r="B2" t="s">
        <v>20</v>
      </c>
      <c r="C2" t="s">
        <v>20</v>
      </c>
      <c r="D2" t="s">
        <v>20</v>
      </c>
      <c r="E2" t="s">
        <v>20</v>
      </c>
      <c r="F2" t="s">
        <v>20</v>
      </c>
    </row>
    <row r="3" spans="1:6" x14ac:dyDescent="0.25">
      <c r="A3" s="8">
        <v>44595</v>
      </c>
      <c r="B3" s="8">
        <v>44595</v>
      </c>
      <c r="C3" t="s">
        <v>17</v>
      </c>
      <c r="D3" t="s">
        <v>18</v>
      </c>
      <c r="E3">
        <v>70</v>
      </c>
      <c r="F3">
        <v>1</v>
      </c>
    </row>
    <row r="4" spans="1:6" x14ac:dyDescent="0.25">
      <c r="A4" s="8">
        <v>44595</v>
      </c>
      <c r="B4" s="8">
        <v>44595</v>
      </c>
      <c r="C4" t="s">
        <v>17</v>
      </c>
      <c r="D4" t="s">
        <v>19</v>
      </c>
      <c r="E4">
        <v>58</v>
      </c>
      <c r="F4">
        <v>2</v>
      </c>
    </row>
    <row r="5" spans="1:6" x14ac:dyDescent="0.25">
      <c r="A5" s="8">
        <v>44595</v>
      </c>
      <c r="B5" s="8">
        <v>44595</v>
      </c>
      <c r="C5" t="s">
        <v>17</v>
      </c>
      <c r="D5" t="s">
        <v>21</v>
      </c>
      <c r="E5">
        <v>70</v>
      </c>
      <c r="F5">
        <v>1</v>
      </c>
    </row>
    <row r="6" spans="1:6" x14ac:dyDescent="0.25">
      <c r="A6" s="8">
        <v>44595</v>
      </c>
      <c r="B6" s="8">
        <v>44595</v>
      </c>
      <c r="C6" t="s">
        <v>17</v>
      </c>
      <c r="D6" t="s">
        <v>21</v>
      </c>
      <c r="E6">
        <v>58</v>
      </c>
      <c r="F6">
        <v>2</v>
      </c>
    </row>
    <row r="7" spans="1:6" x14ac:dyDescent="0.25">
      <c r="A7" s="8">
        <v>44595</v>
      </c>
      <c r="B7" s="8">
        <v>44595</v>
      </c>
      <c r="C7" t="s">
        <v>17</v>
      </c>
      <c r="D7" t="s">
        <v>22</v>
      </c>
      <c r="E7">
        <v>11200</v>
      </c>
      <c r="F7">
        <v>1</v>
      </c>
    </row>
    <row r="11" spans="1:6" x14ac:dyDescent="0.25">
      <c r="A11" s="8">
        <v>44592</v>
      </c>
      <c r="B11" s="8">
        <v>44591</v>
      </c>
      <c r="C11" t="s">
        <v>17</v>
      </c>
      <c r="D11" t="s">
        <v>25</v>
      </c>
      <c r="E11">
        <v>20</v>
      </c>
      <c r="F11">
        <v>1</v>
      </c>
    </row>
    <row r="12" spans="1:6" x14ac:dyDescent="0.25">
      <c r="A12" s="8">
        <v>44592</v>
      </c>
      <c r="B12" s="8">
        <v>44591</v>
      </c>
      <c r="C12" t="s">
        <v>17</v>
      </c>
      <c r="D12" t="s">
        <v>26</v>
      </c>
      <c r="E12">
        <v>40</v>
      </c>
      <c r="F12">
        <v>2</v>
      </c>
    </row>
    <row r="13" spans="1:6" x14ac:dyDescent="0.25">
      <c r="A13" s="8">
        <v>44592</v>
      </c>
      <c r="B13" s="8">
        <v>44592</v>
      </c>
      <c r="C13" t="s">
        <v>17</v>
      </c>
      <c r="D13" t="s">
        <v>18</v>
      </c>
      <c r="E13">
        <v>60</v>
      </c>
      <c r="F13">
        <v>1</v>
      </c>
    </row>
    <row r="14" spans="1:6" x14ac:dyDescent="0.25">
      <c r="A14" s="8">
        <v>44592</v>
      </c>
      <c r="B14" s="8">
        <v>44592</v>
      </c>
      <c r="C14" t="s">
        <v>17</v>
      </c>
      <c r="D14" t="s">
        <v>19</v>
      </c>
      <c r="E14">
        <v>48</v>
      </c>
      <c r="F14">
        <v>2</v>
      </c>
    </row>
    <row r="15" spans="1:6" x14ac:dyDescent="0.25">
      <c r="A15" s="8">
        <v>44592</v>
      </c>
      <c r="B15" s="8">
        <v>44592</v>
      </c>
      <c r="C15" t="s">
        <v>17</v>
      </c>
      <c r="D15" t="s">
        <v>21</v>
      </c>
      <c r="E15">
        <v>60</v>
      </c>
      <c r="F15">
        <v>1</v>
      </c>
    </row>
    <row r="16" spans="1:6" x14ac:dyDescent="0.25">
      <c r="A16" s="8">
        <v>44592</v>
      </c>
      <c r="B16" s="8">
        <v>44592</v>
      </c>
      <c r="C16" t="s">
        <v>17</v>
      </c>
      <c r="D16" t="s">
        <v>21</v>
      </c>
      <c r="E16">
        <v>48</v>
      </c>
      <c r="F16">
        <v>2</v>
      </c>
    </row>
    <row r="19" spans="1:8" x14ac:dyDescent="0.25">
      <c r="A19" s="5" t="s">
        <v>2</v>
      </c>
      <c r="B19" s="2" t="s">
        <v>3</v>
      </c>
      <c r="C19" s="5" t="s">
        <v>4</v>
      </c>
      <c r="D19" s="5" t="s">
        <v>5</v>
      </c>
      <c r="E19" s="11" t="s">
        <v>8</v>
      </c>
      <c r="F19" s="11" t="s">
        <v>9</v>
      </c>
    </row>
    <row r="20" spans="1:8" x14ac:dyDescent="0.25">
      <c r="A20" s="19">
        <v>44592</v>
      </c>
      <c r="B20" s="19">
        <v>44592</v>
      </c>
      <c r="C20" s="9" t="s">
        <v>17</v>
      </c>
      <c r="D20" s="9">
        <v>1</v>
      </c>
      <c r="E20" s="9">
        <v>10</v>
      </c>
      <c r="F20" s="9">
        <v>50</v>
      </c>
    </row>
    <row r="21" spans="1:8" x14ac:dyDescent="0.25">
      <c r="A21" s="19">
        <v>44592</v>
      </c>
      <c r="B21" s="19">
        <v>44592</v>
      </c>
      <c r="C21" s="9" t="s">
        <v>17</v>
      </c>
      <c r="D21" s="9">
        <v>2</v>
      </c>
      <c r="E21" s="9">
        <v>8</v>
      </c>
      <c r="F21" s="9">
        <v>40</v>
      </c>
    </row>
    <row r="24" spans="1:8" x14ac:dyDescent="0.25">
      <c r="A24" s="19">
        <v>44592</v>
      </c>
      <c r="B24" s="15">
        <v>44591</v>
      </c>
      <c r="C24" s="9" t="s">
        <v>17</v>
      </c>
      <c r="D24" s="9">
        <v>1</v>
      </c>
      <c r="E24" s="9">
        <v>100000</v>
      </c>
      <c r="F24" s="9">
        <v>100</v>
      </c>
      <c r="G24" s="9">
        <v>100000</v>
      </c>
      <c r="H24" s="9">
        <v>100</v>
      </c>
    </row>
    <row r="25" spans="1:8" x14ac:dyDescent="0.25">
      <c r="A25" s="19">
        <v>44592</v>
      </c>
      <c r="B25" s="15">
        <v>44591</v>
      </c>
      <c r="C25" s="9" t="s">
        <v>17</v>
      </c>
      <c r="D25" s="9">
        <v>2</v>
      </c>
      <c r="E25" s="9">
        <v>150000</v>
      </c>
      <c r="F25" s="9">
        <v>200</v>
      </c>
      <c r="G25" s="9">
        <v>150000</v>
      </c>
      <c r="H25" s="9">
        <v>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ORIG</vt:lpstr>
      <vt:lpstr>PMT</vt:lpstr>
      <vt:lpstr>INT_ACC</vt:lpstr>
      <vt:lpstr>RC</vt:lpstr>
      <vt:lpstr>CALC</vt:lpstr>
      <vt:lpstr>o_Transaction</vt:lpstr>
      <vt:lpstr>Expected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3</cp:revision>
  <dcterms:created xsi:type="dcterms:W3CDTF">2025-02-05T13:36:13Z</dcterms:created>
  <dcterms:modified xsi:type="dcterms:W3CDTF">2025-12-16T12:48:47Z</dcterms:modified>
  <dc:language>en-US</dc:language>
</cp:coreProperties>
</file>