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Model\"/>
    </mc:Choice>
  </mc:AlternateContent>
  <xr:revisionPtr revIDLastSave="0" documentId="13_ncr:1_{DA5AE819-3E02-4F68-A113-395AB8C5C33B}" xr6:coauthVersionLast="47" xr6:coauthVersionMax="47" xr10:uidLastSave="{00000000-0000-0000-0000-000000000000}"/>
  <bookViews>
    <workbookView xWindow="-120" yWindow="-120" windowWidth="29040" windowHeight="17520" tabRatio="500" activeTab="6" xr2:uid="{00000000-000D-0000-FFFF-FFFF00000000}"/>
  </bookViews>
  <sheets>
    <sheet name="ORIG" sheetId="2" r:id="rId1"/>
    <sheet name="PMT" sheetId="3" r:id="rId2"/>
    <sheet name="INT_ACC" sheetId="4" r:id="rId3"/>
    <sheet name="RC" sheetId="5" r:id="rId4"/>
    <sheet name="CALC" sheetId="10" r:id="rId5"/>
    <sheet name="o_Transaction" sheetId="9" r:id="rId6"/>
    <sheet name="Expected1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1" i="10" l="1"/>
  <c r="A26" i="9" s="1"/>
  <c r="A18" i="9"/>
  <c r="A29" i="10"/>
  <c r="B29" i="10" s="1"/>
  <c r="B18" i="9" s="1"/>
  <c r="A30" i="10" l="1"/>
  <c r="A42" i="10"/>
  <c r="A27" i="9" s="1"/>
  <c r="B41" i="10"/>
  <c r="B26" i="9" s="1"/>
  <c r="A43" i="10"/>
  <c r="B42" i="10"/>
  <c r="C41" i="10"/>
  <c r="D41" i="10" s="1"/>
  <c r="E41" i="10" s="1"/>
  <c r="A31" i="10" l="1"/>
  <c r="B30" i="10"/>
  <c r="B19" i="9" s="1"/>
  <c r="A19" i="9"/>
  <c r="F26" i="9"/>
  <c r="C26" i="9"/>
  <c r="B27" i="9"/>
  <c r="C42" i="10"/>
  <c r="A44" i="10"/>
  <c r="A28" i="9"/>
  <c r="B43" i="10"/>
  <c r="F42" i="10"/>
  <c r="E27" i="9" s="1"/>
  <c r="D26" i="9"/>
  <c r="F47" i="10"/>
  <c r="E32" i="9" s="1"/>
  <c r="F45" i="10"/>
  <c r="E30" i="9" s="1"/>
  <c r="F41" i="10"/>
  <c r="E26" i="9" s="1"/>
  <c r="F46" i="10"/>
  <c r="E31" i="9" s="1"/>
  <c r="F44" i="10"/>
  <c r="E29" i="9" s="1"/>
  <c r="F43" i="10"/>
  <c r="E28" i="9" s="1"/>
  <c r="A32" i="10" l="1"/>
  <c r="A20" i="9"/>
  <c r="B31" i="10"/>
  <c r="B20" i="9" s="1"/>
  <c r="B28" i="9"/>
  <c r="C43" i="10"/>
  <c r="A45" i="10"/>
  <c r="A29" i="9"/>
  <c r="B44" i="10"/>
  <c r="D42" i="10"/>
  <c r="C27" i="9"/>
  <c r="A33" i="10" l="1"/>
  <c r="A21" i="9"/>
  <c r="B32" i="10"/>
  <c r="B21" i="9" s="1"/>
  <c r="C44" i="10"/>
  <c r="B29" i="9"/>
  <c r="A46" i="10"/>
  <c r="B45" i="10"/>
  <c r="A30" i="9"/>
  <c r="F27" i="9"/>
  <c r="E42" i="10"/>
  <c r="D27" i="9" s="1"/>
  <c r="D43" i="10"/>
  <c r="C28" i="9"/>
  <c r="A34" i="10" l="1"/>
  <c r="A22" i="9"/>
  <c r="B33" i="10"/>
  <c r="B22" i="9" s="1"/>
  <c r="A47" i="10"/>
  <c r="B46" i="10"/>
  <c r="A31" i="9"/>
  <c r="E43" i="10"/>
  <c r="D28" i="9" s="1"/>
  <c r="F28" i="9"/>
  <c r="C45" i="10"/>
  <c r="B30" i="9"/>
  <c r="D44" i="10"/>
  <c r="C29" i="9"/>
  <c r="A17" i="10"/>
  <c r="A10" i="9" s="1"/>
  <c r="A5" i="10"/>
  <c r="A6" i="10" s="1"/>
  <c r="A35" i="10" l="1"/>
  <c r="B34" i="10"/>
  <c r="B23" i="9" s="1"/>
  <c r="A23" i="9"/>
  <c r="C46" i="10"/>
  <c r="B31" i="9"/>
  <c r="A48" i="10"/>
  <c r="B47" i="10"/>
  <c r="A32" i="9"/>
  <c r="E44" i="10"/>
  <c r="D29" i="9" s="1"/>
  <c r="F29" i="9"/>
  <c r="D45" i="10"/>
  <c r="C30" i="9"/>
  <c r="A18" i="10"/>
  <c r="B17" i="10"/>
  <c r="C29" i="10" s="1"/>
  <c r="A3" i="9"/>
  <c r="B6" i="10"/>
  <c r="A7" i="10"/>
  <c r="B5" i="10"/>
  <c r="A2" i="9"/>
  <c r="A36" i="10" l="1"/>
  <c r="B35" i="10"/>
  <c r="B24" i="9" s="1"/>
  <c r="A24" i="9"/>
  <c r="C18" i="9"/>
  <c r="D29" i="10"/>
  <c r="C47" i="10"/>
  <c r="B32" i="9"/>
  <c r="D46" i="10"/>
  <c r="C31" i="9"/>
  <c r="E45" i="10"/>
  <c r="D30" i="9" s="1"/>
  <c r="F30" i="9"/>
  <c r="A49" i="10"/>
  <c r="B48" i="10"/>
  <c r="A33" i="9"/>
  <c r="C17" i="10"/>
  <c r="B10" i="9"/>
  <c r="A19" i="10"/>
  <c r="A11" i="9"/>
  <c r="B18" i="10"/>
  <c r="C30" i="10" s="1"/>
  <c r="B2" i="9"/>
  <c r="C5" i="10"/>
  <c r="A8" i="10"/>
  <c r="A4" i="9"/>
  <c r="B7" i="10"/>
  <c r="B3" i="9"/>
  <c r="C6" i="10"/>
  <c r="B36" i="10" l="1"/>
  <c r="B25" i="9" s="1"/>
  <c r="A25" i="9"/>
  <c r="D30" i="10"/>
  <c r="C19" i="9"/>
  <c r="F18" i="9"/>
  <c r="E29" i="10"/>
  <c r="E46" i="10"/>
  <c r="D31" i="9" s="1"/>
  <c r="F31" i="9"/>
  <c r="C48" i="10"/>
  <c r="B33" i="9"/>
  <c r="A50" i="10"/>
  <c r="B49" i="10"/>
  <c r="A34" i="9"/>
  <c r="C32" i="9"/>
  <c r="D47" i="10"/>
  <c r="D17" i="10"/>
  <c r="C10" i="9"/>
  <c r="C18" i="10"/>
  <c r="B11" i="9"/>
  <c r="A20" i="10"/>
  <c r="B19" i="10"/>
  <c r="C31" i="10" s="1"/>
  <c r="A12" i="9"/>
  <c r="D6" i="10"/>
  <c r="C3" i="9"/>
  <c r="C7" i="10"/>
  <c r="B4" i="9"/>
  <c r="A9" i="10"/>
  <c r="B8" i="10"/>
  <c r="A5" i="9"/>
  <c r="D5" i="10"/>
  <c r="C2" i="9"/>
  <c r="C20" i="9" l="1"/>
  <c r="D31" i="10"/>
  <c r="D18" i="9"/>
  <c r="F29" i="10"/>
  <c r="E18" i="9" s="1"/>
  <c r="E30" i="10"/>
  <c r="F19" i="9"/>
  <c r="A51" i="10"/>
  <c r="B50" i="10"/>
  <c r="A35" i="9"/>
  <c r="F32" i="9"/>
  <c r="E47" i="10"/>
  <c r="D32" i="9" s="1"/>
  <c r="C49" i="10"/>
  <c r="B34" i="9"/>
  <c r="C33" i="9"/>
  <c r="D48" i="10"/>
  <c r="B12" i="9"/>
  <c r="C19" i="10"/>
  <c r="A21" i="10"/>
  <c r="B20" i="10"/>
  <c r="C32" i="10" s="1"/>
  <c r="A13" i="9"/>
  <c r="D18" i="10"/>
  <c r="C11" i="9"/>
  <c r="E17" i="10"/>
  <c r="F10" i="9"/>
  <c r="E5" i="10"/>
  <c r="F2" i="9"/>
  <c r="B5" i="9"/>
  <c r="C8" i="10"/>
  <c r="A10" i="10"/>
  <c r="B9" i="10"/>
  <c r="C9" i="10" s="1"/>
  <c r="A6" i="9"/>
  <c r="D7" i="10"/>
  <c r="C4" i="9"/>
  <c r="F3" i="9"/>
  <c r="E6" i="10"/>
  <c r="F30" i="10" l="1"/>
  <c r="E19" i="9" s="1"/>
  <c r="D19" i="9"/>
  <c r="F20" i="9"/>
  <c r="E31" i="10"/>
  <c r="C21" i="9"/>
  <c r="D32" i="10"/>
  <c r="E48" i="10"/>
  <c r="F33" i="9"/>
  <c r="D49" i="10"/>
  <c r="C34" i="9"/>
  <c r="B35" i="9"/>
  <c r="C50" i="10"/>
  <c r="A52" i="10"/>
  <c r="B51" i="10"/>
  <c r="A36" i="9"/>
  <c r="D10" i="9"/>
  <c r="F17" i="10"/>
  <c r="E10" i="9" s="1"/>
  <c r="E18" i="10"/>
  <c r="F11" i="9"/>
  <c r="C20" i="10"/>
  <c r="B13" i="9"/>
  <c r="A22" i="10"/>
  <c r="A14" i="9"/>
  <c r="B21" i="10"/>
  <c r="C33" i="10" s="1"/>
  <c r="C12" i="9"/>
  <c r="D19" i="10"/>
  <c r="D3" i="9"/>
  <c r="F6" i="10"/>
  <c r="E3" i="9" s="1"/>
  <c r="E7" i="10"/>
  <c r="F4" i="9"/>
  <c r="B6" i="9"/>
  <c r="A11" i="10"/>
  <c r="B10" i="10"/>
  <c r="C10" i="10" s="1"/>
  <c r="A7" i="9"/>
  <c r="D8" i="10"/>
  <c r="C5" i="9"/>
  <c r="F5" i="10"/>
  <c r="E2" i="9" s="1"/>
  <c r="D2" i="9"/>
  <c r="D33" i="10" l="1"/>
  <c r="C22" i="9"/>
  <c r="F21" i="9"/>
  <c r="E32" i="10"/>
  <c r="F31" i="10"/>
  <c r="E20" i="9" s="1"/>
  <c r="D20" i="9"/>
  <c r="F52" i="10"/>
  <c r="E37" i="9" s="1"/>
  <c r="F51" i="10"/>
  <c r="E36" i="9" s="1"/>
  <c r="F49" i="10"/>
  <c r="E34" i="9" s="1"/>
  <c r="F48" i="10"/>
  <c r="E33" i="9" s="1"/>
  <c r="F53" i="10"/>
  <c r="E38" i="9" s="1"/>
  <c r="F50" i="10"/>
  <c r="E35" i="9" s="1"/>
  <c r="D33" i="9"/>
  <c r="F54" i="10"/>
  <c r="E39" i="9" s="1"/>
  <c r="B36" i="9"/>
  <c r="C51" i="10"/>
  <c r="A53" i="10"/>
  <c r="A37" i="9"/>
  <c r="B52" i="10"/>
  <c r="D50" i="10"/>
  <c r="C35" i="9"/>
  <c r="F34" i="9"/>
  <c r="E49" i="10"/>
  <c r="D34" i="9" s="1"/>
  <c r="D20" i="10"/>
  <c r="C13" i="9"/>
  <c r="F12" i="9"/>
  <c r="E19" i="10"/>
  <c r="B14" i="9"/>
  <c r="C21" i="10"/>
  <c r="A23" i="10"/>
  <c r="B22" i="10"/>
  <c r="C34" i="10" s="1"/>
  <c r="A15" i="9"/>
  <c r="D11" i="9"/>
  <c r="F18" i="10"/>
  <c r="E11" i="9" s="1"/>
  <c r="F5" i="9"/>
  <c r="E8" i="10"/>
  <c r="B7" i="9"/>
  <c r="A12" i="10"/>
  <c r="B11" i="10"/>
  <c r="C11" i="10" s="1"/>
  <c r="A8" i="9"/>
  <c r="D9" i="10"/>
  <c r="C6" i="9"/>
  <c r="D4" i="9"/>
  <c r="F7" i="10"/>
  <c r="E4" i="9" s="1"/>
  <c r="D34" i="10" l="1"/>
  <c r="C23" i="9"/>
  <c r="F32" i="10"/>
  <c r="E21" i="9" s="1"/>
  <c r="D21" i="9"/>
  <c r="F22" i="9"/>
  <c r="E33" i="10"/>
  <c r="B37" i="9"/>
  <c r="C52" i="10"/>
  <c r="A54" i="10"/>
  <c r="A38" i="9"/>
  <c r="B53" i="10"/>
  <c r="D51" i="10"/>
  <c r="C36" i="9"/>
  <c r="F35" i="9"/>
  <c r="E50" i="10"/>
  <c r="D35" i="9" s="1"/>
  <c r="D21" i="10"/>
  <c r="C14" i="9"/>
  <c r="B15" i="9"/>
  <c r="C22" i="10"/>
  <c r="A24" i="10"/>
  <c r="B23" i="10"/>
  <c r="C35" i="10" s="1"/>
  <c r="A16" i="9"/>
  <c r="F19" i="10"/>
  <c r="E12" i="9" s="1"/>
  <c r="D12" i="9"/>
  <c r="E20" i="10"/>
  <c r="F13" i="9"/>
  <c r="C7" i="9"/>
  <c r="D10" i="10"/>
  <c r="E9" i="10"/>
  <c r="F6" i="9"/>
  <c r="B8" i="9"/>
  <c r="B12" i="10"/>
  <c r="C12" i="10" s="1"/>
  <c r="A9" i="9"/>
  <c r="D5" i="9"/>
  <c r="F8" i="10"/>
  <c r="E5" i="9" s="1"/>
  <c r="F33" i="10" l="1"/>
  <c r="E22" i="9" s="1"/>
  <c r="D22" i="9"/>
  <c r="C24" i="9"/>
  <c r="D35" i="10"/>
  <c r="F23" i="9"/>
  <c r="E34" i="10"/>
  <c r="F36" i="9"/>
  <c r="E51" i="10"/>
  <c r="D36" i="9" s="1"/>
  <c r="B38" i="9"/>
  <c r="C53" i="10"/>
  <c r="A39" i="9"/>
  <c r="B54" i="10"/>
  <c r="D52" i="10"/>
  <c r="C37" i="9"/>
  <c r="B16" i="9"/>
  <c r="C23" i="10"/>
  <c r="A17" i="9"/>
  <c r="B24" i="10"/>
  <c r="C36" i="10" s="1"/>
  <c r="F20" i="10"/>
  <c r="E13" i="9" s="1"/>
  <c r="D13" i="9"/>
  <c r="C15" i="9"/>
  <c r="D22" i="10"/>
  <c r="E21" i="10"/>
  <c r="F14" i="9"/>
  <c r="B9" i="9"/>
  <c r="D11" i="10"/>
  <c r="C8" i="9"/>
  <c r="F9" i="10"/>
  <c r="E6" i="9" s="1"/>
  <c r="D6" i="9"/>
  <c r="F7" i="9"/>
  <c r="E10" i="10"/>
  <c r="C25" i="9" l="1"/>
  <c r="D36" i="10"/>
  <c r="D23" i="9"/>
  <c r="F34" i="10"/>
  <c r="E23" i="9" s="1"/>
  <c r="F24" i="9"/>
  <c r="E35" i="10"/>
  <c r="E52" i="10"/>
  <c r="D37" i="9" s="1"/>
  <c r="F37" i="9"/>
  <c r="B39" i="9"/>
  <c r="C54" i="10"/>
  <c r="C38" i="9"/>
  <c r="D53" i="10"/>
  <c r="F21" i="10"/>
  <c r="E14" i="9" s="1"/>
  <c r="D14" i="9"/>
  <c r="E22" i="10"/>
  <c r="F15" i="9"/>
  <c r="C24" i="10"/>
  <c r="B17" i="9"/>
  <c r="C16" i="9"/>
  <c r="D23" i="10"/>
  <c r="D7" i="9"/>
  <c r="F10" i="10"/>
  <c r="E7" i="9" s="1"/>
  <c r="C9" i="9"/>
  <c r="D12" i="10"/>
  <c r="E11" i="10"/>
  <c r="F8" i="9"/>
  <c r="E36" i="10" l="1"/>
  <c r="F25" i="9"/>
  <c r="F35" i="10"/>
  <c r="E24" i="9" s="1"/>
  <c r="D24" i="9"/>
  <c r="F38" i="9"/>
  <c r="E53" i="10"/>
  <c r="D38" i="9" s="1"/>
  <c r="D54" i="10"/>
  <c r="C39" i="9"/>
  <c r="F16" i="9"/>
  <c r="E23" i="10"/>
  <c r="C17" i="9"/>
  <c r="D24" i="10"/>
  <c r="F22" i="10"/>
  <c r="E15" i="9" s="1"/>
  <c r="D15" i="9"/>
  <c r="F11" i="10"/>
  <c r="E8" i="9" s="1"/>
  <c r="D8" i="9"/>
  <c r="F9" i="9"/>
  <c r="E12" i="10"/>
  <c r="D25" i="9" l="1"/>
  <c r="F36" i="10"/>
  <c r="E25" i="9" s="1"/>
  <c r="F39" i="9"/>
  <c r="E54" i="10"/>
  <c r="D39" i="9" s="1"/>
  <c r="F23" i="10"/>
  <c r="E16" i="9" s="1"/>
  <c r="D16" i="9"/>
  <c r="F17" i="9"/>
  <c r="E24" i="10"/>
  <c r="F12" i="10"/>
  <c r="E9" i="9" s="1"/>
  <c r="D9" i="9"/>
  <c r="F24" i="10" l="1"/>
  <c r="E17" i="9" s="1"/>
  <c r="D17" i="9"/>
</calcChain>
</file>

<file path=xl/sharedStrings.xml><?xml version="1.0" encoding="utf-8"?>
<sst xmlns="http://schemas.openxmlformats.org/spreadsheetml/2006/main" count="343" uniqueCount="57">
  <si>
    <t>Amount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</si>
  <si>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</si>
  <si>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</si>
  <si>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</si>
  <si>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</si>
  <si>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</si>
  <si>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</si>
  <si>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ATTRIBUTE_INTEREST_RATE_CURRENT</t>
  </si>
  <si>
    <t>BALANCES_ENDINGBALANCE_Servicing_Interest_Accrual</t>
  </si>
  <si>
    <t>ATTRIBUTE_INTEREST_RATE_PRIOR</t>
  </si>
  <si>
    <t>TransactionDate</t>
  </si>
  <si>
    <t>TransactionName</t>
  </si>
  <si>
    <t>TRANSACTIONS_AMOUNT_Interest_Adjustment</t>
  </si>
  <si>
    <t>TRANSACTIONS_AMOUNT_Payment_Interest</t>
  </si>
  <si>
    <t>TRANSACTIONS_AMOUNT_Payment_UPB</t>
  </si>
  <si>
    <t>LOAN1</t>
  </si>
  <si>
    <t>BALANCES_ENDINGBALANCE_UNPAID_PRINCIPAL_BALANCE</t>
  </si>
  <si>
    <t>BALANCES_ENDINGBALANCE_ACCRUED_INTEREST_RECEIVABLE</t>
  </si>
  <si>
    <t>ATTRIBUTE_LOAN_TERM_CURRENT</t>
  </si>
  <si>
    <t>ATTRIBUTE_LOAN_TERM_PRIOR</t>
  </si>
  <si>
    <t>ATTRIBUTE_LOAN_STATUS_CURRENT</t>
  </si>
  <si>
    <t>ATTRIBUTE_LOAN_STATUS_PRIOR</t>
  </si>
  <si>
    <t>BALANCES_BEGINNINGBALANCE_Servicing_Interest_Accrual</t>
  </si>
  <si>
    <t>BALANCES_ACTIVITY_Servicing_Interest_Accrual</t>
  </si>
  <si>
    <t>ATTRIBUTE_INTEREST_RATE_FIRST</t>
  </si>
  <si>
    <t>1.0</t>
  </si>
  <si>
    <t>2.0</t>
  </si>
  <si>
    <t>TRANSACTIONS</t>
  </si>
  <si>
    <t>ATT_LA_CUR</t>
  </si>
  <si>
    <t>ATT_IRC_CUR</t>
  </si>
  <si>
    <t>BAL_EB_UPB</t>
  </si>
  <si>
    <t>BAL_EB_AIR</t>
  </si>
  <si>
    <t>Trans</t>
  </si>
  <si>
    <t>MODEL EXECUTION</t>
  </si>
  <si>
    <t>INSTRUMENT ADD</t>
  </si>
  <si>
    <t>ATT_IR_CUR</t>
  </si>
  <si>
    <t>BAL_EB_SIA</t>
  </si>
  <si>
    <t>BAL_BB_SIA</t>
  </si>
  <si>
    <t>BAL_ACT_SIA</t>
  </si>
  <si>
    <t>ORIG</t>
  </si>
  <si>
    <t>INT_ACC</t>
  </si>
  <si>
    <t>OUTPUT</t>
  </si>
  <si>
    <t>ON TRANSACTION POST</t>
  </si>
  <si>
    <t>TRANX_AM_IA</t>
  </si>
  <si>
    <t>TRANX_AM_PINT</t>
  </si>
  <si>
    <t>TRANX_AM_PUPB</t>
  </si>
  <si>
    <t>ON ATTRIBUTE CHANGE</t>
  </si>
  <si>
    <t>ATT_IR_PR</t>
  </si>
  <si>
    <t>ATT_IR_FIR</t>
  </si>
  <si>
    <t>ATT_LT_CUR</t>
  </si>
  <si>
    <t>ATT_LT_PR</t>
  </si>
  <si>
    <t>ATT_LS_CUR</t>
  </si>
  <si>
    <t>ATT_LS_PR</t>
  </si>
  <si>
    <t>OUTPUT Day2</t>
  </si>
  <si>
    <t>PMT</t>
  </si>
  <si>
    <t>INT ACC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</si>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</sst>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0" fontId="0" fillId="2" borderId="0" xfId="1" applyFont="1" applyFill="1"/>
    <xf numFmtId="0" fontId="1" fillId="4" borderId="2" xfId="1" applyFont="1" applyFill="1" applyBorder="1"/>
    <xf numFmtId="0" fontId="3" fillId="5" borderId="0" xfId="1" applyFont="1" applyFill="1"/>
    <xf numFmtId="0" fontId="3" fillId="5" borderId="0" xfId="0" applyFont="1" applyFill="1"/>
    <xf numFmtId="0" fontId="0" fillId="0" borderId="1" xfId="0" applyBorder="1"/>
    <xf numFmtId="2" fontId="0" fillId="0" borderId="0" xfId="0" applyNumberFormat="1"/>
    <xf numFmtId="14" fontId="0" fillId="0" borderId="1" xfId="1" applyNumberFormat="1" applyFont="1" applyBorder="1"/>
    <xf numFmtId="0" fontId="0" fillId="0" borderId="1" xfId="1" applyFont="1" applyBorder="1"/>
    <xf numFmtId="167" fontId="0" fillId="0" borderId="0" xfId="0" applyNumberForma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1" xfId="1" applyFont="1" applyFill="1" applyBorder="1"/>
    <xf numFmtId="0" fontId="0" fillId="0" borderId="1" xfId="0" applyNumberForma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0" fontId="0" fillId="0" borderId="1" xfId="1" applyNumberFormat="1" applyFont="1" applyBorder="1"/>
    <xf numFmtId="2" fontId="0" fillId="0" borderId="1" xfId="1" applyNumberFormat="1" applyFont="1" applyBorder="1"/>
    <xf numFmtId="1" fontId="0" fillId="0" borderId="1" xfId="1" applyNumberFormat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6.140625" bestFit="1" customWidth="1"/>
    <col min="6" max="6" width="53.28515625" bestFit="1" customWidth="1"/>
    <col min="7" max="7" width="48" bestFit="1" customWidth="1"/>
    <col min="8" max="8" width="50.5703125" bestFit="1" customWidth="1"/>
  </cols>
  <sheetData>
    <row r="1" spans="1:8" x14ac:dyDescent="0.25">
      <c r="A1" s="3" t="s">
        <v>1</v>
      </c>
      <c r="B1" s="1" t="s">
        <v>2</v>
      </c>
      <c r="C1" s="4" t="s">
        <v>3</v>
      </c>
      <c r="D1" s="4" t="s">
        <v>4</v>
      </c>
      <c r="E1" s="5" t="s">
        <v>5</v>
      </c>
      <c r="F1" s="6" t="s">
        <v>6</v>
      </c>
      <c r="G1" s="11" t="s">
        <v>16</v>
      </c>
      <c r="H1" s="12" t="s">
        <v>17</v>
      </c>
    </row>
    <row r="2" spans="1:8" x14ac:dyDescent="0.25">
      <c r="A2" s="17"/>
      <c r="B2" s="17"/>
      <c r="E2" s="14"/>
      <c r="F2" s="14"/>
      <c r="G2" s="14"/>
      <c r="H2" s="14"/>
    </row>
    <row r="3" spans="1:8" ht="15" customHeight="1" x14ac:dyDescent="0.25">
      <c r="A3" s="17"/>
      <c r="B3" s="17"/>
      <c r="E3" s="14"/>
      <c r="F3" s="14"/>
      <c r="G3" s="14"/>
      <c r="H3" s="14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8"/>
  <sheetViews>
    <sheetView zoomScaleNormal="100" workbookViewId="0">
      <selection activeCell="A2" sqref="A2:G8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44.7109375" bestFit="1" customWidth="1"/>
    <col min="6" max="6" width="42.140625" bestFit="1" customWidth="1"/>
    <col min="7" max="7" width="38.7109375" bestFit="1" customWidth="1"/>
  </cols>
  <sheetData>
    <row r="1" spans="1:7" x14ac:dyDescent="0.25">
      <c r="A1" s="3" t="s">
        <v>1</v>
      </c>
      <c r="B1" s="1" t="s">
        <v>2</v>
      </c>
      <c r="C1" s="4" t="s">
        <v>3</v>
      </c>
      <c r="D1" s="4" t="s">
        <v>4</v>
      </c>
      <c r="E1" s="5" t="s">
        <v>12</v>
      </c>
      <c r="F1" s="5" t="s">
        <v>13</v>
      </c>
      <c r="G1" s="5" t="s">
        <v>14</v>
      </c>
    </row>
    <row r="2" spans="1:7" x14ac:dyDescent="0.25">
      <c r="A2" s="17"/>
      <c r="B2" s="17"/>
      <c r="G2" s="14"/>
    </row>
    <row r="3" spans="1:7" x14ac:dyDescent="0.25">
      <c r="A3" s="17"/>
      <c r="B3" s="17"/>
      <c r="F3" s="14"/>
      <c r="G3" s="14"/>
    </row>
    <row r="4" spans="1:7" x14ac:dyDescent="0.25">
      <c r="A4" s="17"/>
      <c r="B4" s="17"/>
      <c r="E4" s="14"/>
    </row>
    <row r="5" spans="1:7" x14ac:dyDescent="0.25">
      <c r="A5" s="17"/>
      <c r="B5" s="17"/>
      <c r="G5" s="14"/>
    </row>
    <row r="6" spans="1:7" x14ac:dyDescent="0.25">
      <c r="A6" s="17"/>
      <c r="B6" s="17"/>
      <c r="G6" s="14"/>
    </row>
    <row r="7" spans="1:7" x14ac:dyDescent="0.25">
      <c r="A7" s="17"/>
      <c r="B7" s="17"/>
      <c r="F7" s="14"/>
    </row>
    <row r="8" spans="1:7" x14ac:dyDescent="0.25">
      <c r="A8" s="17"/>
      <c r="B8" s="17"/>
      <c r="E8" s="14"/>
    </row>
  </sheetData>
  <sortState xmlns:xlrd2="http://schemas.microsoft.com/office/spreadsheetml/2017/richdata2" ref="A2:G8">
    <sortCondition ref="D2:D8"/>
    <sortCondition descending="1" ref="B2:B8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"/>
  <sheetViews>
    <sheetView zoomScaleNormal="100" workbookViewId="0">
      <selection activeCell="A2" sqref="A2:H3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5" bestFit="1" customWidth="1"/>
    <col min="6" max="6" width="52.140625" bestFit="1" customWidth="1"/>
    <col min="7" max="7" width="55.42578125" bestFit="1" customWidth="1"/>
    <col min="8" max="8" width="44.5703125" bestFit="1" customWidth="1"/>
  </cols>
  <sheetData>
    <row r="1" spans="1:8" x14ac:dyDescent="0.25">
      <c r="A1" s="3" t="s">
        <v>1</v>
      </c>
      <c r="B1" s="1" t="s">
        <v>2</v>
      </c>
      <c r="C1" s="4" t="s">
        <v>3</v>
      </c>
      <c r="D1" s="4" t="s">
        <v>4</v>
      </c>
      <c r="E1" s="9" t="s">
        <v>7</v>
      </c>
      <c r="F1" s="9" t="s">
        <v>8</v>
      </c>
      <c r="G1" s="9" t="s">
        <v>22</v>
      </c>
      <c r="H1" s="9" t="s">
        <v>23</v>
      </c>
    </row>
    <row r="2" spans="1:8" x14ac:dyDescent="0.25">
      <c r="A2" s="17"/>
      <c r="B2" s="17"/>
      <c r="E2" s="14"/>
      <c r="F2" s="14"/>
      <c r="G2" s="14"/>
      <c r="H2" s="14"/>
    </row>
    <row r="3" spans="1:8" ht="15" customHeight="1" x14ac:dyDescent="0.25">
      <c r="A3" s="17"/>
      <c r="B3" s="17"/>
      <c r="E3" s="14"/>
      <c r="F3" s="14"/>
      <c r="G3" s="14"/>
      <c r="H3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3"/>
  <sheetViews>
    <sheetView zoomScaleNormal="100" workbookViewId="0">
      <selection activeCell="A2" sqref="A2:K3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5" bestFit="1" customWidth="1"/>
    <col min="6" max="6" width="32.140625" bestFit="1" customWidth="1"/>
    <col min="7" max="7" width="31.42578125" bestFit="1" customWidth="1"/>
    <col min="8" max="8" width="32.140625" bestFit="1" customWidth="1"/>
    <col min="9" max="9" width="29.28515625" bestFit="1" customWidth="1"/>
    <col min="10" max="10" width="34" bestFit="1" customWidth="1"/>
    <col min="11" max="11" width="31.140625" bestFit="1" customWidth="1"/>
  </cols>
  <sheetData>
    <row r="1" spans="1:11" x14ac:dyDescent="0.25">
      <c r="A1" s="3" t="s">
        <v>1</v>
      </c>
      <c r="B1" s="1" t="s">
        <v>2</v>
      </c>
      <c r="C1" s="4" t="s">
        <v>3</v>
      </c>
      <c r="D1" s="4" t="s">
        <v>4</v>
      </c>
      <c r="E1" s="9" t="s">
        <v>7</v>
      </c>
      <c r="F1" s="9" t="s">
        <v>9</v>
      </c>
      <c r="G1" s="9" t="s">
        <v>24</v>
      </c>
      <c r="H1" s="9" t="s">
        <v>18</v>
      </c>
      <c r="I1" s="9" t="s">
        <v>19</v>
      </c>
      <c r="J1" s="9" t="s">
        <v>20</v>
      </c>
      <c r="K1" s="9" t="s">
        <v>21</v>
      </c>
    </row>
    <row r="2" spans="1:11" x14ac:dyDescent="0.25">
      <c r="A2" s="17"/>
      <c r="B2" s="17"/>
      <c r="E2" s="14"/>
      <c r="H2" s="14"/>
      <c r="J2" s="14"/>
      <c r="K2" s="14"/>
    </row>
    <row r="3" spans="1:11" ht="15" customHeight="1" x14ac:dyDescent="0.25">
      <c r="A3" s="17"/>
      <c r="B3" s="17"/>
      <c r="E3" s="14"/>
      <c r="H3" s="14"/>
      <c r="J3" s="14"/>
      <c r="K3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F0F9-DFA4-40F6-8280-B1559D1D3210}">
  <sheetPr>
    <tabColor rgb="FFFFFF00"/>
  </sheetPr>
  <dimension ref="A1:H54"/>
  <sheetViews>
    <sheetView topLeftCell="A16" workbookViewId="0">
      <selection activeCell="B41" sqref="B41"/>
    </sheetView>
  </sheetViews>
  <sheetFormatPr defaultRowHeight="15" x14ac:dyDescent="0.25"/>
  <cols>
    <col min="1" max="1" width="32" customWidth="1"/>
    <col min="2" max="2" width="11.7109375" bestFit="1" customWidth="1"/>
    <col min="3" max="3" width="15.42578125" bestFit="1" customWidth="1"/>
    <col min="4" max="4" width="12.5703125" bestFit="1" customWidth="1"/>
    <col min="5" max="5" width="20.42578125" bestFit="1" customWidth="1"/>
    <col min="6" max="6" width="9.7109375" bestFit="1" customWidth="1"/>
    <col min="7" max="7" width="10.85546875" bestFit="1" customWidth="1"/>
  </cols>
  <sheetData>
    <row r="1" spans="1:8" ht="15.75" thickBot="1" x14ac:dyDescent="0.3">
      <c r="A1" s="18" t="s">
        <v>34</v>
      </c>
      <c r="B1" s="19"/>
      <c r="C1" s="19"/>
      <c r="D1" s="19"/>
      <c r="E1" s="19"/>
      <c r="F1" s="19"/>
      <c r="G1" s="20"/>
    </row>
    <row r="2" spans="1:8" ht="15.75" thickBot="1" x14ac:dyDescent="0.3"/>
    <row r="3" spans="1:8" ht="15.75" thickBot="1" x14ac:dyDescent="0.3">
      <c r="A3" s="21" t="s">
        <v>27</v>
      </c>
      <c r="B3" s="22"/>
      <c r="C3" s="22"/>
      <c r="D3" s="22"/>
      <c r="E3" s="22"/>
      <c r="F3" s="23"/>
    </row>
    <row r="4" spans="1:8" x14ac:dyDescent="0.25">
      <c r="A4" s="10" t="s">
        <v>1</v>
      </c>
      <c r="B4" s="10" t="s">
        <v>2</v>
      </c>
      <c r="C4" s="10" t="s">
        <v>3</v>
      </c>
      <c r="D4" s="10" t="s">
        <v>4</v>
      </c>
      <c r="E4" s="10" t="s">
        <v>11</v>
      </c>
      <c r="F4" s="10" t="s">
        <v>0</v>
      </c>
      <c r="H4" s="24" t="s">
        <v>32</v>
      </c>
    </row>
    <row r="5" spans="1:8" x14ac:dyDescent="0.25">
      <c r="A5" s="2" t="str">
        <f>IF(ORIG!A2="","",ORIG!A2)</f>
        <v/>
      </c>
      <c r="B5" s="2" t="str">
        <f>IF(A5="","",A5)</f>
        <v/>
      </c>
      <c r="C5" s="13" t="str">
        <f>IF(B5="","",ORIG!$C$2)</f>
        <v/>
      </c>
      <c r="D5" s="13" t="str">
        <f>IF(C5="","",ORIG!$D$2)</f>
        <v/>
      </c>
      <c r="E5" s="25" t="str">
        <f>IF(D5="","",H5)</f>
        <v/>
      </c>
      <c r="F5" s="13" t="str">
        <f>IF(E5="","",ORIG!E2)</f>
        <v/>
      </c>
      <c r="H5" s="16" t="s">
        <v>28</v>
      </c>
    </row>
    <row r="6" spans="1:8" x14ac:dyDescent="0.25">
      <c r="A6" s="2" t="str">
        <f>IF(A5="","",A5)</f>
        <v/>
      </c>
      <c r="B6" s="2" t="str">
        <f t="shared" ref="B6:B12" si="0">IF(A6="","",A6)</f>
        <v/>
      </c>
      <c r="C6" s="13" t="str">
        <f>IF(B6="","",ORIG!$C$2)</f>
        <v/>
      </c>
      <c r="D6" s="13" t="str">
        <f>IF(C6="","",ORIG!$D$2)</f>
        <v/>
      </c>
      <c r="E6" s="25" t="str">
        <f>IF(D6="","",H6)</f>
        <v/>
      </c>
      <c r="F6" s="13" t="str">
        <f>IF(E6="","",ORIG!F2)</f>
        <v/>
      </c>
      <c r="H6" s="16" t="s">
        <v>29</v>
      </c>
    </row>
    <row r="7" spans="1:8" x14ac:dyDescent="0.25">
      <c r="A7" s="2" t="str">
        <f t="shared" ref="A7:A12" si="1">IF(A6="","",A6)</f>
        <v/>
      </c>
      <c r="B7" s="2" t="str">
        <f t="shared" si="0"/>
        <v/>
      </c>
      <c r="C7" s="13" t="str">
        <f>IF(B7="","",ORIG!$C$2)</f>
        <v/>
      </c>
      <c r="D7" s="13" t="str">
        <f>IF(C7="","",ORIG!$D$2)</f>
        <v/>
      </c>
      <c r="E7" s="25" t="str">
        <f>IF(D7="","",H7)</f>
        <v/>
      </c>
      <c r="F7" s="13" t="str">
        <f>IF(E7="","",ORIG!G2)</f>
        <v/>
      </c>
      <c r="H7" s="16" t="s">
        <v>30</v>
      </c>
    </row>
    <row r="8" spans="1:8" x14ac:dyDescent="0.25">
      <c r="A8" s="2" t="str">
        <f t="shared" si="1"/>
        <v/>
      </c>
      <c r="B8" s="2" t="str">
        <f t="shared" si="0"/>
        <v/>
      </c>
      <c r="C8" s="13" t="str">
        <f>IF(B8="","",ORIG!$C$2)</f>
        <v/>
      </c>
      <c r="D8" s="13" t="str">
        <f>IF(C8="","",ORIG!$D$2)</f>
        <v/>
      </c>
      <c r="E8" s="25" t="str">
        <f>IF(D8="","",H8)</f>
        <v/>
      </c>
      <c r="F8" s="13" t="str">
        <f>IF(E8="","",ORIG!H2)</f>
        <v/>
      </c>
      <c r="H8" s="16" t="s">
        <v>31</v>
      </c>
    </row>
    <row r="9" spans="1:8" x14ac:dyDescent="0.25">
      <c r="A9" s="2" t="str">
        <f t="shared" si="1"/>
        <v/>
      </c>
      <c r="B9" s="2" t="str">
        <f t="shared" si="0"/>
        <v/>
      </c>
      <c r="C9" s="13" t="str">
        <f>IF(B9="","",ORIG!$C$3)</f>
        <v/>
      </c>
      <c r="D9" s="13" t="str">
        <f>IF(C9="","",ORIG!$D$3)</f>
        <v/>
      </c>
      <c r="E9" s="25" t="str">
        <f>IF(D9="","",H9)</f>
        <v/>
      </c>
      <c r="F9" s="13" t="str">
        <f>IF(E9="","",ORIG!E3)</f>
        <v/>
      </c>
      <c r="H9" s="16" t="s">
        <v>28</v>
      </c>
    </row>
    <row r="10" spans="1:8" x14ac:dyDescent="0.25">
      <c r="A10" s="2" t="str">
        <f t="shared" si="1"/>
        <v/>
      </c>
      <c r="B10" s="2" t="str">
        <f t="shared" si="0"/>
        <v/>
      </c>
      <c r="C10" s="13" t="str">
        <f>IF(B10="","",ORIG!$C$3)</f>
        <v/>
      </c>
      <c r="D10" s="13" t="str">
        <f>IF(C10="","",ORIG!$D$3)</f>
        <v/>
      </c>
      <c r="E10" s="25" t="str">
        <f>IF(D10="","",H10)</f>
        <v/>
      </c>
      <c r="F10" s="13" t="str">
        <f>IF(E10="","",ORIG!F3)</f>
        <v/>
      </c>
      <c r="H10" s="16" t="s">
        <v>29</v>
      </c>
    </row>
    <row r="11" spans="1:8" x14ac:dyDescent="0.25">
      <c r="A11" s="2" t="str">
        <f t="shared" si="1"/>
        <v/>
      </c>
      <c r="B11" s="2" t="str">
        <f t="shared" si="0"/>
        <v/>
      </c>
      <c r="C11" s="13" t="str">
        <f>IF(B11="","",ORIG!$C$3)</f>
        <v/>
      </c>
      <c r="D11" s="13" t="str">
        <f>IF(C11="","",ORIG!$D$3)</f>
        <v/>
      </c>
      <c r="E11" s="25" t="str">
        <f>IF(D11="","",H11)</f>
        <v/>
      </c>
      <c r="F11" s="13" t="str">
        <f>IF(E11="","",ORIG!G3)</f>
        <v/>
      </c>
      <c r="H11" s="16" t="s">
        <v>30</v>
      </c>
    </row>
    <row r="12" spans="1:8" x14ac:dyDescent="0.25">
      <c r="A12" s="2" t="str">
        <f t="shared" si="1"/>
        <v/>
      </c>
      <c r="B12" s="2" t="str">
        <f t="shared" si="0"/>
        <v/>
      </c>
      <c r="C12" s="13" t="str">
        <f>IF(B12="","",ORIG!$C$3)</f>
        <v/>
      </c>
      <c r="D12" s="13" t="str">
        <f>IF(C12="","",ORIG!$D$3)</f>
        <v/>
      </c>
      <c r="E12" s="25" t="str">
        <f>IF(D12="","",H12)</f>
        <v/>
      </c>
      <c r="F12" s="13" t="str">
        <f>IF(E12="","",ORIG!H3)</f>
        <v/>
      </c>
      <c r="H12" s="16" t="s">
        <v>31</v>
      </c>
    </row>
    <row r="13" spans="1:8" ht="15.75" thickBot="1" x14ac:dyDescent="0.3"/>
    <row r="14" spans="1:8" ht="15.75" thickBot="1" x14ac:dyDescent="0.3">
      <c r="A14" s="18" t="s">
        <v>33</v>
      </c>
      <c r="B14" s="19"/>
      <c r="C14" s="19"/>
      <c r="D14" s="19"/>
      <c r="E14" s="19"/>
      <c r="F14" s="19"/>
      <c r="G14" s="20"/>
    </row>
    <row r="15" spans="1:8" ht="15.75" thickBot="1" x14ac:dyDescent="0.3">
      <c r="A15" s="21" t="s">
        <v>27</v>
      </c>
      <c r="B15" s="22"/>
      <c r="C15" s="22"/>
      <c r="D15" s="22"/>
      <c r="E15" s="22"/>
      <c r="F15" s="23"/>
    </row>
    <row r="16" spans="1:8" x14ac:dyDescent="0.25">
      <c r="A16" s="10" t="s">
        <v>1</v>
      </c>
      <c r="B16" s="10" t="s">
        <v>2</v>
      </c>
      <c r="C16" s="10" t="s">
        <v>3</v>
      </c>
      <c r="D16" s="10" t="s">
        <v>4</v>
      </c>
      <c r="E16" s="10" t="s">
        <v>11</v>
      </c>
      <c r="F16" s="10" t="s">
        <v>0</v>
      </c>
      <c r="H16" s="24" t="s">
        <v>32</v>
      </c>
    </row>
    <row r="17" spans="1:8" x14ac:dyDescent="0.25">
      <c r="A17" s="7" t="str">
        <f>IF(INT_ACC!A2="","",INT_ACC!A2)</f>
        <v/>
      </c>
      <c r="B17" s="2" t="str">
        <f>IF(A17="","",A17)</f>
        <v/>
      </c>
      <c r="C17" s="13" t="str">
        <f>IF(B17="","",INT_ACC!$C$2)</f>
        <v/>
      </c>
      <c r="D17" s="13" t="str">
        <f>IF(C17="","",INT_ACC!$D$2)</f>
        <v/>
      </c>
      <c r="E17" s="25" t="str">
        <f>IF(D17="","",H17)</f>
        <v/>
      </c>
      <c r="F17" s="13" t="str">
        <f>IF(E17="","",INT_ACC!E2)</f>
        <v/>
      </c>
      <c r="H17" s="16" t="s">
        <v>35</v>
      </c>
    </row>
    <row r="18" spans="1:8" x14ac:dyDescent="0.25">
      <c r="A18" s="2" t="str">
        <f>IF(A17="","",A17)</f>
        <v/>
      </c>
      <c r="B18" s="2" t="str">
        <f t="shared" ref="B18:B24" si="2">IF(A18="","",A18)</f>
        <v/>
      </c>
      <c r="C18" s="13" t="str">
        <f>IF(B18="","",INT_ACC!$C$2)</f>
        <v/>
      </c>
      <c r="D18" s="13" t="str">
        <f>IF(C18="","",INT_ACC!$D$2)</f>
        <v/>
      </c>
      <c r="E18" s="25" t="str">
        <f>IF(D18="","",H18)</f>
        <v/>
      </c>
      <c r="F18" s="13" t="str">
        <f>IF(E18="","",INT_ACC!F2)</f>
        <v/>
      </c>
      <c r="H18" s="16" t="s">
        <v>36</v>
      </c>
    </row>
    <row r="19" spans="1:8" x14ac:dyDescent="0.25">
      <c r="A19" s="2" t="str">
        <f t="shared" ref="A19:A24" si="3">IF(A18="","",A18)</f>
        <v/>
      </c>
      <c r="B19" s="2" t="str">
        <f t="shared" si="2"/>
        <v/>
      </c>
      <c r="C19" s="13" t="str">
        <f>IF(B19="","",INT_ACC!$C$2)</f>
        <v/>
      </c>
      <c r="D19" s="13" t="str">
        <f>IF(C19="","",INT_ACC!$D$2)</f>
        <v/>
      </c>
      <c r="E19" s="25" t="str">
        <f>IF(D19="","",H19)</f>
        <v/>
      </c>
      <c r="F19" s="13" t="str">
        <f>IF(E19="","",INT_ACC!G2)</f>
        <v/>
      </c>
      <c r="H19" s="16" t="s">
        <v>37</v>
      </c>
    </row>
    <row r="20" spans="1:8" x14ac:dyDescent="0.25">
      <c r="A20" s="2" t="str">
        <f t="shared" si="3"/>
        <v/>
      </c>
      <c r="B20" s="2" t="str">
        <f t="shared" si="2"/>
        <v/>
      </c>
      <c r="C20" s="13" t="str">
        <f>IF(B20="","",INT_ACC!$C$2)</f>
        <v/>
      </c>
      <c r="D20" s="13" t="str">
        <f>IF(C20="","",INT_ACC!$D$2)</f>
        <v/>
      </c>
      <c r="E20" s="25" t="str">
        <f>IF(D20="","",H20)</f>
        <v/>
      </c>
      <c r="F20" s="13" t="str">
        <f>IF(E20="","",INT_ACC!H2)</f>
        <v/>
      </c>
      <c r="H20" s="16" t="s">
        <v>38</v>
      </c>
    </row>
    <row r="21" spans="1:8" x14ac:dyDescent="0.25">
      <c r="A21" s="2" t="str">
        <f t="shared" si="3"/>
        <v/>
      </c>
      <c r="B21" s="2" t="str">
        <f t="shared" si="2"/>
        <v/>
      </c>
      <c r="C21" s="13" t="str">
        <f>IF(B21="","",INT_ACC!$C$3)</f>
        <v/>
      </c>
      <c r="D21" s="13" t="str">
        <f>IF(C21="","",INT_ACC!$D$3)</f>
        <v/>
      </c>
      <c r="E21" s="25" t="str">
        <f>IF(D21="","",H21)</f>
        <v/>
      </c>
      <c r="F21" s="13" t="str">
        <f>IF(E21="","",INT_ACC!E3)</f>
        <v/>
      </c>
      <c r="H21" s="16" t="s">
        <v>35</v>
      </c>
    </row>
    <row r="22" spans="1:8" x14ac:dyDescent="0.25">
      <c r="A22" s="2" t="str">
        <f t="shared" si="3"/>
        <v/>
      </c>
      <c r="B22" s="2" t="str">
        <f t="shared" si="2"/>
        <v/>
      </c>
      <c r="C22" s="13" t="str">
        <f>IF(B22="","",INT_ACC!$C$3)</f>
        <v/>
      </c>
      <c r="D22" s="13" t="str">
        <f>IF(C22="","",INT_ACC!$D$3)</f>
        <v/>
      </c>
      <c r="E22" s="25" t="str">
        <f>IF(D22="","",H22)</f>
        <v/>
      </c>
      <c r="F22" s="13" t="str">
        <f>IF(E22="","",INT_ACC!F3)</f>
        <v/>
      </c>
      <c r="H22" s="16" t="s">
        <v>36</v>
      </c>
    </row>
    <row r="23" spans="1:8" x14ac:dyDescent="0.25">
      <c r="A23" s="2" t="str">
        <f t="shared" si="3"/>
        <v/>
      </c>
      <c r="B23" s="2" t="str">
        <f t="shared" si="2"/>
        <v/>
      </c>
      <c r="C23" s="13" t="str">
        <f>IF(B23="","",INT_ACC!$C$3)</f>
        <v/>
      </c>
      <c r="D23" s="13" t="str">
        <f>IF(C23="","",INT_ACC!$D$3)</f>
        <v/>
      </c>
      <c r="E23" s="25" t="str">
        <f>IF(D23="","",H23)</f>
        <v/>
      </c>
      <c r="F23" s="13" t="str">
        <f>IF(E23="","",INT_ACC!G3)</f>
        <v/>
      </c>
      <c r="H23" s="16" t="s">
        <v>37</v>
      </c>
    </row>
    <row r="24" spans="1:8" x14ac:dyDescent="0.25">
      <c r="A24" s="2" t="str">
        <f t="shared" si="3"/>
        <v/>
      </c>
      <c r="B24" s="2" t="str">
        <f t="shared" si="2"/>
        <v/>
      </c>
      <c r="C24" s="13" t="str">
        <f>IF(B24="","",INT_ACC!$C$3)</f>
        <v/>
      </c>
      <c r="D24" s="13" t="str">
        <f>IF(C24="","",INT_ACC!$D$3)</f>
        <v/>
      </c>
      <c r="E24" s="25" t="str">
        <f>IF(D24="","",H24)</f>
        <v/>
      </c>
      <c r="F24" s="13" t="str">
        <f>IF(E24="","",INT_ACC!H3)</f>
        <v/>
      </c>
      <c r="H24" s="16" t="s">
        <v>38</v>
      </c>
    </row>
    <row r="25" spans="1:8" ht="15.75" thickBot="1" x14ac:dyDescent="0.3"/>
    <row r="26" spans="1:8" ht="15.75" thickBot="1" x14ac:dyDescent="0.3">
      <c r="A26" s="18" t="s">
        <v>42</v>
      </c>
      <c r="B26" s="19"/>
      <c r="C26" s="19"/>
      <c r="D26" s="19"/>
      <c r="E26" s="19"/>
      <c r="F26" s="19"/>
      <c r="G26" s="20"/>
    </row>
    <row r="27" spans="1:8" ht="15.75" thickBot="1" x14ac:dyDescent="0.3">
      <c r="A27" s="21" t="s">
        <v>27</v>
      </c>
      <c r="B27" s="22"/>
      <c r="C27" s="22"/>
      <c r="D27" s="22"/>
      <c r="E27" s="22"/>
      <c r="F27" s="23"/>
    </row>
    <row r="28" spans="1:8" x14ac:dyDescent="0.25">
      <c r="A28" s="10" t="s">
        <v>1</v>
      </c>
      <c r="B28" s="10" t="s">
        <v>2</v>
      </c>
      <c r="C28" s="10" t="s">
        <v>3</v>
      </c>
      <c r="D28" s="10" t="s">
        <v>4</v>
      </c>
      <c r="E28" s="10" t="s">
        <v>11</v>
      </c>
      <c r="F28" s="10" t="s">
        <v>0</v>
      </c>
      <c r="H28" s="24" t="s">
        <v>32</v>
      </c>
    </row>
    <row r="29" spans="1:8" x14ac:dyDescent="0.25">
      <c r="A29" s="2" t="str">
        <f>IF(PMT!A2="","",PMT!A2)</f>
        <v/>
      </c>
      <c r="B29" s="2" t="str">
        <f>IF(A29="","",A29)</f>
        <v/>
      </c>
      <c r="C29" s="13" t="str">
        <f>IF(B17="","",PMT!$C$2)</f>
        <v/>
      </c>
      <c r="D29" s="13" t="str">
        <f>IF(C29="","",PMT!D4)</f>
        <v/>
      </c>
      <c r="E29" s="25" t="str">
        <f t="shared" ref="E29:E36" si="4">IF(D29="","",H29)</f>
        <v/>
      </c>
      <c r="F29" s="13" t="str">
        <f>IF(E29="","",PMT!E4)</f>
        <v/>
      </c>
      <c r="H29" s="16" t="s">
        <v>43</v>
      </c>
    </row>
    <row r="30" spans="1:8" x14ac:dyDescent="0.25">
      <c r="A30" s="2" t="str">
        <f>IF(A29="","",A29)</f>
        <v/>
      </c>
      <c r="B30" s="2" t="str">
        <f t="shared" ref="B30:B36" si="5">IF(A30="","",A30)</f>
        <v/>
      </c>
      <c r="C30" s="13" t="str">
        <f>IF(B18="","",PMT!$C$2)</f>
        <v/>
      </c>
      <c r="D30" s="13" t="str">
        <f>IF(C30="","",PMT!D8)</f>
        <v/>
      </c>
      <c r="E30" s="25" t="str">
        <f t="shared" si="4"/>
        <v/>
      </c>
      <c r="F30" s="13" t="str">
        <f>IF(E30="","",PMT!E8)</f>
        <v/>
      </c>
      <c r="H30" s="16" t="s">
        <v>43</v>
      </c>
    </row>
    <row r="31" spans="1:8" x14ac:dyDescent="0.25">
      <c r="A31" s="2" t="str">
        <f t="shared" ref="A31:A36" si="6">IF(A30="","",A30)</f>
        <v/>
      </c>
      <c r="B31" s="2" t="str">
        <f t="shared" si="5"/>
        <v/>
      </c>
      <c r="C31" s="13" t="str">
        <f>IF(B19="","",PMT!$C$2)</f>
        <v/>
      </c>
      <c r="D31" s="13" t="str">
        <f>IF(C31="","",PMT!D3)</f>
        <v/>
      </c>
      <c r="E31" s="25" t="str">
        <f t="shared" si="4"/>
        <v/>
      </c>
      <c r="F31" s="13" t="str">
        <f>IF(E31="","",PMT!F3)</f>
        <v/>
      </c>
      <c r="H31" s="16" t="s">
        <v>44</v>
      </c>
    </row>
    <row r="32" spans="1:8" x14ac:dyDescent="0.25">
      <c r="A32" s="2" t="str">
        <f t="shared" si="6"/>
        <v/>
      </c>
      <c r="B32" s="2" t="str">
        <f t="shared" si="5"/>
        <v/>
      </c>
      <c r="C32" s="13" t="str">
        <f>IF(B20="","",PMT!$C$2)</f>
        <v/>
      </c>
      <c r="D32" s="13" t="str">
        <f>IF(C32="","",PMT!D7)</f>
        <v/>
      </c>
      <c r="E32" s="25" t="str">
        <f t="shared" si="4"/>
        <v/>
      </c>
      <c r="F32" s="13" t="str">
        <f>IF(E32="","",PMT!F7)</f>
        <v/>
      </c>
      <c r="H32" s="16" t="s">
        <v>44</v>
      </c>
    </row>
    <row r="33" spans="1:8" x14ac:dyDescent="0.25">
      <c r="A33" s="2" t="str">
        <f t="shared" si="6"/>
        <v/>
      </c>
      <c r="B33" s="2" t="str">
        <f t="shared" si="5"/>
        <v/>
      </c>
      <c r="C33" s="13" t="str">
        <f>IF(B21="","",PMT!$C$2)</f>
        <v/>
      </c>
      <c r="D33" s="13" t="str">
        <f>IF(C33="","",PMT!D2)</f>
        <v/>
      </c>
      <c r="E33" s="25" t="str">
        <f t="shared" si="4"/>
        <v/>
      </c>
      <c r="F33" s="13" t="str">
        <f>IF(E33="","",PMT!G2)</f>
        <v/>
      </c>
      <c r="H33" s="16" t="s">
        <v>45</v>
      </c>
    </row>
    <row r="34" spans="1:8" x14ac:dyDescent="0.25">
      <c r="A34" s="2" t="str">
        <f t="shared" si="6"/>
        <v/>
      </c>
      <c r="B34" s="2" t="str">
        <f t="shared" si="5"/>
        <v/>
      </c>
      <c r="C34" s="13" t="str">
        <f>IF(B22="","",PMT!$C$2)</f>
        <v/>
      </c>
      <c r="D34" s="13" t="str">
        <f>IF(C34="","",PMT!D3)</f>
        <v/>
      </c>
      <c r="E34" s="25" t="str">
        <f t="shared" si="4"/>
        <v/>
      </c>
      <c r="F34" s="13" t="str">
        <f>IF(E34="","",PMT!G3)</f>
        <v/>
      </c>
      <c r="H34" s="16" t="s">
        <v>45</v>
      </c>
    </row>
    <row r="35" spans="1:8" x14ac:dyDescent="0.25">
      <c r="A35" s="2" t="str">
        <f t="shared" si="6"/>
        <v/>
      </c>
      <c r="B35" s="2" t="str">
        <f t="shared" si="5"/>
        <v/>
      </c>
      <c r="C35" s="13" t="str">
        <f>IF(B23="","",PMT!$C$2)</f>
        <v/>
      </c>
      <c r="D35" s="13" t="str">
        <f>IF(C35="","",PMT!D5)</f>
        <v/>
      </c>
      <c r="E35" s="25" t="str">
        <f t="shared" si="4"/>
        <v/>
      </c>
      <c r="F35" s="13" t="str">
        <f>IF(E35="","",PMT!G5)</f>
        <v/>
      </c>
      <c r="H35" s="16" t="s">
        <v>45</v>
      </c>
    </row>
    <row r="36" spans="1:8" x14ac:dyDescent="0.25">
      <c r="A36" s="2" t="str">
        <f t="shared" si="6"/>
        <v/>
      </c>
      <c r="B36" s="2" t="str">
        <f t="shared" si="5"/>
        <v/>
      </c>
      <c r="C36" s="13" t="str">
        <f>IF(B24="","",PMT!$C$2)</f>
        <v/>
      </c>
      <c r="D36" s="13" t="str">
        <f>IF(C36="","",PMT!D6)</f>
        <v/>
      </c>
      <c r="E36" s="25" t="str">
        <f t="shared" si="4"/>
        <v/>
      </c>
      <c r="F36" s="13" t="str">
        <f>IF(E36="","",PMT!G6)</f>
        <v/>
      </c>
      <c r="H36" s="16" t="s">
        <v>45</v>
      </c>
    </row>
    <row r="37" spans="1:8" ht="15.75" thickBot="1" x14ac:dyDescent="0.3"/>
    <row r="38" spans="1:8" ht="15.75" thickBot="1" x14ac:dyDescent="0.3">
      <c r="A38" s="18" t="s">
        <v>46</v>
      </c>
      <c r="B38" s="19"/>
      <c r="C38" s="19"/>
      <c r="D38" s="19"/>
      <c r="E38" s="19"/>
      <c r="F38" s="19"/>
      <c r="G38" s="20"/>
    </row>
    <row r="39" spans="1:8" ht="15.75" thickBot="1" x14ac:dyDescent="0.3">
      <c r="A39" s="21" t="s">
        <v>27</v>
      </c>
      <c r="B39" s="22"/>
      <c r="C39" s="22"/>
      <c r="D39" s="22"/>
      <c r="E39" s="22"/>
      <c r="F39" s="23"/>
    </row>
    <row r="40" spans="1:8" x14ac:dyDescent="0.25">
      <c r="A40" s="10" t="s">
        <v>1</v>
      </c>
      <c r="B40" s="10" t="s">
        <v>2</v>
      </c>
      <c r="C40" s="10" t="s">
        <v>3</v>
      </c>
      <c r="D40" s="10" t="s">
        <v>4</v>
      </c>
      <c r="E40" s="10" t="s">
        <v>11</v>
      </c>
      <c r="F40" s="10" t="s">
        <v>0</v>
      </c>
      <c r="H40" s="24" t="s">
        <v>32</v>
      </c>
    </row>
    <row r="41" spans="1:8" x14ac:dyDescent="0.25">
      <c r="A41" s="2" t="str">
        <f>IF('RC'!A2="","",'RC'!A2)</f>
        <v/>
      </c>
      <c r="B41" s="2" t="str">
        <f t="shared" ref="B41:B54" si="7">IF(A41="","",A41)</f>
        <v/>
      </c>
      <c r="C41" s="13" t="str">
        <f>IF(B41="","",'RC'!$C$2)</f>
        <v/>
      </c>
      <c r="D41" s="13" t="str">
        <f>IF(C41="","",'RC'!$D$2)</f>
        <v/>
      </c>
      <c r="E41" s="25" t="str">
        <f t="shared" ref="E41:E54" si="8">IF(D41="","",H41)</f>
        <v/>
      </c>
      <c r="F41" s="13" t="str">
        <f>IF(E41="","",'RC'!E2)</f>
        <v/>
      </c>
      <c r="H41" s="16" t="s">
        <v>35</v>
      </c>
    </row>
    <row r="42" spans="1:8" x14ac:dyDescent="0.25">
      <c r="A42" s="2" t="str">
        <f t="shared" ref="A42:A54" si="9">IF(A41="","",A41)</f>
        <v/>
      </c>
      <c r="B42" s="2" t="str">
        <f t="shared" si="7"/>
        <v/>
      </c>
      <c r="C42" s="13" t="str">
        <f>IF(B42="","",'RC'!$C$2)</f>
        <v/>
      </c>
      <c r="D42" s="13" t="str">
        <f>IF(C42="","",'RC'!$D$2)</f>
        <v/>
      </c>
      <c r="E42" s="25" t="str">
        <f t="shared" si="8"/>
        <v/>
      </c>
      <c r="F42" s="13" t="str">
        <f>IF(E41="","",'RC'!F2)</f>
        <v/>
      </c>
      <c r="H42" s="16" t="s">
        <v>47</v>
      </c>
    </row>
    <row r="43" spans="1:8" x14ac:dyDescent="0.25">
      <c r="A43" s="2" t="str">
        <f t="shared" si="9"/>
        <v/>
      </c>
      <c r="B43" s="2" t="str">
        <f t="shared" si="7"/>
        <v/>
      </c>
      <c r="C43" s="13" t="str">
        <f>IF(B43="","",'RC'!$C$2)</f>
        <v/>
      </c>
      <c r="D43" s="13" t="str">
        <f>IF(C43="","",'RC'!$D$2)</f>
        <v/>
      </c>
      <c r="E43" s="25" t="str">
        <f t="shared" si="8"/>
        <v/>
      </c>
      <c r="F43" s="13" t="str">
        <f>IF(E41="","",'RC'!G2)</f>
        <v/>
      </c>
      <c r="H43" s="16" t="s">
        <v>48</v>
      </c>
    </row>
    <row r="44" spans="1:8" x14ac:dyDescent="0.25">
      <c r="A44" s="2" t="str">
        <f t="shared" si="9"/>
        <v/>
      </c>
      <c r="B44" s="2" t="str">
        <f t="shared" si="7"/>
        <v/>
      </c>
      <c r="C44" s="13" t="str">
        <f>IF(B44="","",'RC'!$C$2)</f>
        <v/>
      </c>
      <c r="D44" s="13" t="str">
        <f>IF(C44="","",'RC'!$D$2)</f>
        <v/>
      </c>
      <c r="E44" s="25" t="str">
        <f t="shared" si="8"/>
        <v/>
      </c>
      <c r="F44" s="13" t="str">
        <f>IF(E41="","",'RC'!H2)</f>
        <v/>
      </c>
      <c r="H44" s="16" t="s">
        <v>49</v>
      </c>
    </row>
    <row r="45" spans="1:8" x14ac:dyDescent="0.25">
      <c r="A45" s="2" t="str">
        <f t="shared" si="9"/>
        <v/>
      </c>
      <c r="B45" s="2" t="str">
        <f t="shared" si="7"/>
        <v/>
      </c>
      <c r="C45" s="13" t="str">
        <f>IF(B45="","",'RC'!$C$2)</f>
        <v/>
      </c>
      <c r="D45" s="13" t="str">
        <f>IF(C45="","",'RC'!$D$2)</f>
        <v/>
      </c>
      <c r="E45" s="25" t="str">
        <f t="shared" si="8"/>
        <v/>
      </c>
      <c r="F45" s="13" t="str">
        <f>IF(E41="","",'RC'!I2)</f>
        <v/>
      </c>
      <c r="H45" s="16" t="s">
        <v>50</v>
      </c>
    </row>
    <row r="46" spans="1:8" x14ac:dyDescent="0.25">
      <c r="A46" s="2" t="str">
        <f t="shared" si="9"/>
        <v/>
      </c>
      <c r="B46" s="2" t="str">
        <f t="shared" si="7"/>
        <v/>
      </c>
      <c r="C46" s="13" t="str">
        <f>IF(B46="","",'RC'!$C$2)</f>
        <v/>
      </c>
      <c r="D46" s="13" t="str">
        <f>IF(C46="","",'RC'!$D$2)</f>
        <v/>
      </c>
      <c r="E46" s="25" t="str">
        <f t="shared" si="8"/>
        <v/>
      </c>
      <c r="F46" s="13" t="str">
        <f>IF(E41="","",'RC'!J2)</f>
        <v/>
      </c>
      <c r="H46" s="16" t="s">
        <v>51</v>
      </c>
    </row>
    <row r="47" spans="1:8" x14ac:dyDescent="0.25">
      <c r="A47" s="2" t="str">
        <f t="shared" si="9"/>
        <v/>
      </c>
      <c r="B47" s="2" t="str">
        <f t="shared" si="7"/>
        <v/>
      </c>
      <c r="C47" s="13" t="str">
        <f>IF(B47="","",'RC'!$C$2)</f>
        <v/>
      </c>
      <c r="D47" s="13" t="str">
        <f>IF(C47="","",'RC'!$D$2)</f>
        <v/>
      </c>
      <c r="E47" s="25" t="str">
        <f t="shared" si="8"/>
        <v/>
      </c>
      <c r="F47" s="13" t="str">
        <f>IF(E41="","",'RC'!K2)</f>
        <v/>
      </c>
      <c r="H47" s="16" t="s">
        <v>52</v>
      </c>
    </row>
    <row r="48" spans="1:8" x14ac:dyDescent="0.25">
      <c r="A48" s="2" t="str">
        <f t="shared" si="9"/>
        <v/>
      </c>
      <c r="B48" s="2" t="str">
        <f t="shared" si="7"/>
        <v/>
      </c>
      <c r="C48" s="13" t="str">
        <f>IF(B48="","",'RC'!$C$3)</f>
        <v/>
      </c>
      <c r="D48" s="13" t="str">
        <f>IF(C48="","",'RC'!$D$3)</f>
        <v/>
      </c>
      <c r="E48" s="25" t="str">
        <f t="shared" si="8"/>
        <v/>
      </c>
      <c r="F48" s="13" t="str">
        <f>IF(E48="","",'RC'!E3)</f>
        <v/>
      </c>
      <c r="H48" s="16" t="s">
        <v>35</v>
      </c>
    </row>
    <row r="49" spans="1:8" x14ac:dyDescent="0.25">
      <c r="A49" s="2" t="str">
        <f t="shared" si="9"/>
        <v/>
      </c>
      <c r="B49" s="2" t="str">
        <f t="shared" si="7"/>
        <v/>
      </c>
      <c r="C49" s="13" t="str">
        <f>IF(B49="","",'RC'!$C$3)</f>
        <v/>
      </c>
      <c r="D49" s="13" t="str">
        <f>IF(C49="","",'RC'!$D$3)</f>
        <v/>
      </c>
      <c r="E49" s="25" t="str">
        <f t="shared" si="8"/>
        <v/>
      </c>
      <c r="F49" s="13" t="str">
        <f>IF(E48="","",'RC'!F3)</f>
        <v/>
      </c>
      <c r="H49" s="16" t="s">
        <v>47</v>
      </c>
    </row>
    <row r="50" spans="1:8" x14ac:dyDescent="0.25">
      <c r="A50" s="2" t="str">
        <f t="shared" si="9"/>
        <v/>
      </c>
      <c r="B50" s="2" t="str">
        <f t="shared" si="7"/>
        <v/>
      </c>
      <c r="C50" s="13" t="str">
        <f>IF(B50="","",'RC'!$C$3)</f>
        <v/>
      </c>
      <c r="D50" s="13" t="str">
        <f>IF(C50="","",'RC'!$D$3)</f>
        <v/>
      </c>
      <c r="E50" s="25" t="str">
        <f t="shared" si="8"/>
        <v/>
      </c>
      <c r="F50" s="13" t="str">
        <f>IF(E48="","",'RC'!G3)</f>
        <v/>
      </c>
      <c r="H50" s="16" t="s">
        <v>48</v>
      </c>
    </row>
    <row r="51" spans="1:8" x14ac:dyDescent="0.25">
      <c r="A51" s="2" t="str">
        <f t="shared" si="9"/>
        <v/>
      </c>
      <c r="B51" s="2" t="str">
        <f t="shared" si="7"/>
        <v/>
      </c>
      <c r="C51" s="13" t="str">
        <f>IF(B51="","",'RC'!$C$3)</f>
        <v/>
      </c>
      <c r="D51" s="13" t="str">
        <f>IF(C51="","",'RC'!$D$3)</f>
        <v/>
      </c>
      <c r="E51" s="25" t="str">
        <f t="shared" si="8"/>
        <v/>
      </c>
      <c r="F51" s="13" t="str">
        <f>IF(E48="","",'RC'!H3)</f>
        <v/>
      </c>
      <c r="H51" s="16" t="s">
        <v>49</v>
      </c>
    </row>
    <row r="52" spans="1:8" x14ac:dyDescent="0.25">
      <c r="A52" s="2" t="str">
        <f t="shared" si="9"/>
        <v/>
      </c>
      <c r="B52" s="2" t="str">
        <f t="shared" si="7"/>
        <v/>
      </c>
      <c r="C52" s="13" t="str">
        <f>IF(B52="","",'RC'!$C$3)</f>
        <v/>
      </c>
      <c r="D52" s="13" t="str">
        <f>IF(C52="","",'RC'!$D$3)</f>
        <v/>
      </c>
      <c r="E52" s="25" t="str">
        <f t="shared" si="8"/>
        <v/>
      </c>
      <c r="F52" s="13" t="str">
        <f>IF(E48="","",'RC'!I3)</f>
        <v/>
      </c>
      <c r="H52" s="16" t="s">
        <v>50</v>
      </c>
    </row>
    <row r="53" spans="1:8" x14ac:dyDescent="0.25">
      <c r="A53" s="2" t="str">
        <f t="shared" si="9"/>
        <v/>
      </c>
      <c r="B53" s="2" t="str">
        <f t="shared" si="7"/>
        <v/>
      </c>
      <c r="C53" s="13" t="str">
        <f>IF(B53="","",'RC'!$C$3)</f>
        <v/>
      </c>
      <c r="D53" s="13" t="str">
        <f>IF(C53="","",'RC'!$D$3)</f>
        <v/>
      </c>
      <c r="E53" s="25" t="str">
        <f t="shared" si="8"/>
        <v/>
      </c>
      <c r="F53" s="13" t="str">
        <f>IF(E48="","",'RC'!J3)</f>
        <v/>
      </c>
      <c r="H53" s="16" t="s">
        <v>51</v>
      </c>
    </row>
    <row r="54" spans="1:8" x14ac:dyDescent="0.25">
      <c r="A54" s="2" t="str">
        <f t="shared" si="9"/>
        <v/>
      </c>
      <c r="B54" s="2" t="str">
        <f t="shared" si="7"/>
        <v/>
      </c>
      <c r="C54" s="13" t="str">
        <f>IF(B54="","",'RC'!$C$3)</f>
        <v/>
      </c>
      <c r="D54" s="13" t="str">
        <f>IF(C54="","",'RC'!$D$3)</f>
        <v/>
      </c>
      <c r="E54" s="25" t="str">
        <f t="shared" si="8"/>
        <v/>
      </c>
      <c r="F54" s="13" t="str">
        <f>IF(E48="","",'RC'!K3)</f>
        <v/>
      </c>
      <c r="H54" s="16" t="s">
        <v>52</v>
      </c>
    </row>
  </sheetData>
  <mergeCells count="8">
    <mergeCell ref="A26:G26"/>
    <mergeCell ref="A27:F27"/>
    <mergeCell ref="A38:G38"/>
    <mergeCell ref="A39:F39"/>
    <mergeCell ref="A1:G1"/>
    <mergeCell ref="A3:F3"/>
    <mergeCell ref="A14:G14"/>
    <mergeCell ref="A15:F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39"/>
  <sheetViews>
    <sheetView zoomScaleNormal="100" workbookViewId="0">
      <selection activeCell="D16" sqref="D16"/>
    </sheetView>
  </sheetViews>
  <sheetFormatPr defaultColWidth="8.7109375" defaultRowHeight="15" customHeight="1" x14ac:dyDescent="0.25"/>
  <cols>
    <col min="1" max="1" width="33" style="8" customWidth="1"/>
    <col min="2" max="2" width="15.42578125" style="8" customWidth="1"/>
    <col min="3" max="3" width="12.5703125" style="8" customWidth="1"/>
    <col min="4" max="4" width="32.7109375" style="8" customWidth="1"/>
    <col min="5" max="5" width="22" style="8" customWidth="1"/>
    <col min="6" max="6" width="10.85546875" style="8" customWidth="1"/>
    <col min="7" max="16384" width="8.7109375" style="8"/>
  </cols>
  <sheetData>
    <row r="1" spans="1:6" x14ac:dyDescent="0.25">
      <c r="A1" s="10" t="s">
        <v>1</v>
      </c>
      <c r="B1" s="10" t="s">
        <v>10</v>
      </c>
      <c r="C1" s="10" t="s">
        <v>3</v>
      </c>
      <c r="D1" s="10" t="s">
        <v>11</v>
      </c>
      <c r="E1" s="10" t="s">
        <v>0</v>
      </c>
      <c r="F1" s="10" t="s">
        <v>4</v>
      </c>
    </row>
    <row r="2" spans="1:6" x14ac:dyDescent="0.25">
      <c r="A2" s="15" t="str">
        <f>CALC!A5</f>
        <v/>
      </c>
      <c r="B2" s="15" t="str">
        <f>CALC!B5</f>
        <v/>
      </c>
      <c r="C2" s="30" t="str">
        <f>CALC!C5</f>
        <v/>
      </c>
      <c r="D2" s="30" t="str">
        <f>CALC!E5</f>
        <v/>
      </c>
      <c r="E2" s="31" t="str">
        <f>CALC!F5</f>
        <v/>
      </c>
      <c r="F2" s="32" t="str">
        <f>CALC!D5</f>
        <v/>
      </c>
    </row>
    <row r="3" spans="1:6" x14ac:dyDescent="0.25">
      <c r="A3" s="15" t="str">
        <f>CALC!A6</f>
        <v/>
      </c>
      <c r="B3" s="15" t="str">
        <f>CALC!B6</f>
        <v/>
      </c>
      <c r="C3" s="30" t="str">
        <f>CALC!C6</f>
        <v/>
      </c>
      <c r="D3" s="30" t="str">
        <f>CALC!E6</f>
        <v/>
      </c>
      <c r="E3" s="31" t="str">
        <f>CALC!F6</f>
        <v/>
      </c>
      <c r="F3" s="32" t="str">
        <f>CALC!D6</f>
        <v/>
      </c>
    </row>
    <row r="4" spans="1:6" x14ac:dyDescent="0.25">
      <c r="A4" s="15" t="str">
        <f>CALC!A7</f>
        <v/>
      </c>
      <c r="B4" s="15" t="str">
        <f>CALC!B7</f>
        <v/>
      </c>
      <c r="C4" s="30" t="str">
        <f>CALC!C7</f>
        <v/>
      </c>
      <c r="D4" s="30" t="str">
        <f>CALC!E7</f>
        <v/>
      </c>
      <c r="E4" s="31" t="str">
        <f>CALC!F7</f>
        <v/>
      </c>
      <c r="F4" s="32" t="str">
        <f>CALC!D7</f>
        <v/>
      </c>
    </row>
    <row r="5" spans="1:6" x14ac:dyDescent="0.25">
      <c r="A5" s="15" t="str">
        <f>CALC!A8</f>
        <v/>
      </c>
      <c r="B5" s="15" t="str">
        <f>CALC!B8</f>
        <v/>
      </c>
      <c r="C5" s="30" t="str">
        <f>CALC!C8</f>
        <v/>
      </c>
      <c r="D5" s="30" t="str">
        <f>CALC!E8</f>
        <v/>
      </c>
      <c r="E5" s="31" t="str">
        <f>CALC!F8</f>
        <v/>
      </c>
      <c r="F5" s="32" t="str">
        <f>CALC!D8</f>
        <v/>
      </c>
    </row>
    <row r="6" spans="1:6" ht="15" customHeight="1" x14ac:dyDescent="0.25">
      <c r="A6" s="15" t="str">
        <f>CALC!A9</f>
        <v/>
      </c>
      <c r="B6" s="15" t="str">
        <f>CALC!B9</f>
        <v/>
      </c>
      <c r="C6" s="30" t="str">
        <f>CALC!C9</f>
        <v/>
      </c>
      <c r="D6" s="30" t="str">
        <f>CALC!E9</f>
        <v/>
      </c>
      <c r="E6" s="31" t="str">
        <f>CALC!F9</f>
        <v/>
      </c>
      <c r="F6" s="32" t="str">
        <f>CALC!D9</f>
        <v/>
      </c>
    </row>
    <row r="7" spans="1:6" ht="15" customHeight="1" x14ac:dyDescent="0.25">
      <c r="A7" s="15" t="str">
        <f>CALC!A10</f>
        <v/>
      </c>
      <c r="B7" s="15" t="str">
        <f>CALC!B10</f>
        <v/>
      </c>
      <c r="C7" s="30" t="str">
        <f>CALC!C10</f>
        <v/>
      </c>
      <c r="D7" s="30" t="str">
        <f>CALC!E10</f>
        <v/>
      </c>
      <c r="E7" s="31" t="str">
        <f>CALC!F10</f>
        <v/>
      </c>
      <c r="F7" s="32" t="str">
        <f>CALC!D10</f>
        <v/>
      </c>
    </row>
    <row r="8" spans="1:6" ht="15" customHeight="1" x14ac:dyDescent="0.25">
      <c r="A8" s="15" t="str">
        <f>CALC!A11</f>
        <v/>
      </c>
      <c r="B8" s="15" t="str">
        <f>CALC!B11</f>
        <v/>
      </c>
      <c r="C8" s="30" t="str">
        <f>CALC!C11</f>
        <v/>
      </c>
      <c r="D8" s="30" t="str">
        <f>CALC!E11</f>
        <v/>
      </c>
      <c r="E8" s="31" t="str">
        <f>CALC!F11</f>
        <v/>
      </c>
      <c r="F8" s="32" t="str">
        <f>CALC!D11</f>
        <v/>
      </c>
    </row>
    <row r="9" spans="1:6" ht="15" customHeight="1" x14ac:dyDescent="0.25">
      <c r="A9" s="15" t="str">
        <f>CALC!A12</f>
        <v/>
      </c>
      <c r="B9" s="15" t="str">
        <f>CALC!B12</f>
        <v/>
      </c>
      <c r="C9" s="30" t="str">
        <f>CALC!C12</f>
        <v/>
      </c>
      <c r="D9" s="30" t="str">
        <f>CALC!E12</f>
        <v/>
      </c>
      <c r="E9" s="31" t="str">
        <f>CALC!F12</f>
        <v/>
      </c>
      <c r="F9" s="32" t="str">
        <f>CALC!D12</f>
        <v/>
      </c>
    </row>
    <row r="10" spans="1:6" ht="15" customHeight="1" x14ac:dyDescent="0.25">
      <c r="A10" s="15" t="str">
        <f>CALC!A17</f>
        <v/>
      </c>
      <c r="B10" s="15" t="str">
        <f>CALC!B17</f>
        <v/>
      </c>
      <c r="C10" s="30" t="str">
        <f>CALC!C17</f>
        <v/>
      </c>
      <c r="D10" s="30" t="str">
        <f>CALC!E17</f>
        <v/>
      </c>
      <c r="E10" s="31" t="str">
        <f>CALC!F17</f>
        <v/>
      </c>
      <c r="F10" s="32" t="str">
        <f>CALC!D17</f>
        <v/>
      </c>
    </row>
    <row r="11" spans="1:6" ht="15" customHeight="1" x14ac:dyDescent="0.25">
      <c r="A11" s="15" t="str">
        <f>CALC!A18</f>
        <v/>
      </c>
      <c r="B11" s="15" t="str">
        <f>CALC!B18</f>
        <v/>
      </c>
      <c r="C11" s="30" t="str">
        <f>CALC!C18</f>
        <v/>
      </c>
      <c r="D11" s="30" t="str">
        <f>CALC!E18</f>
        <v/>
      </c>
      <c r="E11" s="31" t="str">
        <f>CALC!F18</f>
        <v/>
      </c>
      <c r="F11" s="32" t="str">
        <f>CALC!D18</f>
        <v/>
      </c>
    </row>
    <row r="12" spans="1:6" ht="15" customHeight="1" x14ac:dyDescent="0.25">
      <c r="A12" s="15" t="str">
        <f>CALC!A19</f>
        <v/>
      </c>
      <c r="B12" s="15" t="str">
        <f>CALC!B19</f>
        <v/>
      </c>
      <c r="C12" s="30" t="str">
        <f>CALC!C19</f>
        <v/>
      </c>
      <c r="D12" s="30" t="str">
        <f>CALC!E19</f>
        <v/>
      </c>
      <c r="E12" s="31" t="str">
        <f>CALC!F19</f>
        <v/>
      </c>
      <c r="F12" s="32" t="str">
        <f>CALC!D19</f>
        <v/>
      </c>
    </row>
    <row r="13" spans="1:6" ht="15" customHeight="1" x14ac:dyDescent="0.25">
      <c r="A13" s="15" t="str">
        <f>CALC!A20</f>
        <v/>
      </c>
      <c r="B13" s="15" t="str">
        <f>CALC!B20</f>
        <v/>
      </c>
      <c r="C13" s="30" t="str">
        <f>CALC!C20</f>
        <v/>
      </c>
      <c r="D13" s="30" t="str">
        <f>CALC!E20</f>
        <v/>
      </c>
      <c r="E13" s="31" t="str">
        <f>CALC!F20</f>
        <v/>
      </c>
      <c r="F13" s="32" t="str">
        <f>CALC!D20</f>
        <v/>
      </c>
    </row>
    <row r="14" spans="1:6" ht="15" customHeight="1" x14ac:dyDescent="0.25">
      <c r="A14" s="15" t="str">
        <f>CALC!A21</f>
        <v/>
      </c>
      <c r="B14" s="15" t="str">
        <f>CALC!B21</f>
        <v/>
      </c>
      <c r="C14" s="30" t="str">
        <f>CALC!C21</f>
        <v/>
      </c>
      <c r="D14" s="30" t="str">
        <f>CALC!E21</f>
        <v/>
      </c>
      <c r="E14" s="31" t="str">
        <f>CALC!F21</f>
        <v/>
      </c>
      <c r="F14" s="32" t="str">
        <f>CALC!D21</f>
        <v/>
      </c>
    </row>
    <row r="15" spans="1:6" ht="15" customHeight="1" x14ac:dyDescent="0.25">
      <c r="A15" s="15" t="str">
        <f>CALC!A22</f>
        <v/>
      </c>
      <c r="B15" s="15" t="str">
        <f>CALC!B22</f>
        <v/>
      </c>
      <c r="C15" s="30" t="str">
        <f>CALC!C22</f>
        <v/>
      </c>
      <c r="D15" s="30" t="str">
        <f>CALC!E22</f>
        <v/>
      </c>
      <c r="E15" s="31" t="str">
        <f>CALC!F22</f>
        <v/>
      </c>
      <c r="F15" s="32" t="str">
        <f>CALC!D22</f>
        <v/>
      </c>
    </row>
    <row r="16" spans="1:6" ht="15" customHeight="1" x14ac:dyDescent="0.25">
      <c r="A16" s="15" t="str">
        <f>CALC!A23</f>
        <v/>
      </c>
      <c r="B16" s="15" t="str">
        <f>CALC!B23</f>
        <v/>
      </c>
      <c r="C16" s="30" t="str">
        <f>CALC!C23</f>
        <v/>
      </c>
      <c r="D16" s="30" t="str">
        <f>CALC!E23</f>
        <v/>
      </c>
      <c r="E16" s="31" t="str">
        <f>CALC!F23</f>
        <v/>
      </c>
      <c r="F16" s="32" t="str">
        <f>CALC!D23</f>
        <v/>
      </c>
    </row>
    <row r="17" spans="1:6" ht="15" customHeight="1" x14ac:dyDescent="0.25">
      <c r="A17" s="15" t="str">
        <f>CALC!A24</f>
        <v/>
      </c>
      <c r="B17" s="15" t="str">
        <f>CALC!B24</f>
        <v/>
      </c>
      <c r="C17" s="30" t="str">
        <f>CALC!C24</f>
        <v/>
      </c>
      <c r="D17" s="30" t="str">
        <f>CALC!E24</f>
        <v/>
      </c>
      <c r="E17" s="31" t="str">
        <f>CALC!F24</f>
        <v/>
      </c>
      <c r="F17" s="32" t="str">
        <f>CALC!D24</f>
        <v/>
      </c>
    </row>
    <row r="18" spans="1:6" ht="15" customHeight="1" x14ac:dyDescent="0.25">
      <c r="A18" s="15" t="str">
        <f>CALC!A29</f>
        <v/>
      </c>
      <c r="B18" s="15" t="str">
        <f>CALC!B29</f>
        <v/>
      </c>
      <c r="C18" s="16" t="str">
        <f>CALC!C29</f>
        <v/>
      </c>
      <c r="D18" s="16" t="str">
        <f>CALC!E29</f>
        <v/>
      </c>
      <c r="E18" s="31" t="str">
        <f>CALC!F29</f>
        <v/>
      </c>
      <c r="F18" s="16" t="str">
        <f>CALC!D29</f>
        <v/>
      </c>
    </row>
    <row r="19" spans="1:6" ht="15" customHeight="1" x14ac:dyDescent="0.25">
      <c r="A19" s="15" t="str">
        <f>CALC!A30</f>
        <v/>
      </c>
      <c r="B19" s="15" t="str">
        <f>CALC!B30</f>
        <v/>
      </c>
      <c r="C19" s="16" t="str">
        <f>CALC!C30</f>
        <v/>
      </c>
      <c r="D19" s="16" t="str">
        <f>CALC!E30</f>
        <v/>
      </c>
      <c r="E19" s="31" t="str">
        <f>CALC!F30</f>
        <v/>
      </c>
      <c r="F19" s="16" t="str">
        <f>CALC!D30</f>
        <v/>
      </c>
    </row>
    <row r="20" spans="1:6" ht="15" customHeight="1" x14ac:dyDescent="0.25">
      <c r="A20" s="15" t="str">
        <f>CALC!A31</f>
        <v/>
      </c>
      <c r="B20" s="15" t="str">
        <f>CALC!B31</f>
        <v/>
      </c>
      <c r="C20" s="16" t="str">
        <f>CALC!C31</f>
        <v/>
      </c>
      <c r="D20" s="16" t="str">
        <f>CALC!E31</f>
        <v/>
      </c>
      <c r="E20" s="31" t="str">
        <f>CALC!F31</f>
        <v/>
      </c>
      <c r="F20" s="16" t="str">
        <f>CALC!D31</f>
        <v/>
      </c>
    </row>
    <row r="21" spans="1:6" ht="15" customHeight="1" x14ac:dyDescent="0.25">
      <c r="A21" s="15" t="str">
        <f>CALC!A32</f>
        <v/>
      </c>
      <c r="B21" s="15" t="str">
        <f>CALC!B32</f>
        <v/>
      </c>
      <c r="C21" s="16" t="str">
        <f>CALC!C32</f>
        <v/>
      </c>
      <c r="D21" s="16" t="str">
        <f>CALC!E32</f>
        <v/>
      </c>
      <c r="E21" s="31" t="str">
        <f>CALC!F32</f>
        <v/>
      </c>
      <c r="F21" s="16" t="str">
        <f>CALC!D32</f>
        <v/>
      </c>
    </row>
    <row r="22" spans="1:6" ht="15" customHeight="1" x14ac:dyDescent="0.25">
      <c r="A22" s="15" t="str">
        <f>CALC!A33</f>
        <v/>
      </c>
      <c r="B22" s="15" t="str">
        <f>CALC!B33</f>
        <v/>
      </c>
      <c r="C22" s="16" t="str">
        <f>CALC!C33</f>
        <v/>
      </c>
      <c r="D22" s="16" t="str">
        <f>CALC!E33</f>
        <v/>
      </c>
      <c r="E22" s="31" t="str">
        <f>CALC!F33</f>
        <v/>
      </c>
      <c r="F22" s="16" t="str">
        <f>CALC!D33</f>
        <v/>
      </c>
    </row>
    <row r="23" spans="1:6" ht="15" customHeight="1" x14ac:dyDescent="0.25">
      <c r="A23" s="15" t="str">
        <f>CALC!A34</f>
        <v/>
      </c>
      <c r="B23" s="15" t="str">
        <f>CALC!B34</f>
        <v/>
      </c>
      <c r="C23" s="16" t="str">
        <f>CALC!C34</f>
        <v/>
      </c>
      <c r="D23" s="16" t="str">
        <f>CALC!E34</f>
        <v/>
      </c>
      <c r="E23" s="31" t="str">
        <f>CALC!F34</f>
        <v/>
      </c>
      <c r="F23" s="16" t="str">
        <f>CALC!D34</f>
        <v/>
      </c>
    </row>
    <row r="24" spans="1:6" ht="15" customHeight="1" x14ac:dyDescent="0.25">
      <c r="A24" s="15" t="str">
        <f>CALC!A35</f>
        <v/>
      </c>
      <c r="B24" s="15" t="str">
        <f>CALC!B35</f>
        <v/>
      </c>
      <c r="C24" s="16" t="str">
        <f>CALC!C35</f>
        <v/>
      </c>
      <c r="D24" s="16" t="str">
        <f>CALC!E35</f>
        <v/>
      </c>
      <c r="E24" s="31" t="str">
        <f>CALC!F35</f>
        <v/>
      </c>
      <c r="F24" s="16" t="str">
        <f>CALC!D35</f>
        <v/>
      </c>
    </row>
    <row r="25" spans="1:6" ht="15" customHeight="1" x14ac:dyDescent="0.25">
      <c r="A25" s="15" t="str">
        <f>CALC!A36</f>
        <v/>
      </c>
      <c r="B25" s="15" t="str">
        <f>CALC!B36</f>
        <v/>
      </c>
      <c r="C25" s="16" t="str">
        <f>CALC!C36</f>
        <v/>
      </c>
      <c r="D25" s="16" t="str">
        <f>CALC!E36</f>
        <v/>
      </c>
      <c r="E25" s="31" t="str">
        <f>CALC!F36</f>
        <v/>
      </c>
      <c r="F25" s="16" t="str">
        <f>CALC!D36</f>
        <v/>
      </c>
    </row>
    <row r="26" spans="1:6" ht="15" customHeight="1" x14ac:dyDescent="0.25">
      <c r="A26" s="15" t="str">
        <f>CALC!A41</f>
        <v/>
      </c>
      <c r="B26" s="15" t="str">
        <f>CALC!B41</f>
        <v/>
      </c>
      <c r="C26" s="16" t="str">
        <f>CALC!C41</f>
        <v/>
      </c>
      <c r="D26" s="16" t="str">
        <f>CALC!E41</f>
        <v/>
      </c>
      <c r="E26" s="31" t="str">
        <f>CALC!F41</f>
        <v/>
      </c>
      <c r="F26" s="16" t="str">
        <f>CALC!D41</f>
        <v/>
      </c>
    </row>
    <row r="27" spans="1:6" ht="15" customHeight="1" x14ac:dyDescent="0.25">
      <c r="A27" s="15" t="str">
        <f>CALC!A42</f>
        <v/>
      </c>
      <c r="B27" s="15" t="str">
        <f>CALC!B42</f>
        <v/>
      </c>
      <c r="C27" s="16" t="str">
        <f>CALC!C42</f>
        <v/>
      </c>
      <c r="D27" s="16" t="str">
        <f>CALC!E42</f>
        <v/>
      </c>
      <c r="E27" s="31" t="str">
        <f>CALC!F42</f>
        <v/>
      </c>
      <c r="F27" s="16" t="str">
        <f>CALC!D42</f>
        <v/>
      </c>
    </row>
    <row r="28" spans="1:6" ht="15" customHeight="1" x14ac:dyDescent="0.25">
      <c r="A28" s="15" t="str">
        <f>CALC!A43</f>
        <v/>
      </c>
      <c r="B28" s="15" t="str">
        <f>CALC!B43</f>
        <v/>
      </c>
      <c r="C28" s="16" t="str">
        <f>CALC!C43</f>
        <v/>
      </c>
      <c r="D28" s="16" t="str">
        <f>CALC!E43</f>
        <v/>
      </c>
      <c r="E28" s="31" t="str">
        <f>CALC!F43</f>
        <v/>
      </c>
      <c r="F28" s="16" t="str">
        <f>CALC!D43</f>
        <v/>
      </c>
    </row>
    <row r="29" spans="1:6" ht="15" customHeight="1" x14ac:dyDescent="0.25">
      <c r="A29" s="15" t="str">
        <f>CALC!A44</f>
        <v/>
      </c>
      <c r="B29" s="15" t="str">
        <f>CALC!B44</f>
        <v/>
      </c>
      <c r="C29" s="16" t="str">
        <f>CALC!C44</f>
        <v/>
      </c>
      <c r="D29" s="16" t="str">
        <f>CALC!E44</f>
        <v/>
      </c>
      <c r="E29" s="31" t="str">
        <f>CALC!F44</f>
        <v/>
      </c>
      <c r="F29" s="16" t="str">
        <f>CALC!D44</f>
        <v/>
      </c>
    </row>
    <row r="30" spans="1:6" ht="15" customHeight="1" x14ac:dyDescent="0.25">
      <c r="A30" s="15" t="str">
        <f>CALC!A45</f>
        <v/>
      </c>
      <c r="B30" s="15" t="str">
        <f>CALC!B45</f>
        <v/>
      </c>
      <c r="C30" s="16" t="str">
        <f>CALC!C45</f>
        <v/>
      </c>
      <c r="D30" s="16" t="str">
        <f>CALC!E45</f>
        <v/>
      </c>
      <c r="E30" s="31" t="str">
        <f>CALC!F45</f>
        <v/>
      </c>
      <c r="F30" s="16" t="str">
        <f>CALC!D45</f>
        <v/>
      </c>
    </row>
    <row r="31" spans="1:6" ht="15" customHeight="1" x14ac:dyDescent="0.25">
      <c r="A31" s="15" t="str">
        <f>CALC!A46</f>
        <v/>
      </c>
      <c r="B31" s="15" t="str">
        <f>CALC!B46</f>
        <v/>
      </c>
      <c r="C31" s="16" t="str">
        <f>CALC!C46</f>
        <v/>
      </c>
      <c r="D31" s="16" t="str">
        <f>CALC!E46</f>
        <v/>
      </c>
      <c r="E31" s="31" t="str">
        <f>CALC!F46</f>
        <v/>
      </c>
      <c r="F31" s="16" t="str">
        <f>CALC!D46</f>
        <v/>
      </c>
    </row>
    <row r="32" spans="1:6" ht="15" customHeight="1" x14ac:dyDescent="0.25">
      <c r="A32" s="15" t="str">
        <f>CALC!A47</f>
        <v/>
      </c>
      <c r="B32" s="15" t="str">
        <f>CALC!B47</f>
        <v/>
      </c>
      <c r="C32" s="16" t="str">
        <f>CALC!C47</f>
        <v/>
      </c>
      <c r="D32" s="16" t="str">
        <f>CALC!E47</f>
        <v/>
      </c>
      <c r="E32" s="31" t="str">
        <f>CALC!F47</f>
        <v/>
      </c>
      <c r="F32" s="16" t="str">
        <f>CALC!D47</f>
        <v/>
      </c>
    </row>
    <row r="33" spans="1:6" ht="15" customHeight="1" x14ac:dyDescent="0.25">
      <c r="A33" s="15" t="str">
        <f>CALC!A48</f>
        <v/>
      </c>
      <c r="B33" s="15" t="str">
        <f>CALC!B48</f>
        <v/>
      </c>
      <c r="C33" s="16" t="str">
        <f>CALC!C48</f>
        <v/>
      </c>
      <c r="D33" s="16" t="str">
        <f>CALC!E48</f>
        <v/>
      </c>
      <c r="E33" s="31" t="str">
        <f>CALC!F48</f>
        <v/>
      </c>
      <c r="F33" s="16" t="str">
        <f>CALC!D48</f>
        <v/>
      </c>
    </row>
    <row r="34" spans="1:6" ht="15" customHeight="1" x14ac:dyDescent="0.25">
      <c r="A34" s="15" t="str">
        <f>CALC!A49</f>
        <v/>
      </c>
      <c r="B34" s="15" t="str">
        <f>CALC!B49</f>
        <v/>
      </c>
      <c r="C34" s="16" t="str">
        <f>CALC!C49</f>
        <v/>
      </c>
      <c r="D34" s="16" t="str">
        <f>CALC!E49</f>
        <v/>
      </c>
      <c r="E34" s="31" t="str">
        <f>CALC!F49</f>
        <v/>
      </c>
      <c r="F34" s="16" t="str">
        <f>CALC!D49</f>
        <v/>
      </c>
    </row>
    <row r="35" spans="1:6" ht="15" customHeight="1" x14ac:dyDescent="0.25">
      <c r="A35" s="15" t="str">
        <f>CALC!A50</f>
        <v/>
      </c>
      <c r="B35" s="15" t="str">
        <f>CALC!B50</f>
        <v/>
      </c>
      <c r="C35" s="16" t="str">
        <f>CALC!C50</f>
        <v/>
      </c>
      <c r="D35" s="16" t="str">
        <f>CALC!E50</f>
        <v/>
      </c>
      <c r="E35" s="31" t="str">
        <f>CALC!F50</f>
        <v/>
      </c>
      <c r="F35" s="16" t="str">
        <f>CALC!D50</f>
        <v/>
      </c>
    </row>
    <row r="36" spans="1:6" ht="15" customHeight="1" x14ac:dyDescent="0.25">
      <c r="A36" s="15" t="str">
        <f>CALC!A51</f>
        <v/>
      </c>
      <c r="B36" s="15" t="str">
        <f>CALC!B51</f>
        <v/>
      </c>
      <c r="C36" s="16" t="str">
        <f>CALC!C51</f>
        <v/>
      </c>
      <c r="D36" s="16" t="str">
        <f>CALC!E51</f>
        <v/>
      </c>
      <c r="E36" s="31" t="str">
        <f>CALC!F51</f>
        <v/>
      </c>
      <c r="F36" s="16" t="str">
        <f>CALC!D51</f>
        <v/>
      </c>
    </row>
    <row r="37" spans="1:6" ht="15" customHeight="1" x14ac:dyDescent="0.25">
      <c r="A37" s="15" t="str">
        <f>CALC!A52</f>
        <v/>
      </c>
      <c r="B37" s="15" t="str">
        <f>CALC!B52</f>
        <v/>
      </c>
      <c r="C37" s="16" t="str">
        <f>CALC!C52</f>
        <v/>
      </c>
      <c r="D37" s="16" t="str">
        <f>CALC!E52</f>
        <v/>
      </c>
      <c r="E37" s="31" t="str">
        <f>CALC!F52</f>
        <v/>
      </c>
      <c r="F37" s="16" t="str">
        <f>CALC!D52</f>
        <v/>
      </c>
    </row>
    <row r="38" spans="1:6" ht="15" customHeight="1" x14ac:dyDescent="0.25">
      <c r="A38" s="15" t="str">
        <f>CALC!A53</f>
        <v/>
      </c>
      <c r="B38" s="15" t="str">
        <f>CALC!B53</f>
        <v/>
      </c>
      <c r="C38" s="16" t="str">
        <f>CALC!C53</f>
        <v/>
      </c>
      <c r="D38" s="16" t="str">
        <f>CALC!E53</f>
        <v/>
      </c>
      <c r="E38" s="31" t="str">
        <f>CALC!F53</f>
        <v/>
      </c>
      <c r="F38" s="16" t="str">
        <f>CALC!D53</f>
        <v/>
      </c>
    </row>
    <row r="39" spans="1:6" ht="15" customHeight="1" x14ac:dyDescent="0.25">
      <c r="A39" s="15" t="str">
        <f>CALC!A54</f>
        <v/>
      </c>
      <c r="B39" s="15" t="str">
        <f>CALC!B54</f>
        <v/>
      </c>
      <c r="C39" s="16" t="str">
        <f>CALC!C54</f>
        <v/>
      </c>
      <c r="D39" s="16" t="str">
        <f>CALC!E54</f>
        <v/>
      </c>
      <c r="E39" s="31" t="str">
        <f>CALC!F54</f>
        <v/>
      </c>
      <c r="F39" s="16" t="str">
        <f>CALC!D54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030D-E306-41FB-BE6C-FB2DF06B6277}">
  <dimension ref="A1:K84"/>
  <sheetViews>
    <sheetView tabSelected="1" workbookViewId="0">
      <selection activeCell="E34" sqref="E34:E6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6.140625" bestFit="1" customWidth="1"/>
    <col min="6" max="6" width="53.28515625" bestFit="1" customWidth="1"/>
    <col min="7" max="7" width="55.5703125" bestFit="1" customWidth="1"/>
    <col min="8" max="8" width="58" bestFit="1" customWidth="1"/>
  </cols>
  <sheetData>
    <row r="1" spans="1:6" ht="15.75" thickBot="1" x14ac:dyDescent="0.3">
      <c r="A1" s="26" t="s">
        <v>41</v>
      </c>
      <c r="B1" s="27"/>
      <c r="C1" s="27"/>
      <c r="D1" s="27"/>
      <c r="E1" s="27"/>
      <c r="F1" s="28"/>
    </row>
    <row r="2" spans="1:6" x14ac:dyDescent="0.25">
      <c r="A2" s="10" t="s">
        <v>1</v>
      </c>
      <c r="B2" s="10" t="s">
        <v>10</v>
      </c>
      <c r="C2" s="10" t="s">
        <v>3</v>
      </c>
      <c r="D2" s="10" t="s">
        <v>11</v>
      </c>
      <c r="E2" s="10" t="s">
        <v>0</v>
      </c>
      <c r="F2" s="10" t="s">
        <v>4</v>
      </c>
    </row>
    <row r="3" spans="1:6" x14ac:dyDescent="0.25">
      <c r="A3" s="7">
        <v>44592</v>
      </c>
      <c r="B3" s="7">
        <v>44592</v>
      </c>
      <c r="C3" t="s">
        <v>15</v>
      </c>
      <c r="D3" t="s">
        <v>28</v>
      </c>
      <c r="E3">
        <v>100000</v>
      </c>
      <c r="F3" t="s">
        <v>25</v>
      </c>
    </row>
    <row r="4" spans="1:6" x14ac:dyDescent="0.25">
      <c r="A4" s="7">
        <v>44592</v>
      </c>
      <c r="B4" s="7">
        <v>44592</v>
      </c>
      <c r="C4" t="s">
        <v>15</v>
      </c>
      <c r="D4" t="s">
        <v>29</v>
      </c>
      <c r="E4">
        <v>100</v>
      </c>
      <c r="F4" t="s">
        <v>25</v>
      </c>
    </row>
    <row r="5" spans="1:6" x14ac:dyDescent="0.25">
      <c r="A5" s="7">
        <v>44592</v>
      </c>
      <c r="B5" s="7">
        <v>44592</v>
      </c>
      <c r="C5" t="s">
        <v>15</v>
      </c>
      <c r="D5" t="s">
        <v>30</v>
      </c>
      <c r="E5">
        <v>100000</v>
      </c>
      <c r="F5" t="s">
        <v>25</v>
      </c>
    </row>
    <row r="6" spans="1:6" x14ac:dyDescent="0.25">
      <c r="A6" s="7">
        <v>44592</v>
      </c>
      <c r="B6" s="7">
        <v>44592</v>
      </c>
      <c r="C6" t="s">
        <v>15</v>
      </c>
      <c r="D6" t="s">
        <v>31</v>
      </c>
      <c r="E6">
        <v>150</v>
      </c>
      <c r="F6" t="s">
        <v>25</v>
      </c>
    </row>
    <row r="7" spans="1:6" x14ac:dyDescent="0.25">
      <c r="A7" s="7">
        <v>44592</v>
      </c>
      <c r="B7" s="7">
        <v>44592</v>
      </c>
      <c r="C7" t="s">
        <v>15</v>
      </c>
      <c r="D7" t="s">
        <v>28</v>
      </c>
      <c r="E7">
        <v>150000</v>
      </c>
      <c r="F7" t="s">
        <v>26</v>
      </c>
    </row>
    <row r="8" spans="1:6" x14ac:dyDescent="0.25">
      <c r="A8" s="7">
        <v>44592</v>
      </c>
      <c r="B8" s="7">
        <v>44592</v>
      </c>
      <c r="C8" t="s">
        <v>15</v>
      </c>
      <c r="D8" t="s">
        <v>29</v>
      </c>
      <c r="E8">
        <v>200</v>
      </c>
      <c r="F8" t="s">
        <v>26</v>
      </c>
    </row>
    <row r="9" spans="1:6" x14ac:dyDescent="0.25">
      <c r="A9" s="7">
        <v>44592</v>
      </c>
      <c r="B9" s="7">
        <v>44592</v>
      </c>
      <c r="C9" t="s">
        <v>15</v>
      </c>
      <c r="D9" t="s">
        <v>30</v>
      </c>
      <c r="E9">
        <v>150000</v>
      </c>
      <c r="F9" t="s">
        <v>26</v>
      </c>
    </row>
    <row r="10" spans="1:6" x14ac:dyDescent="0.25">
      <c r="A10" s="7">
        <v>44592</v>
      </c>
      <c r="B10" s="7">
        <v>44592</v>
      </c>
      <c r="C10" t="s">
        <v>15</v>
      </c>
      <c r="D10" t="s">
        <v>31</v>
      </c>
      <c r="E10">
        <v>240</v>
      </c>
      <c r="F10" t="s">
        <v>26</v>
      </c>
    </row>
    <row r="11" spans="1:6" x14ac:dyDescent="0.25">
      <c r="A11" s="7">
        <v>44592</v>
      </c>
      <c r="B11" s="7">
        <v>44592</v>
      </c>
      <c r="C11" t="s">
        <v>15</v>
      </c>
      <c r="D11" t="s">
        <v>35</v>
      </c>
      <c r="E11">
        <v>10</v>
      </c>
      <c r="F11" t="s">
        <v>25</v>
      </c>
    </row>
    <row r="12" spans="1:6" x14ac:dyDescent="0.25">
      <c r="A12" s="7">
        <v>44592</v>
      </c>
      <c r="B12" s="7">
        <v>44592</v>
      </c>
      <c r="C12" t="s">
        <v>15</v>
      </c>
      <c r="D12" t="s">
        <v>36</v>
      </c>
      <c r="E12">
        <v>50</v>
      </c>
      <c r="F12" t="s">
        <v>25</v>
      </c>
    </row>
    <row r="13" spans="1:6" x14ac:dyDescent="0.25">
      <c r="A13" s="7">
        <v>44592</v>
      </c>
      <c r="B13" s="7">
        <v>44592</v>
      </c>
      <c r="C13" t="s">
        <v>15</v>
      </c>
      <c r="D13" t="s">
        <v>37</v>
      </c>
      <c r="E13">
        <v>0</v>
      </c>
      <c r="F13" t="s">
        <v>25</v>
      </c>
    </row>
    <row r="14" spans="1:6" x14ac:dyDescent="0.25">
      <c r="A14" s="7">
        <v>44592</v>
      </c>
      <c r="B14" s="7">
        <v>44592</v>
      </c>
      <c r="C14" t="s">
        <v>15</v>
      </c>
      <c r="D14" t="s">
        <v>38</v>
      </c>
      <c r="E14">
        <v>50</v>
      </c>
      <c r="F14" t="s">
        <v>25</v>
      </c>
    </row>
    <row r="15" spans="1:6" x14ac:dyDescent="0.25">
      <c r="A15" s="7">
        <v>44592</v>
      </c>
      <c r="B15" s="7">
        <v>44592</v>
      </c>
      <c r="C15" t="s">
        <v>15</v>
      </c>
      <c r="D15" t="s">
        <v>35</v>
      </c>
      <c r="E15">
        <v>8</v>
      </c>
      <c r="F15" t="s">
        <v>26</v>
      </c>
    </row>
    <row r="16" spans="1:6" x14ac:dyDescent="0.25">
      <c r="A16" s="7">
        <v>44592</v>
      </c>
      <c r="B16" s="7">
        <v>44592</v>
      </c>
      <c r="C16" t="s">
        <v>15</v>
      </c>
      <c r="D16" t="s">
        <v>36</v>
      </c>
      <c r="E16">
        <v>40</v>
      </c>
      <c r="F16" t="s">
        <v>26</v>
      </c>
    </row>
    <row r="17" spans="1:8" x14ac:dyDescent="0.25">
      <c r="A17" s="7">
        <v>44592</v>
      </c>
      <c r="B17" s="7">
        <v>44592</v>
      </c>
      <c r="C17" t="s">
        <v>15</v>
      </c>
      <c r="D17" t="s">
        <v>37</v>
      </c>
      <c r="E17">
        <v>0</v>
      </c>
      <c r="F17" t="s">
        <v>26</v>
      </c>
    </row>
    <row r="18" spans="1:8" x14ac:dyDescent="0.25">
      <c r="A18" s="7">
        <v>44592</v>
      </c>
      <c r="B18" s="7">
        <v>44592</v>
      </c>
      <c r="C18" t="s">
        <v>15</v>
      </c>
      <c r="D18" t="s">
        <v>38</v>
      </c>
      <c r="E18">
        <v>40</v>
      </c>
      <c r="F18" t="s">
        <v>26</v>
      </c>
    </row>
    <row r="19" spans="1:8" x14ac:dyDescent="0.25">
      <c r="A19" s="7"/>
      <c r="B19" s="7"/>
    </row>
    <row r="20" spans="1:8" x14ac:dyDescent="0.25">
      <c r="A20" s="29" t="s">
        <v>39</v>
      </c>
    </row>
    <row r="21" spans="1:8" x14ac:dyDescent="0.25">
      <c r="A21" s="4" t="s">
        <v>1</v>
      </c>
      <c r="B21" s="1" t="s">
        <v>2</v>
      </c>
      <c r="C21" s="4" t="s">
        <v>3</v>
      </c>
      <c r="D21" s="4" t="s">
        <v>4</v>
      </c>
      <c r="E21" s="5" t="s">
        <v>5</v>
      </c>
      <c r="F21" s="6" t="s">
        <v>6</v>
      </c>
      <c r="G21" s="11" t="s">
        <v>16</v>
      </c>
      <c r="H21" s="12" t="s">
        <v>17</v>
      </c>
    </row>
    <row r="22" spans="1:8" x14ac:dyDescent="0.25">
      <c r="A22" s="17">
        <v>44592</v>
      </c>
      <c r="B22" s="17">
        <v>44592</v>
      </c>
      <c r="C22" t="s">
        <v>15</v>
      </c>
      <c r="D22" t="s">
        <v>25</v>
      </c>
      <c r="E22" s="14">
        <v>100000</v>
      </c>
      <c r="F22" s="14">
        <v>100</v>
      </c>
      <c r="G22" s="14">
        <v>100000</v>
      </c>
      <c r="H22" s="14">
        <v>150</v>
      </c>
    </row>
    <row r="23" spans="1:8" x14ac:dyDescent="0.25">
      <c r="A23" s="17">
        <v>44592</v>
      </c>
      <c r="B23" s="17">
        <v>44592</v>
      </c>
      <c r="C23" t="s">
        <v>15</v>
      </c>
      <c r="D23" t="s">
        <v>26</v>
      </c>
      <c r="E23" s="14">
        <v>150000</v>
      </c>
      <c r="F23" s="14">
        <v>200</v>
      </c>
      <c r="G23" s="14">
        <v>150000</v>
      </c>
      <c r="H23" s="14">
        <v>240</v>
      </c>
    </row>
    <row r="25" spans="1:8" x14ac:dyDescent="0.25">
      <c r="A25" s="29" t="s">
        <v>40</v>
      </c>
    </row>
    <row r="26" spans="1:8" x14ac:dyDescent="0.25">
      <c r="A26" s="4" t="s">
        <v>1</v>
      </c>
      <c r="B26" s="1" t="s">
        <v>2</v>
      </c>
      <c r="C26" s="4" t="s">
        <v>3</v>
      </c>
      <c r="D26" s="4" t="s">
        <v>4</v>
      </c>
      <c r="E26" s="9" t="s">
        <v>7</v>
      </c>
      <c r="F26" s="9" t="s">
        <v>8</v>
      </c>
      <c r="G26" s="9" t="s">
        <v>22</v>
      </c>
      <c r="H26" s="9" t="s">
        <v>23</v>
      </c>
    </row>
    <row r="27" spans="1:8" x14ac:dyDescent="0.25">
      <c r="A27" s="17">
        <v>44592</v>
      </c>
      <c r="B27" s="17">
        <v>44592</v>
      </c>
      <c r="C27" t="s">
        <v>15</v>
      </c>
      <c r="D27" t="s">
        <v>25</v>
      </c>
      <c r="E27" s="14">
        <v>10</v>
      </c>
      <c r="F27" s="14">
        <v>50</v>
      </c>
      <c r="G27" s="14">
        <v>0</v>
      </c>
      <c r="H27" s="14">
        <v>50</v>
      </c>
    </row>
    <row r="28" spans="1:8" x14ac:dyDescent="0.25">
      <c r="A28" s="17">
        <v>44592</v>
      </c>
      <c r="B28" s="17">
        <v>44592</v>
      </c>
      <c r="C28" t="s">
        <v>15</v>
      </c>
      <c r="D28" t="s">
        <v>26</v>
      </c>
      <c r="E28" s="14">
        <v>8</v>
      </c>
      <c r="F28" s="14">
        <v>40</v>
      </c>
      <c r="G28" s="14">
        <v>0</v>
      </c>
      <c r="H28" s="14">
        <v>40</v>
      </c>
    </row>
    <row r="31" spans="1:8" ht="15.75" thickBot="1" x14ac:dyDescent="0.3"/>
    <row r="32" spans="1:8" ht="15.75" thickBot="1" x14ac:dyDescent="0.3">
      <c r="A32" s="26" t="s">
        <v>53</v>
      </c>
      <c r="B32" s="27"/>
      <c r="C32" s="27"/>
      <c r="D32" s="27"/>
      <c r="E32" s="27"/>
      <c r="F32" s="28"/>
    </row>
    <row r="33" spans="1:6" x14ac:dyDescent="0.25">
      <c r="A33" s="10" t="s">
        <v>1</v>
      </c>
      <c r="B33" s="10" t="s">
        <v>10</v>
      </c>
      <c r="C33" s="10" t="s">
        <v>3</v>
      </c>
      <c r="D33" s="10" t="s">
        <v>11</v>
      </c>
      <c r="E33" s="10" t="s">
        <v>0</v>
      </c>
      <c r="F33" s="10" t="s">
        <v>4</v>
      </c>
    </row>
    <row r="34" spans="1:6" x14ac:dyDescent="0.25">
      <c r="A34" s="7">
        <v>44595</v>
      </c>
      <c r="B34" s="7">
        <v>44595</v>
      </c>
      <c r="C34" t="s">
        <v>15</v>
      </c>
      <c r="D34" t="s">
        <v>35</v>
      </c>
      <c r="E34">
        <v>20</v>
      </c>
      <c r="F34" t="s">
        <v>25</v>
      </c>
    </row>
    <row r="35" spans="1:6" x14ac:dyDescent="0.25">
      <c r="A35" s="7">
        <v>44595</v>
      </c>
      <c r="B35" s="7">
        <v>44595</v>
      </c>
      <c r="C35" t="s">
        <v>15</v>
      </c>
      <c r="D35" t="s">
        <v>36</v>
      </c>
      <c r="E35">
        <v>50</v>
      </c>
      <c r="F35" t="s">
        <v>25</v>
      </c>
    </row>
    <row r="36" spans="1:6" x14ac:dyDescent="0.25">
      <c r="A36" s="7">
        <v>44595</v>
      </c>
      <c r="B36" s="7">
        <v>44595</v>
      </c>
      <c r="C36" t="s">
        <v>15</v>
      </c>
      <c r="D36" t="s">
        <v>37</v>
      </c>
      <c r="E36">
        <v>50</v>
      </c>
      <c r="F36" t="s">
        <v>25</v>
      </c>
    </row>
    <row r="37" spans="1:6" x14ac:dyDescent="0.25">
      <c r="A37" s="7">
        <v>44595</v>
      </c>
      <c r="B37" s="7">
        <v>44595</v>
      </c>
      <c r="C37" t="s">
        <v>15</v>
      </c>
      <c r="D37" t="s">
        <v>38</v>
      </c>
      <c r="E37">
        <v>0</v>
      </c>
      <c r="F37" t="s">
        <v>25</v>
      </c>
    </row>
    <row r="38" spans="1:6" x14ac:dyDescent="0.25">
      <c r="A38" s="7">
        <v>44595</v>
      </c>
      <c r="B38" s="7">
        <v>44595</v>
      </c>
      <c r="C38" t="s">
        <v>15</v>
      </c>
      <c r="D38" t="s">
        <v>35</v>
      </c>
      <c r="E38">
        <v>18</v>
      </c>
      <c r="F38" t="s">
        <v>26</v>
      </c>
    </row>
    <row r="39" spans="1:6" x14ac:dyDescent="0.25">
      <c r="A39" s="7">
        <v>44595</v>
      </c>
      <c r="B39" s="7">
        <v>44595</v>
      </c>
      <c r="C39" t="s">
        <v>15</v>
      </c>
      <c r="D39" t="s">
        <v>36</v>
      </c>
      <c r="E39">
        <v>40</v>
      </c>
      <c r="F39" t="s">
        <v>26</v>
      </c>
    </row>
    <row r="40" spans="1:6" x14ac:dyDescent="0.25">
      <c r="A40" s="7">
        <v>44595</v>
      </c>
      <c r="B40" s="7">
        <v>44595</v>
      </c>
      <c r="C40" t="s">
        <v>15</v>
      </c>
      <c r="D40" t="s">
        <v>37</v>
      </c>
      <c r="E40">
        <v>40</v>
      </c>
      <c r="F40" t="s">
        <v>26</v>
      </c>
    </row>
    <row r="41" spans="1:6" x14ac:dyDescent="0.25">
      <c r="A41" s="7">
        <v>44595</v>
      </c>
      <c r="B41" s="7">
        <v>44595</v>
      </c>
      <c r="C41" t="s">
        <v>15</v>
      </c>
      <c r="D41" t="s">
        <v>38</v>
      </c>
      <c r="E41">
        <v>0</v>
      </c>
      <c r="F41" t="s">
        <v>26</v>
      </c>
    </row>
    <row r="42" spans="1:6" x14ac:dyDescent="0.25">
      <c r="A42" s="7">
        <v>44595</v>
      </c>
      <c r="B42" s="7">
        <v>44595</v>
      </c>
      <c r="C42" t="s">
        <v>15</v>
      </c>
      <c r="D42" t="s">
        <v>43</v>
      </c>
      <c r="E42">
        <v>1500</v>
      </c>
      <c r="F42" t="s">
        <v>25</v>
      </c>
    </row>
    <row r="43" spans="1:6" x14ac:dyDescent="0.25">
      <c r="A43" s="7">
        <v>44595</v>
      </c>
      <c r="B43" s="7">
        <v>44595</v>
      </c>
      <c r="C43" t="s">
        <v>15</v>
      </c>
      <c r="D43" t="s">
        <v>43</v>
      </c>
      <c r="E43">
        <v>2000</v>
      </c>
      <c r="F43" t="s">
        <v>26</v>
      </c>
    </row>
    <row r="44" spans="1:6" x14ac:dyDescent="0.25">
      <c r="A44" s="7">
        <v>44595</v>
      </c>
      <c r="B44" s="7">
        <v>44595</v>
      </c>
      <c r="C44" t="s">
        <v>15</v>
      </c>
      <c r="D44" t="s">
        <v>44</v>
      </c>
      <c r="E44">
        <v>1100</v>
      </c>
      <c r="F44" t="s">
        <v>25</v>
      </c>
    </row>
    <row r="45" spans="1:6" x14ac:dyDescent="0.25">
      <c r="A45" s="7">
        <v>44595</v>
      </c>
      <c r="B45" s="7">
        <v>44595</v>
      </c>
      <c r="C45" t="s">
        <v>15</v>
      </c>
      <c r="D45" t="s">
        <v>44</v>
      </c>
      <c r="E45">
        <v>2100</v>
      </c>
      <c r="F45" t="s">
        <v>26</v>
      </c>
    </row>
    <row r="46" spans="1:6" x14ac:dyDescent="0.25">
      <c r="A46" s="7">
        <v>44595</v>
      </c>
      <c r="B46" s="7">
        <v>44595</v>
      </c>
      <c r="C46" t="s">
        <v>15</v>
      </c>
      <c r="D46" t="s">
        <v>45</v>
      </c>
      <c r="E46">
        <v>1300</v>
      </c>
      <c r="F46" t="s">
        <v>25</v>
      </c>
    </row>
    <row r="47" spans="1:6" x14ac:dyDescent="0.25">
      <c r="A47" s="7">
        <v>44595</v>
      </c>
      <c r="B47" s="7">
        <v>44595</v>
      </c>
      <c r="C47" t="s">
        <v>15</v>
      </c>
      <c r="D47" t="s">
        <v>45</v>
      </c>
      <c r="E47">
        <v>1200</v>
      </c>
      <c r="F47" t="s">
        <v>25</v>
      </c>
    </row>
    <row r="48" spans="1:6" x14ac:dyDescent="0.25">
      <c r="A48" s="7">
        <v>44595</v>
      </c>
      <c r="B48" s="7">
        <v>44595</v>
      </c>
      <c r="C48" t="s">
        <v>15</v>
      </c>
      <c r="D48" t="s">
        <v>45</v>
      </c>
      <c r="E48">
        <v>2300</v>
      </c>
      <c r="F48" t="s">
        <v>26</v>
      </c>
    </row>
    <row r="49" spans="1:6" x14ac:dyDescent="0.25">
      <c r="A49" s="7">
        <v>44595</v>
      </c>
      <c r="B49" s="7">
        <v>44595</v>
      </c>
      <c r="C49" t="s">
        <v>15</v>
      </c>
      <c r="D49" t="s">
        <v>45</v>
      </c>
      <c r="E49">
        <v>2200</v>
      </c>
      <c r="F49" t="s">
        <v>26</v>
      </c>
    </row>
    <row r="50" spans="1:6" x14ac:dyDescent="0.25">
      <c r="A50" s="7">
        <v>44595</v>
      </c>
      <c r="B50" s="7">
        <v>44595</v>
      </c>
      <c r="C50" t="s">
        <v>15</v>
      </c>
      <c r="D50" t="s">
        <v>35</v>
      </c>
      <c r="E50">
        <v>20</v>
      </c>
      <c r="F50" t="s">
        <v>25</v>
      </c>
    </row>
    <row r="51" spans="1:6" x14ac:dyDescent="0.25">
      <c r="A51" s="7">
        <v>44595</v>
      </c>
      <c r="B51" s="7">
        <v>44595</v>
      </c>
      <c r="C51" t="s">
        <v>15</v>
      </c>
      <c r="D51" t="s">
        <v>47</v>
      </c>
      <c r="E51">
        <v>10</v>
      </c>
      <c r="F51" t="s">
        <v>25</v>
      </c>
    </row>
    <row r="52" spans="1:6" x14ac:dyDescent="0.25">
      <c r="A52" s="7">
        <v>44595</v>
      </c>
      <c r="B52" s="7">
        <v>44595</v>
      </c>
      <c r="C52" t="s">
        <v>15</v>
      </c>
      <c r="D52" t="s">
        <v>48</v>
      </c>
      <c r="E52">
        <v>10</v>
      </c>
      <c r="F52" t="s">
        <v>25</v>
      </c>
    </row>
    <row r="53" spans="1:6" x14ac:dyDescent="0.25">
      <c r="A53" s="7">
        <v>44595</v>
      </c>
      <c r="B53" s="7">
        <v>44595</v>
      </c>
      <c r="C53" t="s">
        <v>15</v>
      </c>
      <c r="D53" t="s">
        <v>49</v>
      </c>
      <c r="E53">
        <v>12</v>
      </c>
      <c r="F53" t="s">
        <v>25</v>
      </c>
    </row>
    <row r="54" spans="1:6" x14ac:dyDescent="0.25">
      <c r="A54" s="7">
        <v>44595</v>
      </c>
      <c r="B54" s="7">
        <v>44595</v>
      </c>
      <c r="C54" t="s">
        <v>15</v>
      </c>
      <c r="D54" t="s">
        <v>50</v>
      </c>
      <c r="E54">
        <v>12</v>
      </c>
      <c r="F54" t="s">
        <v>25</v>
      </c>
    </row>
    <row r="55" spans="1:6" x14ac:dyDescent="0.25">
      <c r="A55" s="7">
        <v>44595</v>
      </c>
      <c r="B55" s="7">
        <v>44595</v>
      </c>
      <c r="C55" t="s">
        <v>15</v>
      </c>
      <c r="D55" t="s">
        <v>51</v>
      </c>
      <c r="E55">
        <v>4</v>
      </c>
      <c r="F55" t="s">
        <v>25</v>
      </c>
    </row>
    <row r="56" spans="1:6" x14ac:dyDescent="0.25">
      <c r="A56" s="7">
        <v>44595</v>
      </c>
      <c r="B56" s="7">
        <v>44595</v>
      </c>
      <c r="C56" t="s">
        <v>15</v>
      </c>
      <c r="D56" t="s">
        <v>52</v>
      </c>
      <c r="E56">
        <v>4</v>
      </c>
      <c r="F56" t="s">
        <v>25</v>
      </c>
    </row>
    <row r="57" spans="1:6" x14ac:dyDescent="0.25">
      <c r="A57" s="7">
        <v>44595</v>
      </c>
      <c r="B57" s="7">
        <v>44595</v>
      </c>
      <c r="C57" t="s">
        <v>15</v>
      </c>
      <c r="D57" t="s">
        <v>35</v>
      </c>
      <c r="E57">
        <v>18</v>
      </c>
      <c r="F57" t="s">
        <v>26</v>
      </c>
    </row>
    <row r="58" spans="1:6" x14ac:dyDescent="0.25">
      <c r="A58" s="7">
        <v>44595</v>
      </c>
      <c r="B58" s="7">
        <v>44595</v>
      </c>
      <c r="C58" t="s">
        <v>15</v>
      </c>
      <c r="D58" t="s">
        <v>47</v>
      </c>
      <c r="E58">
        <v>8</v>
      </c>
      <c r="F58" t="s">
        <v>26</v>
      </c>
    </row>
    <row r="59" spans="1:6" x14ac:dyDescent="0.25">
      <c r="A59" s="7">
        <v>44595</v>
      </c>
      <c r="B59" s="7">
        <v>44595</v>
      </c>
      <c r="C59" t="s">
        <v>15</v>
      </c>
      <c r="D59" t="s">
        <v>48</v>
      </c>
      <c r="E59">
        <v>8</v>
      </c>
      <c r="F59" t="s">
        <v>26</v>
      </c>
    </row>
    <row r="60" spans="1:6" x14ac:dyDescent="0.25">
      <c r="A60" s="7">
        <v>44595</v>
      </c>
      <c r="B60" s="7">
        <v>44595</v>
      </c>
      <c r="C60" t="s">
        <v>15</v>
      </c>
      <c r="D60" t="s">
        <v>49</v>
      </c>
      <c r="E60">
        <v>14</v>
      </c>
      <c r="F60" t="s">
        <v>26</v>
      </c>
    </row>
    <row r="61" spans="1:6" x14ac:dyDescent="0.25">
      <c r="A61" s="7">
        <v>44595</v>
      </c>
      <c r="B61" s="7">
        <v>44595</v>
      </c>
      <c r="C61" t="s">
        <v>15</v>
      </c>
      <c r="D61" t="s">
        <v>50</v>
      </c>
      <c r="E61">
        <v>12</v>
      </c>
      <c r="F61" t="s">
        <v>26</v>
      </c>
    </row>
    <row r="62" spans="1:6" x14ac:dyDescent="0.25">
      <c r="A62" s="7">
        <v>44595</v>
      </c>
      <c r="B62" s="7">
        <v>44595</v>
      </c>
      <c r="C62" t="s">
        <v>15</v>
      </c>
      <c r="D62" t="s">
        <v>51</v>
      </c>
      <c r="E62">
        <v>4</v>
      </c>
      <c r="F62" t="s">
        <v>26</v>
      </c>
    </row>
    <row r="63" spans="1:6" x14ac:dyDescent="0.25">
      <c r="A63" s="7">
        <v>44595</v>
      </c>
      <c r="B63" s="7">
        <v>44595</v>
      </c>
      <c r="C63" t="s">
        <v>15</v>
      </c>
      <c r="D63" t="s">
        <v>52</v>
      </c>
      <c r="E63">
        <v>4</v>
      </c>
      <c r="F63" t="s">
        <v>26</v>
      </c>
    </row>
    <row r="66" spans="1:8" x14ac:dyDescent="0.25">
      <c r="A66" s="29" t="s">
        <v>54</v>
      </c>
    </row>
    <row r="67" spans="1:8" x14ac:dyDescent="0.25">
      <c r="A67" s="4" t="s">
        <v>1</v>
      </c>
      <c r="B67" s="1" t="s">
        <v>2</v>
      </c>
      <c r="C67" s="4" t="s">
        <v>3</v>
      </c>
      <c r="D67" s="4" t="s">
        <v>4</v>
      </c>
      <c r="E67" s="5" t="s">
        <v>12</v>
      </c>
      <c r="F67" s="5" t="s">
        <v>13</v>
      </c>
      <c r="G67" s="5" t="s">
        <v>14</v>
      </c>
    </row>
    <row r="68" spans="1:8" x14ac:dyDescent="0.25">
      <c r="A68" s="17">
        <v>44595</v>
      </c>
      <c r="B68" s="17">
        <v>44595</v>
      </c>
      <c r="C68" t="s">
        <v>15</v>
      </c>
      <c r="D68" t="s">
        <v>25</v>
      </c>
      <c r="G68" s="14">
        <v>1300</v>
      </c>
    </row>
    <row r="69" spans="1:8" x14ac:dyDescent="0.25">
      <c r="A69" s="17">
        <v>44595</v>
      </c>
      <c r="B69" s="17">
        <v>44593</v>
      </c>
      <c r="C69" t="s">
        <v>15</v>
      </c>
      <c r="D69" t="s">
        <v>25</v>
      </c>
      <c r="F69" s="14">
        <v>1100</v>
      </c>
      <c r="G69" s="14">
        <v>1200</v>
      </c>
    </row>
    <row r="70" spans="1:8" x14ac:dyDescent="0.25">
      <c r="A70" s="17">
        <v>44595</v>
      </c>
      <c r="B70" s="17">
        <v>44592</v>
      </c>
      <c r="C70" t="s">
        <v>15</v>
      </c>
      <c r="D70" t="s">
        <v>25</v>
      </c>
      <c r="E70" s="14">
        <v>1500</v>
      </c>
    </row>
    <row r="71" spans="1:8" x14ac:dyDescent="0.25">
      <c r="A71" s="17">
        <v>44595</v>
      </c>
      <c r="B71" s="17">
        <v>44595</v>
      </c>
      <c r="C71" t="s">
        <v>15</v>
      </c>
      <c r="D71" t="s">
        <v>26</v>
      </c>
      <c r="G71" s="14">
        <v>2300</v>
      </c>
    </row>
    <row r="72" spans="1:8" x14ac:dyDescent="0.25">
      <c r="A72" s="17">
        <v>44595</v>
      </c>
      <c r="B72" s="17">
        <v>44594</v>
      </c>
      <c r="C72" t="s">
        <v>15</v>
      </c>
      <c r="D72" t="s">
        <v>26</v>
      </c>
      <c r="G72" s="14">
        <v>2200</v>
      </c>
    </row>
    <row r="73" spans="1:8" x14ac:dyDescent="0.25">
      <c r="A73" s="17">
        <v>44595</v>
      </c>
      <c r="B73" s="17">
        <v>44593</v>
      </c>
      <c r="C73" t="s">
        <v>15</v>
      </c>
      <c r="D73" t="s">
        <v>26</v>
      </c>
      <c r="F73" s="14">
        <v>2100</v>
      </c>
    </row>
    <row r="74" spans="1:8" x14ac:dyDescent="0.25">
      <c r="A74" s="17">
        <v>44595</v>
      </c>
      <c r="B74" s="17">
        <v>44592</v>
      </c>
      <c r="C74" t="s">
        <v>15</v>
      </c>
      <c r="D74" t="s">
        <v>26</v>
      </c>
      <c r="E74" s="14">
        <v>2000</v>
      </c>
    </row>
    <row r="76" spans="1:8" x14ac:dyDescent="0.25">
      <c r="A76" s="29" t="s">
        <v>55</v>
      </c>
    </row>
    <row r="77" spans="1:8" x14ac:dyDescent="0.25">
      <c r="A77" s="4" t="s">
        <v>1</v>
      </c>
      <c r="B77" s="1" t="s">
        <v>2</v>
      </c>
      <c r="C77" s="4" t="s">
        <v>3</v>
      </c>
      <c r="D77" s="4" t="s">
        <v>4</v>
      </c>
      <c r="E77" s="9" t="s">
        <v>7</v>
      </c>
      <c r="F77" s="9" t="s">
        <v>8</v>
      </c>
      <c r="G77" s="9" t="s">
        <v>22</v>
      </c>
      <c r="H77" s="9" t="s">
        <v>23</v>
      </c>
    </row>
    <row r="78" spans="1:8" x14ac:dyDescent="0.25">
      <c r="A78" s="17">
        <v>44595</v>
      </c>
      <c r="B78" s="17">
        <v>44595</v>
      </c>
      <c r="C78" t="s">
        <v>15</v>
      </c>
      <c r="D78" t="s">
        <v>25</v>
      </c>
      <c r="E78" s="14">
        <v>20</v>
      </c>
      <c r="F78" s="14">
        <v>50</v>
      </c>
      <c r="G78" s="14">
        <v>50</v>
      </c>
      <c r="H78" s="14">
        <v>0</v>
      </c>
    </row>
    <row r="79" spans="1:8" x14ac:dyDescent="0.25">
      <c r="A79" s="17">
        <v>44595</v>
      </c>
      <c r="B79" s="17">
        <v>44595</v>
      </c>
      <c r="C79" t="s">
        <v>15</v>
      </c>
      <c r="D79" t="s">
        <v>26</v>
      </c>
      <c r="E79" s="14">
        <v>18</v>
      </c>
      <c r="F79" s="14">
        <v>40</v>
      </c>
      <c r="G79" s="14">
        <v>40</v>
      </c>
      <c r="H79" s="14">
        <v>0</v>
      </c>
    </row>
    <row r="81" spans="1:11" x14ac:dyDescent="0.25">
      <c r="A81" s="29" t="s">
        <v>56</v>
      </c>
    </row>
    <row r="82" spans="1:11" x14ac:dyDescent="0.25">
      <c r="A82" s="4" t="s">
        <v>1</v>
      </c>
      <c r="B82" s="1" t="s">
        <v>2</v>
      </c>
      <c r="C82" s="4" t="s">
        <v>3</v>
      </c>
      <c r="D82" s="4" t="s">
        <v>4</v>
      </c>
      <c r="E82" s="9" t="s">
        <v>7</v>
      </c>
      <c r="F82" s="9" t="s">
        <v>9</v>
      </c>
      <c r="G82" s="9" t="s">
        <v>24</v>
      </c>
      <c r="H82" s="9" t="s">
        <v>18</v>
      </c>
      <c r="I82" s="9" t="s">
        <v>19</v>
      </c>
      <c r="J82" s="9" t="s">
        <v>20</v>
      </c>
      <c r="K82" s="9" t="s">
        <v>21</v>
      </c>
    </row>
    <row r="83" spans="1:11" x14ac:dyDescent="0.25">
      <c r="A83" s="17">
        <v>44595</v>
      </c>
      <c r="B83" s="17">
        <v>44595</v>
      </c>
      <c r="C83" t="s">
        <v>15</v>
      </c>
      <c r="D83" t="s">
        <v>25</v>
      </c>
      <c r="E83" s="14">
        <v>20</v>
      </c>
      <c r="F83">
        <v>10</v>
      </c>
      <c r="G83">
        <v>10</v>
      </c>
      <c r="H83" s="14">
        <v>12</v>
      </c>
      <c r="I83">
        <v>12</v>
      </c>
      <c r="J83" s="14">
        <v>4</v>
      </c>
      <c r="K83" s="14">
        <v>4</v>
      </c>
    </row>
    <row r="84" spans="1:11" x14ac:dyDescent="0.25">
      <c r="A84" s="17">
        <v>44595</v>
      </c>
      <c r="B84" s="17">
        <v>44595</v>
      </c>
      <c r="C84" t="s">
        <v>15</v>
      </c>
      <c r="D84" t="s">
        <v>26</v>
      </c>
      <c r="E84" s="14">
        <v>18</v>
      </c>
      <c r="F84">
        <v>8</v>
      </c>
      <c r="G84">
        <v>8</v>
      </c>
      <c r="H84" s="14">
        <v>14</v>
      </c>
      <c r="I84">
        <v>12</v>
      </c>
      <c r="J84" s="14">
        <v>4</v>
      </c>
      <c r="K84" s="14">
        <v>4</v>
      </c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</vt:lpstr>
      <vt:lpstr>PMT</vt:lpstr>
      <vt:lpstr>INT_ACC</vt:lpstr>
      <vt:lpstr>RC</vt:lpstr>
      <vt:lpstr>CALC</vt:lpstr>
      <vt:lpstr>o_Transaction</vt:lpstr>
      <vt:lpstr>Expected1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3</cp:revision>
  <dcterms:created xsi:type="dcterms:W3CDTF">2025-02-05T13:36:13Z</dcterms:created>
  <dcterms:modified xsi:type="dcterms:W3CDTF">2025-12-16T14:00:45Z</dcterms:modified>
  <dc:language>en-US</dc:language>
</cp:coreProperties>
</file>