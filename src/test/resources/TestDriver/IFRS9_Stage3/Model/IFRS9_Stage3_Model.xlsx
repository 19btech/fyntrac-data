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Model\"/>
    </mc:Choice>
  </mc:AlternateContent>
  <xr:revisionPtr revIDLastSave="0" documentId="13_ncr:1_{09BE36CC-C12E-41A6-A752-58D55047D57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CF" sheetId="2" r:id="rId1"/>
    <sheet name="EOD" sheetId="5" r:id="rId2"/>
    <sheet name="Calc_InterestAccrualSchedule" sheetId="3" r:id="rId3"/>
    <sheet name="o_Transaction" sheetId="7" r:id="rId4"/>
    <sheet name="EXPECTED_INP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3" i="8" l="1"/>
  <c r="C6" i="3" l="1"/>
  <c r="Z56" i="8"/>
  <c r="Z57" i="8" s="1"/>
  <c r="C4" i="3"/>
  <c r="K3" i="3"/>
  <c r="Z26" i="8"/>
  <c r="C12" i="3"/>
  <c r="C13" i="3"/>
  <c r="C7" i="3"/>
  <c r="T19" i="3" l="1"/>
  <c r="O19" i="3"/>
  <c r="T18" i="3"/>
  <c r="O18" i="3"/>
  <c r="T17" i="3"/>
  <c r="R17" i="3"/>
  <c r="D2" i="7" s="1"/>
  <c r="R20" i="3"/>
  <c r="D5" i="7" s="1"/>
  <c r="Q17" i="3"/>
  <c r="C2" i="7" s="1"/>
  <c r="R19" i="3"/>
  <c r="D4" i="7" s="1"/>
  <c r="O17" i="3"/>
  <c r="R18" i="3"/>
  <c r="D3" i="7" s="1"/>
  <c r="Q20" i="3"/>
  <c r="C5" i="7" s="1"/>
  <c r="Q19" i="3"/>
  <c r="Q18" i="3"/>
  <c r="T20" i="3"/>
  <c r="O20" i="3"/>
  <c r="C3" i="7"/>
  <c r="A5" i="7"/>
  <c r="P20" i="3"/>
  <c r="B5" i="7" s="1"/>
  <c r="C4" i="7"/>
  <c r="A2" i="7"/>
  <c r="P17" i="3" l="1"/>
  <c r="B2" i="7" s="1"/>
  <c r="P19" i="3"/>
  <c r="B4" i="7" s="1"/>
  <c r="A4" i="7"/>
  <c r="P18" i="3"/>
  <c r="B3" i="7" s="1"/>
  <c r="A3" i="7"/>
  <c r="C8" i="3"/>
  <c r="C9" i="3" s="1"/>
  <c r="C5" i="3"/>
  <c r="B16" i="3"/>
  <c r="F16" i="3" s="1"/>
  <c r="C10" i="3" l="1"/>
  <c r="C3" i="3"/>
  <c r="C16" i="3" s="1"/>
  <c r="P4" i="3"/>
  <c r="C11" i="3"/>
  <c r="S18" i="3" l="1"/>
  <c r="E3" i="7" s="1"/>
  <c r="A16" i="3"/>
  <c r="F3" i="7"/>
  <c r="F2" i="7"/>
  <c r="F5" i="7"/>
  <c r="F4" i="7"/>
  <c r="I16" i="3" l="1"/>
  <c r="K16" i="3" s="1"/>
  <c r="A17" i="3"/>
  <c r="D16" i="3"/>
  <c r="P5" i="3" s="1"/>
  <c r="S19" i="3" s="1"/>
  <c r="E16" i="3"/>
  <c r="J16" i="3" l="1"/>
  <c r="L16" i="3" s="1"/>
  <c r="G16" i="3"/>
  <c r="E4" i="7"/>
  <c r="H16" i="3"/>
  <c r="C17" i="3" s="1"/>
  <c r="D17" i="3" s="1"/>
  <c r="B17" i="3"/>
  <c r="F17" i="3" s="1"/>
  <c r="A18" i="3"/>
  <c r="I17" i="3"/>
  <c r="E17" i="3"/>
  <c r="K17" i="3" l="1"/>
  <c r="J17" i="3"/>
  <c r="E18" i="3"/>
  <c r="B18" i="3"/>
  <c r="F18" i="3" s="1"/>
  <c r="A19" i="3"/>
  <c r="I18" i="3"/>
  <c r="G17" i="3"/>
  <c r="H17" i="3"/>
  <c r="C18" i="3" s="1"/>
  <c r="D18" i="3" s="1"/>
  <c r="L17" i="3" l="1"/>
  <c r="G18" i="3"/>
  <c r="K18" i="3"/>
  <c r="B19" i="3"/>
  <c r="F19" i="3" s="1"/>
  <c r="E19" i="3"/>
  <c r="A20" i="3"/>
  <c r="I19" i="3"/>
  <c r="J18" i="3"/>
  <c r="H18" i="3"/>
  <c r="C19" i="3" s="1"/>
  <c r="L18" i="3" l="1"/>
  <c r="B20" i="3"/>
  <c r="F20" i="3" s="1"/>
  <c r="A21" i="3"/>
  <c r="I20" i="3"/>
  <c r="E20" i="3"/>
  <c r="J19" i="3"/>
  <c r="K19" i="3"/>
  <c r="D19" i="3"/>
  <c r="G19" i="3" s="1"/>
  <c r="L19" i="3" l="1"/>
  <c r="J20" i="3"/>
  <c r="K20" i="3"/>
  <c r="B21" i="3"/>
  <c r="F21" i="3" s="1"/>
  <c r="A22" i="3"/>
  <c r="I21" i="3"/>
  <c r="E21" i="3"/>
  <c r="H19" i="3"/>
  <c r="C20" i="3" s="1"/>
  <c r="D20" i="3" s="1"/>
  <c r="G20" i="3" s="1"/>
  <c r="L20" i="3" l="1"/>
  <c r="A23" i="3"/>
  <c r="I22" i="3"/>
  <c r="E22" i="3"/>
  <c r="B22" i="3"/>
  <c r="F22" i="3" s="1"/>
  <c r="J21" i="3"/>
  <c r="K21" i="3"/>
  <c r="H20" i="3"/>
  <c r="C21" i="3" s="1"/>
  <c r="L21" i="3" l="1"/>
  <c r="K22" i="3"/>
  <c r="J22" i="3"/>
  <c r="A24" i="3"/>
  <c r="I23" i="3"/>
  <c r="E23" i="3"/>
  <c r="B23" i="3"/>
  <c r="F23" i="3" s="1"/>
  <c r="D21" i="3"/>
  <c r="G21" i="3" s="1"/>
  <c r="K23" i="3" l="1"/>
  <c r="J23" i="3"/>
  <c r="A25" i="3"/>
  <c r="I24" i="3"/>
  <c r="E24" i="3"/>
  <c r="B24" i="3"/>
  <c r="F24" i="3" s="1"/>
  <c r="L22" i="3"/>
  <c r="H21" i="3"/>
  <c r="C22" i="3" s="1"/>
  <c r="A26" i="3" l="1"/>
  <c r="I25" i="3"/>
  <c r="B25" i="3"/>
  <c r="F25" i="3" s="1"/>
  <c r="K24" i="3"/>
  <c r="J24" i="3"/>
  <c r="L23" i="3"/>
  <c r="D22" i="3"/>
  <c r="G22" i="3" s="1"/>
  <c r="K25" i="3" l="1"/>
  <c r="L24" i="3"/>
  <c r="A27" i="3"/>
  <c r="I26" i="3"/>
  <c r="B26" i="3"/>
  <c r="F26" i="3" s="1"/>
  <c r="H22" i="3"/>
  <c r="C23" i="3" s="1"/>
  <c r="D23" i="3" s="1"/>
  <c r="G23" i="3" s="1"/>
  <c r="K26" i="3" l="1"/>
  <c r="A28" i="3"/>
  <c r="I27" i="3"/>
  <c r="B27" i="3"/>
  <c r="F27" i="3" s="1"/>
  <c r="H23" i="3"/>
  <c r="C24" i="3" s="1"/>
  <c r="D24" i="3" s="1"/>
  <c r="G24" i="3" s="1"/>
  <c r="K27" i="3" l="1"/>
  <c r="A29" i="3"/>
  <c r="I28" i="3"/>
  <c r="B28" i="3"/>
  <c r="F28" i="3" s="1"/>
  <c r="E28" i="3"/>
  <c r="H24" i="3"/>
  <c r="C25" i="3" l="1"/>
  <c r="D25" i="3" s="1"/>
  <c r="E25" i="3" s="1"/>
  <c r="J25" i="3" s="1"/>
  <c r="L25" i="3" s="1"/>
  <c r="K28" i="3"/>
  <c r="J28" i="3"/>
  <c r="B29" i="3"/>
  <c r="F29" i="3" s="1"/>
  <c r="A30" i="3"/>
  <c r="I29" i="3"/>
  <c r="E29" i="3"/>
  <c r="L28" i="3" l="1"/>
  <c r="G25" i="3"/>
  <c r="J29" i="3"/>
  <c r="I30" i="3"/>
  <c r="A31" i="3"/>
  <c r="E30" i="3"/>
  <c r="B30" i="3"/>
  <c r="F30" i="3" s="1"/>
  <c r="K29" i="3"/>
  <c r="H25" i="3"/>
  <c r="K30" i="3" l="1"/>
  <c r="C26" i="3"/>
  <c r="D26" i="3" s="1"/>
  <c r="E26" i="3" s="1"/>
  <c r="J26" i="3" s="1"/>
  <c r="L26" i="3" s="1"/>
  <c r="L29" i="3"/>
  <c r="J30" i="3"/>
  <c r="A32" i="3"/>
  <c r="B31" i="3"/>
  <c r="F31" i="3" s="1"/>
  <c r="E31" i="3"/>
  <c r="I31" i="3"/>
  <c r="L30" i="3" l="1"/>
  <c r="H26" i="3"/>
  <c r="C27" i="3" s="1"/>
  <c r="D27" i="3" s="1"/>
  <c r="E27" i="3" s="1"/>
  <c r="J31" i="3"/>
  <c r="B32" i="3"/>
  <c r="F32" i="3" s="1"/>
  <c r="I32" i="3"/>
  <c r="A33" i="3"/>
  <c r="E32" i="3"/>
  <c r="K31" i="3"/>
  <c r="G26" i="3"/>
  <c r="J32" i="3" l="1"/>
  <c r="I33" i="3"/>
  <c r="A34" i="3"/>
  <c r="E33" i="3"/>
  <c r="B33" i="3"/>
  <c r="F33" i="3" s="1"/>
  <c r="K32" i="3"/>
  <c r="L31" i="3"/>
  <c r="G27" i="3"/>
  <c r="J27" i="3"/>
  <c r="H27" i="3"/>
  <c r="C28" i="3" s="1"/>
  <c r="D28" i="3" l="1"/>
  <c r="G28" i="3" s="1"/>
  <c r="K33" i="3"/>
  <c r="J33" i="3"/>
  <c r="I34" i="3"/>
  <c r="A35" i="3"/>
  <c r="E34" i="3"/>
  <c r="B34" i="3"/>
  <c r="F34" i="3" s="1"/>
  <c r="K34" i="3" s="1"/>
  <c r="L32" i="3"/>
  <c r="L27" i="3"/>
  <c r="H28" i="3" l="1"/>
  <c r="C29" i="3" s="1"/>
  <c r="D29" i="3" s="1"/>
  <c r="G29" i="3" s="1"/>
  <c r="L33" i="3"/>
  <c r="J34" i="3"/>
  <c r="L34" i="3" s="1"/>
  <c r="I35" i="3"/>
  <c r="A36" i="3"/>
  <c r="B35" i="3"/>
  <c r="F35" i="3" s="1"/>
  <c r="E35" i="3"/>
  <c r="H29" i="3" l="1"/>
  <c r="C30" i="3" s="1"/>
  <c r="D30" i="3" s="1"/>
  <c r="G30" i="3" s="1"/>
  <c r="K35" i="3"/>
  <c r="J35" i="3"/>
  <c r="I36" i="3"/>
  <c r="A37" i="3"/>
  <c r="B36" i="3"/>
  <c r="F36" i="3" s="1"/>
  <c r="E36" i="3"/>
  <c r="K36" i="3" l="1"/>
  <c r="H30" i="3"/>
  <c r="C31" i="3" s="1"/>
  <c r="D31" i="3"/>
  <c r="G31" i="3" s="1"/>
  <c r="L35" i="3"/>
  <c r="I37" i="3"/>
  <c r="A38" i="3"/>
  <c r="B37" i="3"/>
  <c r="F37" i="3" s="1"/>
  <c r="J36" i="3"/>
  <c r="L36" i="3" l="1"/>
  <c r="H31" i="3"/>
  <c r="C32" i="3" s="1"/>
  <c r="D32" i="3"/>
  <c r="G32" i="3" s="1"/>
  <c r="K37" i="3"/>
  <c r="I38" i="3"/>
  <c r="B38" i="3"/>
  <c r="F38" i="3" s="1"/>
  <c r="A39" i="3"/>
  <c r="H32" i="3" l="1"/>
  <c r="C33" i="3" s="1"/>
  <c r="A40" i="3"/>
  <c r="B39" i="3"/>
  <c r="F39" i="3" s="1"/>
  <c r="I39" i="3"/>
  <c r="K38" i="3"/>
  <c r="D33" i="3" l="1"/>
  <c r="G33" i="3" s="1"/>
  <c r="K39" i="3"/>
  <c r="B40" i="3"/>
  <c r="F40" i="3" s="1"/>
  <c r="C40" i="3"/>
  <c r="E40" i="3"/>
  <c r="A41" i="3"/>
  <c r="I40" i="3"/>
  <c r="D40" i="3"/>
  <c r="H33" i="3" l="1"/>
  <c r="C34" i="3" s="1"/>
  <c r="D34" i="3" s="1"/>
  <c r="G34" i="3" s="1"/>
  <c r="A42" i="3"/>
  <c r="E41" i="3"/>
  <c r="D41" i="3"/>
  <c r="B41" i="3"/>
  <c r="F41" i="3" s="1"/>
  <c r="C41" i="3"/>
  <c r="I41" i="3"/>
  <c r="G40" i="3"/>
  <c r="J40" i="3"/>
  <c r="K40" i="3"/>
  <c r="H40" i="3"/>
  <c r="H34" i="3" l="1"/>
  <c r="C35" i="3" s="1"/>
  <c r="D35" i="3" s="1"/>
  <c r="G35" i="3" s="1"/>
  <c r="H41" i="3"/>
  <c r="L40" i="3"/>
  <c r="K41" i="3"/>
  <c r="G41" i="3"/>
  <c r="J41" i="3"/>
  <c r="I42" i="3"/>
  <c r="E42" i="3"/>
  <c r="C42" i="3"/>
  <c r="D42" i="3"/>
  <c r="A43" i="3"/>
  <c r="B42" i="3"/>
  <c r="F42" i="3" s="1"/>
  <c r="H35" i="3" l="1"/>
  <c r="C36" i="3" s="1"/>
  <c r="D36" i="3" s="1"/>
  <c r="G36" i="3" s="1"/>
  <c r="K42" i="3"/>
  <c r="G42" i="3"/>
  <c r="J42" i="3"/>
  <c r="E43" i="3"/>
  <c r="C43" i="3"/>
  <c r="I43" i="3"/>
  <c r="A44" i="3"/>
  <c r="B43" i="3"/>
  <c r="F43" i="3" s="1"/>
  <c r="D43" i="3"/>
  <c r="L41" i="3"/>
  <c r="H42" i="3"/>
  <c r="H36" i="3" l="1"/>
  <c r="K43" i="3"/>
  <c r="L42" i="3"/>
  <c r="H43" i="3"/>
  <c r="I44" i="3"/>
  <c r="A45" i="3"/>
  <c r="E44" i="3"/>
  <c r="C44" i="3"/>
  <c r="B44" i="3"/>
  <c r="F44" i="3" s="1"/>
  <c r="D44" i="3"/>
  <c r="G43" i="3"/>
  <c r="J43" i="3"/>
  <c r="L43" i="3" s="1"/>
  <c r="C37" i="3" l="1"/>
  <c r="D37" i="3" s="1"/>
  <c r="E37" i="3"/>
  <c r="J37" i="3" s="1"/>
  <c r="L37" i="3" s="1"/>
  <c r="H37" i="3"/>
  <c r="H44" i="3"/>
  <c r="J44" i="3"/>
  <c r="G44" i="3"/>
  <c r="I45" i="3"/>
  <c r="A46" i="3"/>
  <c r="E45" i="3"/>
  <c r="B45" i="3"/>
  <c r="F45" i="3" s="1"/>
  <c r="C45" i="3"/>
  <c r="D45" i="3"/>
  <c r="K44" i="3"/>
  <c r="G37" i="3" l="1"/>
  <c r="C38" i="3"/>
  <c r="D38" i="3" s="1"/>
  <c r="E38" i="3"/>
  <c r="J38" i="3" s="1"/>
  <c r="L38" i="3" s="1"/>
  <c r="H38" i="3"/>
  <c r="H45" i="3"/>
  <c r="C39" i="3"/>
  <c r="K45" i="3"/>
  <c r="G45" i="3"/>
  <c r="J45" i="3"/>
  <c r="I46" i="3"/>
  <c r="A47" i="3"/>
  <c r="E46" i="3"/>
  <c r="C46" i="3"/>
  <c r="D46" i="3"/>
  <c r="B46" i="3"/>
  <c r="F46" i="3" s="1"/>
  <c r="L44" i="3"/>
  <c r="G38" i="3" l="1"/>
  <c r="D39" i="3"/>
  <c r="E39" i="3" s="1"/>
  <c r="H39" i="3" s="1"/>
  <c r="L45" i="3"/>
  <c r="I47" i="3"/>
  <c r="A48" i="3"/>
  <c r="D47" i="3"/>
  <c r="E47" i="3"/>
  <c r="C47" i="3"/>
  <c r="B47" i="3"/>
  <c r="F47" i="3" s="1"/>
  <c r="K46" i="3"/>
  <c r="H46" i="3"/>
  <c r="J46" i="3"/>
  <c r="G46" i="3"/>
  <c r="J39" i="3" l="1"/>
  <c r="L39" i="3" s="1"/>
  <c r="G39" i="3"/>
  <c r="K47" i="3"/>
  <c r="H47" i="3"/>
  <c r="L46" i="3"/>
  <c r="J47" i="3"/>
  <c r="G47" i="3"/>
  <c r="I48" i="3"/>
  <c r="C48" i="3"/>
  <c r="E48" i="3"/>
  <c r="B48" i="3"/>
  <c r="F48" i="3" s="1"/>
  <c r="A49" i="3"/>
  <c r="D48" i="3"/>
  <c r="L47" i="3" l="1"/>
  <c r="I49" i="3"/>
  <c r="A50" i="3"/>
  <c r="C49" i="3"/>
  <c r="E49" i="3"/>
  <c r="B49" i="3"/>
  <c r="F49" i="3" s="1"/>
  <c r="D49" i="3"/>
  <c r="K48" i="3"/>
  <c r="J48" i="3"/>
  <c r="G48" i="3"/>
  <c r="H48" i="3"/>
  <c r="K49" i="3" l="1"/>
  <c r="L48" i="3"/>
  <c r="G49" i="3"/>
  <c r="J49" i="3"/>
  <c r="H49" i="3"/>
  <c r="I50" i="3"/>
  <c r="A51" i="3"/>
  <c r="C50" i="3"/>
  <c r="D50" i="3"/>
  <c r="E50" i="3"/>
  <c r="B50" i="3"/>
  <c r="F50" i="3" s="1"/>
  <c r="K50" i="3" l="1"/>
  <c r="L49" i="3"/>
  <c r="J50" i="3"/>
  <c r="G50" i="3"/>
  <c r="H50" i="3"/>
  <c r="I51" i="3"/>
  <c r="A52" i="3"/>
  <c r="C51" i="3"/>
  <c r="D51" i="3"/>
  <c r="B51" i="3"/>
  <c r="F51" i="3" s="1"/>
  <c r="K51" i="3" s="1"/>
  <c r="E51" i="3"/>
  <c r="L50" i="3" l="1"/>
  <c r="J51" i="3"/>
  <c r="L51" i="3" s="1"/>
  <c r="G51" i="3"/>
  <c r="H51" i="3"/>
  <c r="I52" i="3"/>
  <c r="A53" i="3"/>
  <c r="C52" i="3"/>
  <c r="D52" i="3"/>
  <c r="B52" i="3"/>
  <c r="F52" i="3" s="1"/>
  <c r="E52" i="3"/>
  <c r="K52" i="3" l="1"/>
  <c r="G52" i="3"/>
  <c r="J52" i="3"/>
  <c r="I53" i="3"/>
  <c r="D53" i="3"/>
  <c r="B53" i="3"/>
  <c r="F53" i="3" s="1"/>
  <c r="A54" i="3"/>
  <c r="E53" i="3"/>
  <c r="C53" i="3"/>
  <c r="H52" i="3"/>
  <c r="L52" i="3" l="1"/>
  <c r="H53" i="3"/>
  <c r="J53" i="3"/>
  <c r="G53" i="3"/>
  <c r="I54" i="3"/>
  <c r="A55" i="3"/>
  <c r="E54" i="3"/>
  <c r="B54" i="3"/>
  <c r="F54" i="3" s="1"/>
  <c r="D54" i="3"/>
  <c r="C54" i="3"/>
  <c r="K53" i="3"/>
  <c r="H54" i="3" l="1"/>
  <c r="K54" i="3"/>
  <c r="L53" i="3"/>
  <c r="G54" i="3"/>
  <c r="J54" i="3"/>
  <c r="I55" i="3"/>
  <c r="D55" i="3"/>
  <c r="E55" i="3"/>
  <c r="C55" i="3"/>
  <c r="A56" i="3"/>
  <c r="B55" i="3"/>
  <c r="F55" i="3" s="1"/>
  <c r="K55" i="3" s="1"/>
  <c r="H55" i="3" l="1"/>
  <c r="L54" i="3"/>
  <c r="I56" i="3"/>
  <c r="A57" i="3"/>
  <c r="B56" i="3"/>
  <c r="F56" i="3" s="1"/>
  <c r="C56" i="3"/>
  <c r="D56" i="3"/>
  <c r="E56" i="3"/>
  <c r="G55" i="3"/>
  <c r="J55" i="3"/>
  <c r="L55" i="3" s="1"/>
  <c r="K56" i="3" l="1"/>
  <c r="I57" i="3"/>
  <c r="A58" i="3"/>
  <c r="B57" i="3"/>
  <c r="F57" i="3" s="1"/>
  <c r="E57" i="3"/>
  <c r="D57" i="3"/>
  <c r="C57" i="3"/>
  <c r="G56" i="3"/>
  <c r="J56" i="3"/>
  <c r="H56" i="3"/>
  <c r="L56" i="3" l="1"/>
  <c r="K57" i="3"/>
  <c r="H57" i="3"/>
  <c r="J57" i="3"/>
  <c r="G57" i="3"/>
  <c r="B58" i="3"/>
  <c r="F58" i="3" s="1"/>
  <c r="E58" i="3"/>
  <c r="D58" i="3"/>
  <c r="C58" i="3"/>
  <c r="I58" i="3"/>
  <c r="A59" i="3"/>
  <c r="L57" i="3" l="1"/>
  <c r="K58" i="3"/>
  <c r="H58" i="3"/>
  <c r="A60" i="3"/>
  <c r="D59" i="3"/>
  <c r="E59" i="3"/>
  <c r="B59" i="3"/>
  <c r="F59" i="3" s="1"/>
  <c r="C59" i="3"/>
  <c r="I59" i="3"/>
  <c r="J58" i="3"/>
  <c r="G58" i="3"/>
  <c r="L58" i="3" l="1"/>
  <c r="C60" i="3"/>
  <c r="B60" i="3"/>
  <c r="F60" i="3" s="1"/>
  <c r="D60" i="3"/>
  <c r="E60" i="3"/>
  <c r="I60" i="3"/>
  <c r="A61" i="3"/>
  <c r="H59" i="3"/>
  <c r="K59" i="3"/>
  <c r="J59" i="3"/>
  <c r="G59" i="3"/>
  <c r="K60" i="3" l="1"/>
  <c r="J60" i="3"/>
  <c r="G60" i="3"/>
  <c r="L59" i="3"/>
  <c r="I61" i="3"/>
  <c r="A62" i="3"/>
  <c r="B61" i="3"/>
  <c r="F61" i="3" s="1"/>
  <c r="D61" i="3"/>
  <c r="E61" i="3"/>
  <c r="C61" i="3"/>
  <c r="H60" i="3"/>
  <c r="H61" i="3" l="1"/>
  <c r="L60" i="3"/>
  <c r="C62" i="3"/>
  <c r="E62" i="3"/>
  <c r="B62" i="3"/>
  <c r="F62" i="3" s="1"/>
  <c r="D62" i="3"/>
  <c r="I62" i="3"/>
  <c r="A63" i="3"/>
  <c r="G61" i="3"/>
  <c r="J61" i="3"/>
  <c r="K61" i="3"/>
  <c r="L61" i="3" l="1"/>
  <c r="K62" i="3"/>
  <c r="I63" i="3"/>
  <c r="D63" i="3"/>
  <c r="A64" i="3"/>
  <c r="C63" i="3"/>
  <c r="E63" i="3"/>
  <c r="B63" i="3"/>
  <c r="F63" i="3" s="1"/>
  <c r="J62" i="3"/>
  <c r="G62" i="3"/>
  <c r="H62" i="3"/>
  <c r="L62" i="3" l="1"/>
  <c r="H63" i="3"/>
  <c r="K63" i="3"/>
  <c r="C64" i="3"/>
  <c r="D64" i="3"/>
  <c r="B64" i="3"/>
  <c r="F64" i="3" s="1"/>
  <c r="E64" i="3"/>
  <c r="A65" i="3"/>
  <c r="I64" i="3"/>
  <c r="G63" i="3"/>
  <c r="J63" i="3"/>
  <c r="K64" i="3" l="1"/>
  <c r="L63" i="3"/>
  <c r="H64" i="3"/>
  <c r="B65" i="3"/>
  <c r="F65" i="3" s="1"/>
  <c r="E65" i="3"/>
  <c r="C65" i="3"/>
  <c r="D65" i="3"/>
  <c r="I65" i="3"/>
  <c r="G64" i="3"/>
  <c r="J64" i="3"/>
  <c r="L64" i="3" l="1"/>
  <c r="H65" i="3"/>
  <c r="G65" i="3"/>
  <c r="J65" i="3"/>
  <c r="F3" i="3" s="1"/>
  <c r="F6" i="3"/>
  <c r="K65" i="3"/>
  <c r="G6" i="3"/>
  <c r="F9" i="3" l="1"/>
  <c r="H6" i="3"/>
  <c r="L65" i="3"/>
  <c r="H3" i="3" s="1"/>
  <c r="G3" i="3"/>
  <c r="G9" i="3" s="1"/>
  <c r="K6" i="3" l="1"/>
  <c r="P3" i="3"/>
  <c r="S17" i="3" s="1"/>
  <c r="H9" i="3"/>
  <c r="P6" i="3" l="1"/>
  <c r="S20" i="3" s="1"/>
  <c r="E5" i="7" s="1"/>
  <c r="E2" i="7"/>
</calcChain>
</file>

<file path=xl/sharedStrings.xml><?xml version="1.0" encoding="utf-8"?>
<sst xmlns="http://schemas.openxmlformats.org/spreadsheetml/2006/main" count="272" uniqueCount="62">
  <si>
    <t>LN-1001</t>
  </si>
  <si>
    <t>PostingDate</t>
  </si>
  <si>
    <t>ExpectedCF</t>
  </si>
  <si>
    <t>Month</t>
  </si>
  <si>
    <t>OpeningBalance</t>
  </si>
  <si>
    <t>InterestAccrued</t>
  </si>
  <si>
    <t>ContractualCF</t>
  </si>
  <si>
    <t>ClosingBalance</t>
  </si>
  <si>
    <t>DF</t>
  </si>
  <si>
    <t>PV_CCF</t>
  </si>
  <si>
    <t>PV_ECF</t>
  </si>
  <si>
    <t>Impairment</t>
  </si>
  <si>
    <t>Amount</t>
  </si>
  <si>
    <t>INTEREST_ACCRUAL</t>
  </si>
  <si>
    <t>EffectiveDate</t>
  </si>
  <si>
    <t>Instrumentid</t>
  </si>
  <si>
    <t>AttributeId</t>
  </si>
  <si>
    <t>NoteRate</t>
  </si>
  <si>
    <t>Term</t>
  </si>
  <si>
    <t>Origination Date</t>
  </si>
  <si>
    <t>Monthly Rate</t>
  </si>
  <si>
    <t>PMT</t>
  </si>
  <si>
    <t>Loan Detail</t>
  </si>
  <si>
    <t>Present Value Contractual CF</t>
  </si>
  <si>
    <t>Present Value Expected CF</t>
  </si>
  <si>
    <t xml:space="preserve">Impairment </t>
  </si>
  <si>
    <t>NPV CCF</t>
  </si>
  <si>
    <t>NPV ECF</t>
  </si>
  <si>
    <t>Difference</t>
  </si>
  <si>
    <t>ImpairmentType</t>
  </si>
  <si>
    <t>CF</t>
  </si>
  <si>
    <t>InstrumentId</t>
  </si>
  <si>
    <t>Attributeid</t>
  </si>
  <si>
    <t>StartDate</t>
  </si>
  <si>
    <t>First Month</t>
  </si>
  <si>
    <t>Attribute_OriginationDate_Current</t>
  </si>
  <si>
    <t>Attribute_LoanAmount_Current</t>
  </si>
  <si>
    <t>Attribute_Term_Current</t>
  </si>
  <si>
    <t>Attribute_NoteRate_Current</t>
  </si>
  <si>
    <t>Balances_UPB_EndingBalance</t>
  </si>
  <si>
    <t>Balances_Impairment_EndingBalance</t>
  </si>
  <si>
    <t>UPB</t>
  </si>
  <si>
    <t>Transactions</t>
  </si>
  <si>
    <t>TransactionDate</t>
  </si>
  <si>
    <t>Transactiontype</t>
  </si>
  <si>
    <t>AttributeID</t>
  </si>
  <si>
    <t>ALL Transactions</t>
  </si>
  <si>
    <t>ORIGINATION_PRINCIPAL</t>
  </si>
  <si>
    <t>TransactionName</t>
  </si>
  <si>
    <t>IMPAIRMENT_GAIN</t>
  </si>
  <si>
    <t>IMPAIRMENT_LOSS</t>
  </si>
  <si>
    <t>ECF</t>
  </si>
  <si>
    <t>EOD</t>
  </si>
  <si>
    <t>PrincipalPayment</t>
  </si>
  <si>
    <t>Interest Payment</t>
  </si>
  <si>
    <t>Principal Payment</t>
  </si>
  <si>
    <t>Prior Impairment</t>
  </si>
  <si>
    <t>Net Impaiment</t>
  </si>
  <si>
    <t>Origination  Amount</t>
  </si>
  <si>
    <t>Balances_EndingBalance_UPB</t>
  </si>
  <si>
    <t>Balances_EndingBalance_impairment</t>
  </si>
  <si>
    <t>MeasurementType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</si>
</sst>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0.00_);[Red]\(0.00\)"/>
    <numFmt numFmtId="165" formatCode="0.000000_);[Red]\(0.000000\)"/>
    <numFmt numFmtId="166" formatCode="0.000"/>
    <numFmt numFmtId="167" formatCode="0.00000000"/>
    <numFmt numFmtId="168" formatCode="&quot;$&quot;#,##0.0000_);[Red]\(&quot;$&quot;#,##0.0000\)"/>
    <numFmt numFmtId="169" formatCode="&quot;$&quot;#,##0.00000_);[Red]\(&quot;$&quot;#,##0.000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67" fontId="0" fillId="0" borderId="0" xfId="0" applyNumberFormat="1"/>
    <xf numFmtId="8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8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8" fontId="0" fillId="0" borderId="0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5" borderId="0" xfId="0" applyFill="1"/>
    <xf numFmtId="166" fontId="0" fillId="0" borderId="1" xfId="0" applyNumberFormat="1" applyBorder="1" applyAlignment="1">
      <alignment horizontal="center"/>
    </xf>
    <xf numFmtId="0" fontId="5" fillId="7" borderId="5" xfId="1" applyFont="1" applyFill="1" applyBorder="1"/>
    <xf numFmtId="1" fontId="0" fillId="0" borderId="0" xfId="0" applyNumberFormat="1"/>
    <xf numFmtId="0" fontId="1" fillId="5" borderId="0" xfId="0" applyFont="1" applyFill="1"/>
    <xf numFmtId="2" fontId="0" fillId="0" borderId="0" xfId="0" applyNumberFormat="1"/>
    <xf numFmtId="168" fontId="0" fillId="0" borderId="1" xfId="0" applyNumberFormat="1" applyBorder="1"/>
    <xf numFmtId="169" fontId="0" fillId="0" borderId="0" xfId="0" applyNumberFormat="1"/>
    <xf numFmtId="14" fontId="0" fillId="0" borderId="0" xfId="1" applyNumberFormat="1" applyFont="1"/>
    <xf numFmtId="0" fontId="0" fillId="0" borderId="0" xfId="1" applyFont="1"/>
    <xf numFmtId="0" fontId="0" fillId="0" borderId="0" xfId="1" applyFont="1" applyFill="1"/>
    <xf numFmtId="0" fontId="1" fillId="4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Normal" xfId="0" builtinId="0"/>
    <cellStyle name="Normal 2" xfId="1" xr:uid="{3C1093D9-7BC2-4707-883E-0268A44B95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13"/>
  <sheetViews>
    <sheetView tabSelected="1" workbookViewId="0">
      <selection activeCell="E4" sqref="E4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1.28515625" bestFit="1" customWidth="1"/>
  </cols>
  <sheetData>
    <row r="1" spans="1:7" x14ac:dyDescent="0.25">
      <c r="A1" s="3" t="s">
        <v>1</v>
      </c>
      <c r="B1" s="3" t="s">
        <v>14</v>
      </c>
      <c r="C1" s="3" t="s">
        <v>31</v>
      </c>
      <c r="D1" s="3" t="s">
        <v>32</v>
      </c>
      <c r="E1" s="26" t="s">
        <v>61</v>
      </c>
      <c r="F1" s="26" t="s">
        <v>33</v>
      </c>
      <c r="G1" s="26" t="s">
        <v>2</v>
      </c>
    </row>
    <row r="2" spans="1:7" x14ac:dyDescent="0.25">
      <c r="A2" s="1"/>
      <c r="B2" s="1"/>
      <c r="F2" s="1"/>
    </row>
    <row r="3" spans="1:7" x14ac:dyDescent="0.25">
      <c r="A3" s="1"/>
      <c r="B3" s="1"/>
      <c r="F3" s="1"/>
    </row>
    <row r="4" spans="1:7" x14ac:dyDescent="0.25">
      <c r="A4" s="1"/>
      <c r="B4" s="1"/>
      <c r="F4" s="1"/>
    </row>
    <row r="5" spans="1:7" x14ac:dyDescent="0.25">
      <c r="A5" s="1"/>
      <c r="B5" s="1"/>
      <c r="F5" s="1"/>
    </row>
    <row r="6" spans="1:7" x14ac:dyDescent="0.25">
      <c r="A6" s="1"/>
      <c r="B6" s="1"/>
      <c r="F6" s="1"/>
    </row>
    <row r="7" spans="1:7" x14ac:dyDescent="0.25">
      <c r="A7" s="1"/>
      <c r="B7" s="1"/>
      <c r="F7" s="1"/>
    </row>
    <row r="8" spans="1:7" x14ac:dyDescent="0.25">
      <c r="A8" s="1"/>
      <c r="B8" s="1"/>
      <c r="F8" s="1"/>
    </row>
    <row r="9" spans="1:7" x14ac:dyDescent="0.25">
      <c r="A9" s="1"/>
      <c r="B9" s="1"/>
      <c r="F9" s="1"/>
    </row>
    <row r="10" spans="1:7" x14ac:dyDescent="0.25">
      <c r="A10" s="1"/>
      <c r="B10" s="1"/>
      <c r="F10" s="1"/>
    </row>
    <row r="11" spans="1:7" x14ac:dyDescent="0.25">
      <c r="A11" s="1"/>
      <c r="B11" s="1"/>
      <c r="F11" s="1"/>
    </row>
    <row r="12" spans="1:7" x14ac:dyDescent="0.25">
      <c r="A12" s="1"/>
      <c r="B12" s="1"/>
      <c r="F12" s="1"/>
    </row>
    <row r="13" spans="1:7" x14ac:dyDescent="0.25">
      <c r="A13" s="1"/>
      <c r="B13" s="1"/>
      <c r="F1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84E3-CF82-4EEA-9C61-A5CAFBC68AF7}">
  <sheetPr>
    <tabColor rgb="FFFFFF00"/>
  </sheetPr>
  <dimension ref="A1:J2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2.7109375" bestFit="1" customWidth="1"/>
    <col min="6" max="6" width="32.7109375" customWidth="1"/>
    <col min="7" max="7" width="22.85546875" bestFit="1" customWidth="1"/>
    <col min="8" max="8" width="26.85546875" bestFit="1" customWidth="1"/>
    <col min="9" max="9" width="27.7109375" bestFit="1" customWidth="1"/>
  </cols>
  <sheetData>
    <row r="1" spans="1:10" x14ac:dyDescent="0.25">
      <c r="A1" s="3" t="s">
        <v>1</v>
      </c>
      <c r="B1" s="3" t="s">
        <v>14</v>
      </c>
      <c r="C1" s="3" t="s">
        <v>15</v>
      </c>
      <c r="D1" s="3" t="s">
        <v>16</v>
      </c>
      <c r="E1" s="22" t="s">
        <v>35</v>
      </c>
      <c r="F1" s="22" t="s">
        <v>36</v>
      </c>
      <c r="G1" s="22" t="s">
        <v>37</v>
      </c>
      <c r="H1" s="22" t="s">
        <v>38</v>
      </c>
      <c r="I1" s="22" t="s">
        <v>59</v>
      </c>
      <c r="J1" s="22" t="s">
        <v>60</v>
      </c>
    </row>
    <row r="2" spans="1:10" x14ac:dyDescent="0.25">
      <c r="A2" s="1"/>
      <c r="B2" s="1"/>
      <c r="C2" s="31"/>
      <c r="D2" s="31"/>
      <c r="E2" s="30"/>
      <c r="F2" s="31"/>
      <c r="G2" s="31"/>
      <c r="H2" s="32"/>
      <c r="I2" s="32"/>
      <c r="J2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T65"/>
  <sheetViews>
    <sheetView workbookViewId="0">
      <selection activeCell="C10" sqref="C10"/>
    </sheetView>
  </sheetViews>
  <sheetFormatPr defaultRowHeight="15" x14ac:dyDescent="0.25"/>
  <cols>
    <col min="1" max="1" width="7.7109375" bestFit="1" customWidth="1"/>
    <col min="2" max="2" width="15.7109375" bestFit="1" customWidth="1"/>
    <col min="3" max="3" width="17" bestFit="1" customWidth="1"/>
    <col min="4" max="4" width="16.7109375" bestFit="1" customWidth="1"/>
    <col min="5" max="5" width="14.7109375" bestFit="1" customWidth="1"/>
    <col min="6" max="6" width="27.140625" bestFit="1" customWidth="1"/>
    <col min="7" max="7" width="25" bestFit="1" customWidth="1"/>
    <col min="8" max="8" width="15.5703125" bestFit="1" customWidth="1"/>
    <col min="9" max="9" width="9.28515625" bestFit="1" customWidth="1"/>
    <col min="10" max="10" width="8.28515625" bestFit="1" customWidth="1"/>
    <col min="11" max="11" width="23.28515625" bestFit="1" customWidth="1"/>
    <col min="12" max="12" width="12.42578125" bestFit="1" customWidth="1"/>
    <col min="14" max="14" width="10.85546875" bestFit="1" customWidth="1"/>
    <col min="15" max="15" width="25.140625" bestFit="1" customWidth="1"/>
    <col min="16" max="16" width="15.42578125" bestFit="1" customWidth="1"/>
    <col min="17" max="17" width="12.5703125" bestFit="1" customWidth="1"/>
    <col min="18" max="18" width="25.140625" bestFit="1" customWidth="1"/>
    <col min="19" max="19" width="12.85546875" bestFit="1" customWidth="1"/>
    <col min="20" max="20" width="10.85546875" bestFit="1" customWidth="1"/>
  </cols>
  <sheetData>
    <row r="1" spans="1:20" ht="15.75" thickBot="1" x14ac:dyDescent="0.3"/>
    <row r="2" spans="1:20" x14ac:dyDescent="0.25">
      <c r="B2" s="33" t="s">
        <v>22</v>
      </c>
      <c r="C2" s="33"/>
      <c r="F2" s="17" t="s">
        <v>23</v>
      </c>
      <c r="G2" s="17" t="s">
        <v>24</v>
      </c>
      <c r="H2" s="17" t="s">
        <v>25</v>
      </c>
      <c r="K2" s="17" t="s">
        <v>56</v>
      </c>
      <c r="O2" s="37" t="s">
        <v>46</v>
      </c>
      <c r="P2" s="38"/>
    </row>
    <row r="3" spans="1:20" x14ac:dyDescent="0.25">
      <c r="B3" s="11" t="s">
        <v>41</v>
      </c>
      <c r="C3" s="14">
        <f>IF(C6=C7,EOD!F2,EOD!I2)</f>
        <v>0</v>
      </c>
      <c r="F3" s="13">
        <f>SUM(J16:J65)</f>
        <v>0</v>
      </c>
      <c r="G3" s="13">
        <f>SUM(K16:K65)</f>
        <v>0</v>
      </c>
      <c r="H3" s="13">
        <f>SUM(L16:L65)</f>
        <v>0</v>
      </c>
      <c r="K3" s="13">
        <f>EOD!J2</f>
        <v>0</v>
      </c>
      <c r="O3" s="7" t="s">
        <v>49</v>
      </c>
      <c r="P3" s="13">
        <f>IF(H3&gt;0,H3,0)</f>
        <v>0</v>
      </c>
    </row>
    <row r="4" spans="1:20" x14ac:dyDescent="0.25">
      <c r="B4" s="11" t="s">
        <v>58</v>
      </c>
      <c r="C4" s="14">
        <f>EOD!F2</f>
        <v>0</v>
      </c>
      <c r="O4" s="7" t="s">
        <v>47</v>
      </c>
      <c r="P4" s="13">
        <f>IF(C6=C7,EOD!F2,0)</f>
        <v>0</v>
      </c>
    </row>
    <row r="5" spans="1:20" x14ac:dyDescent="0.25">
      <c r="B5" s="11" t="s">
        <v>18</v>
      </c>
      <c r="C5" s="14">
        <f>EOD!G2</f>
        <v>0</v>
      </c>
      <c r="F5" s="18" t="s">
        <v>26</v>
      </c>
      <c r="G5" s="18" t="s">
        <v>27</v>
      </c>
      <c r="H5" s="18" t="s">
        <v>25</v>
      </c>
      <c r="K5" s="18" t="s">
        <v>57</v>
      </c>
      <c r="O5" s="7" t="s">
        <v>13</v>
      </c>
      <c r="P5" s="13">
        <f>IF(C6=C7,0,D16)</f>
        <v>0</v>
      </c>
    </row>
    <row r="6" spans="1:20" x14ac:dyDescent="0.25">
      <c r="B6" s="11" t="s">
        <v>19</v>
      </c>
      <c r="C6" s="15">
        <f>EOD!E2</f>
        <v>0</v>
      </c>
      <c r="F6" s="13" t="e">
        <f>NPV(C9,E16:E65)</f>
        <v>#NUM!</v>
      </c>
      <c r="G6" s="13">
        <f>NPV(C9,F16:F65)</f>
        <v>0</v>
      </c>
      <c r="H6" s="13" t="e">
        <f>G6-F6</f>
        <v>#NUM!</v>
      </c>
      <c r="K6" s="13">
        <f>H3-K3</f>
        <v>0</v>
      </c>
      <c r="O6" s="7" t="s">
        <v>50</v>
      </c>
      <c r="P6" s="13">
        <f>IF(K6&lt;0,K6,0)</f>
        <v>0</v>
      </c>
    </row>
    <row r="7" spans="1:20" x14ac:dyDescent="0.25">
      <c r="B7" s="11" t="s">
        <v>1</v>
      </c>
      <c r="C7" s="15">
        <f>EOD!A2</f>
        <v>0</v>
      </c>
    </row>
    <row r="8" spans="1:20" x14ac:dyDescent="0.25">
      <c r="B8" s="11" t="s">
        <v>17</v>
      </c>
      <c r="C8" s="14">
        <f>EOD!H2/100</f>
        <v>0</v>
      </c>
      <c r="F8" s="33" t="s">
        <v>28</v>
      </c>
      <c r="G8" s="33"/>
      <c r="H8" s="33"/>
    </row>
    <row r="9" spans="1:20" x14ac:dyDescent="0.25">
      <c r="B9" s="11" t="s">
        <v>20</v>
      </c>
      <c r="C9" s="23">
        <f>C8/12</f>
        <v>0</v>
      </c>
      <c r="F9" s="13" t="e">
        <f>F6-F3</f>
        <v>#NUM!</v>
      </c>
      <c r="G9" s="13">
        <f>G6-G3</f>
        <v>0</v>
      </c>
      <c r="H9" s="13" t="e">
        <f>H6-H3</f>
        <v>#NUM!</v>
      </c>
      <c r="O9" s="5"/>
    </row>
    <row r="10" spans="1:20" x14ac:dyDescent="0.25">
      <c r="B10" s="11" t="s">
        <v>21</v>
      </c>
      <c r="C10" s="16" t="e">
        <f>PMT(C9,C5,-C4)</f>
        <v>#NUM!</v>
      </c>
      <c r="F10" s="19"/>
      <c r="G10" s="19"/>
      <c r="H10" s="19"/>
    </row>
    <row r="11" spans="1:20" x14ac:dyDescent="0.25">
      <c r="B11" s="11" t="s">
        <v>34</v>
      </c>
      <c r="C11" s="21">
        <f>MONTH(C7-C6)</f>
        <v>1</v>
      </c>
      <c r="F11" s="19"/>
      <c r="G11" s="19"/>
      <c r="H11" s="19"/>
    </row>
    <row r="12" spans="1:20" x14ac:dyDescent="0.25">
      <c r="B12" s="11" t="s">
        <v>31</v>
      </c>
      <c r="C12" s="21">
        <f>EOD!C2</f>
        <v>0</v>
      </c>
      <c r="F12" s="19"/>
      <c r="G12" s="19"/>
      <c r="H12" s="19"/>
    </row>
    <row r="13" spans="1:20" x14ac:dyDescent="0.25">
      <c r="B13" s="11" t="s">
        <v>45</v>
      </c>
      <c r="C13" s="21">
        <f>EOD!D2</f>
        <v>0</v>
      </c>
      <c r="F13" s="19"/>
      <c r="G13" s="19"/>
      <c r="H13" s="19"/>
    </row>
    <row r="14" spans="1:20" ht="15.75" thickBot="1" x14ac:dyDescent="0.3"/>
    <row r="15" spans="1:20" ht="16.5" thickBot="1" x14ac:dyDescent="0.3">
      <c r="A15" s="12" t="s">
        <v>3</v>
      </c>
      <c r="B15" s="12" t="s">
        <v>1</v>
      </c>
      <c r="C15" s="12" t="s">
        <v>4</v>
      </c>
      <c r="D15" s="12" t="s">
        <v>5</v>
      </c>
      <c r="E15" s="12" t="s">
        <v>6</v>
      </c>
      <c r="F15" s="12" t="s">
        <v>2</v>
      </c>
      <c r="G15" s="12" t="s">
        <v>53</v>
      </c>
      <c r="H15" s="12" t="s">
        <v>7</v>
      </c>
      <c r="I15" s="12" t="s">
        <v>8</v>
      </c>
      <c r="J15" s="12" t="s">
        <v>9</v>
      </c>
      <c r="K15" s="12" t="s">
        <v>10</v>
      </c>
      <c r="L15" s="12" t="s">
        <v>11</v>
      </c>
      <c r="O15" s="34" t="s">
        <v>42</v>
      </c>
      <c r="P15" s="35"/>
      <c r="Q15" s="35"/>
      <c r="R15" s="35"/>
      <c r="S15" s="35"/>
      <c r="T15" s="36"/>
    </row>
    <row r="16" spans="1:20" x14ac:dyDescent="0.25">
      <c r="A16" s="20">
        <f>C11</f>
        <v>1</v>
      </c>
      <c r="B16" s="8">
        <f>C7</f>
        <v>0</v>
      </c>
      <c r="C16" s="9">
        <f>C3</f>
        <v>0</v>
      </c>
      <c r="D16" s="9">
        <f>IF(A16="","",C16*Calc_InterestAccrualSchedule!$C$9)</f>
        <v>0</v>
      </c>
      <c r="E16" s="9" t="e">
        <f t="shared" ref="E16:E47" si="0">IF(A16="","",IF(A16=$C$5,H15+D16,$C$10))</f>
        <v>#NUM!</v>
      </c>
      <c r="F16" s="9" t="str">
        <f>IFERROR(VLOOKUP(B16,ECF!$F$2:$G$12,2),"")</f>
        <v/>
      </c>
      <c r="G16" s="9" t="str">
        <f>IFERROR(E16-D16,"")</f>
        <v/>
      </c>
      <c r="H16" s="9" t="str">
        <f>IFERROR(C16+D16-E16,"")</f>
        <v/>
      </c>
      <c r="I16" s="10">
        <f>IFERROR(ROUND(1/(1+Calc_InterestAccrualSchedule!$C$9)^A16,5),"")</f>
        <v>1</v>
      </c>
      <c r="J16" s="9" t="str">
        <f>IFERROR(E16*I16,"")</f>
        <v/>
      </c>
      <c r="K16" s="9" t="str">
        <f>IFERROR(F16*I16,"")</f>
        <v/>
      </c>
      <c r="L16" s="9" t="str">
        <f>IFERROR(K16-J16,"")</f>
        <v/>
      </c>
      <c r="O16" s="24" t="s">
        <v>1</v>
      </c>
      <c r="P16" s="24" t="s">
        <v>43</v>
      </c>
      <c r="Q16" s="24" t="s">
        <v>31</v>
      </c>
      <c r="R16" s="24" t="s">
        <v>44</v>
      </c>
      <c r="S16" s="24" t="s">
        <v>12</v>
      </c>
      <c r="T16" s="24" t="s">
        <v>16</v>
      </c>
    </row>
    <row r="17" spans="1:20" x14ac:dyDescent="0.25">
      <c r="A17" s="7" t="str">
        <f t="shared" ref="A17:A48" si="1">IFERROR(IF(A16+1&gt;$C$5,"",A16+1),"")</f>
        <v/>
      </c>
      <c r="B17" s="8" t="str">
        <f>IF(A17="","",EOMONTH(B16,1))</f>
        <v/>
      </c>
      <c r="C17" s="9" t="str">
        <f>IF(A17&lt;&gt;"",H16,"")</f>
        <v/>
      </c>
      <c r="D17" s="9" t="str">
        <f>IF(A17="","",C17*Calc_InterestAccrualSchedule!$C$9)</f>
        <v/>
      </c>
      <c r="E17" s="9" t="str">
        <f t="shared" si="0"/>
        <v/>
      </c>
      <c r="F17" s="9" t="str">
        <f>IFERROR(VLOOKUP(B17,ECF!$F$2:$G$12,2),"")</f>
        <v/>
      </c>
      <c r="G17" s="9" t="str">
        <f t="shared" ref="G17:G65" si="2">IFERROR(E17-D17,"")</f>
        <v/>
      </c>
      <c r="H17" s="9" t="str">
        <f t="shared" ref="H17:H65" si="3">IFERROR(C17+D17-E17,"")</f>
        <v/>
      </c>
      <c r="I17" s="10" t="str">
        <f>IFERROR(ROUND(1/(1+Calc_InterestAccrualSchedule!$C$9)^A17,5),"")</f>
        <v/>
      </c>
      <c r="J17" s="9" t="str">
        <f t="shared" ref="J17:J65" si="4">IFERROR(E17*I17,"")</f>
        <v/>
      </c>
      <c r="K17" s="9" t="str">
        <f t="shared" ref="K17:K65" si="5">IFERROR(F17*I17,"")</f>
        <v/>
      </c>
      <c r="L17" s="9" t="str">
        <f t="shared" ref="L17:L65" si="6">IFERROR(K17-J17,"")</f>
        <v/>
      </c>
      <c r="N17" s="6"/>
      <c r="O17" s="8" t="str">
        <f>IF(C12=0,"",$C$7)</f>
        <v/>
      </c>
      <c r="P17" s="8" t="str">
        <f>O17</f>
        <v/>
      </c>
      <c r="Q17" s="20" t="str">
        <f>IF(C12=0,"",$C$12)</f>
        <v/>
      </c>
      <c r="R17" s="7" t="str">
        <f>IF(C12=0,"",O3)</f>
        <v/>
      </c>
      <c r="S17" s="28" t="str">
        <f>IF(C12=0,"",ROUND(P3,4))</f>
        <v/>
      </c>
      <c r="T17" s="20" t="str">
        <f>IF(C12=0,"",$C$13)</f>
        <v/>
      </c>
    </row>
    <row r="18" spans="1:20" x14ac:dyDescent="0.25">
      <c r="A18" s="7" t="str">
        <f t="shared" si="1"/>
        <v/>
      </c>
      <c r="B18" s="8" t="str">
        <f t="shared" ref="B18:B65" si="7">IF(A18="","",EOMONTH(B17,1))</f>
        <v/>
      </c>
      <c r="C18" s="9" t="str">
        <f t="shared" ref="C18:C65" si="8">IF(A18&lt;&gt;"",H17,"")</f>
        <v/>
      </c>
      <c r="D18" s="9" t="str">
        <f>IF(A18="","",C18*Calc_InterestAccrualSchedule!$C$9)</f>
        <v/>
      </c>
      <c r="E18" s="9" t="str">
        <f t="shared" si="0"/>
        <v/>
      </c>
      <c r="F18" s="9" t="str">
        <f>IFERROR(VLOOKUP(B18,ECF!$F$2:$G$12,2),"")</f>
        <v/>
      </c>
      <c r="G18" s="9" t="str">
        <f t="shared" si="2"/>
        <v/>
      </c>
      <c r="H18" s="9" t="str">
        <f t="shared" si="3"/>
        <v/>
      </c>
      <c r="I18" s="10" t="str">
        <f>IFERROR(ROUND(1/(1+Calc_InterestAccrualSchedule!$C$9)^A18,5),"")</f>
        <v/>
      </c>
      <c r="J18" s="9" t="str">
        <f t="shared" si="4"/>
        <v/>
      </c>
      <c r="K18" s="9" t="str">
        <f t="shared" si="5"/>
        <v/>
      </c>
      <c r="L18" s="9" t="str">
        <f t="shared" si="6"/>
        <v/>
      </c>
      <c r="O18" s="8" t="str">
        <f>IF(C12=0,"",$C$7)</f>
        <v/>
      </c>
      <c r="P18" s="8" t="str">
        <f>O18</f>
        <v/>
      </c>
      <c r="Q18" s="20" t="str">
        <f>IF(C12=0,"",$C$12)</f>
        <v/>
      </c>
      <c r="R18" s="7" t="str">
        <f>IF(C12=0,"",O4)</f>
        <v/>
      </c>
      <c r="S18" s="28" t="str">
        <f>IF(C12=0,"",ROUND(P4,4))</f>
        <v/>
      </c>
      <c r="T18" s="20" t="str">
        <f>IF(C12=0,"",$C$13)</f>
        <v/>
      </c>
    </row>
    <row r="19" spans="1:20" x14ac:dyDescent="0.25">
      <c r="A19" s="7" t="str">
        <f t="shared" si="1"/>
        <v/>
      </c>
      <c r="B19" s="8" t="str">
        <f t="shared" si="7"/>
        <v/>
      </c>
      <c r="C19" s="9" t="str">
        <f t="shared" si="8"/>
        <v/>
      </c>
      <c r="D19" s="9" t="str">
        <f>IF(A19="","",C19*Calc_InterestAccrualSchedule!$C$9)</f>
        <v/>
      </c>
      <c r="E19" s="9" t="str">
        <f t="shared" si="0"/>
        <v/>
      </c>
      <c r="F19" s="9" t="str">
        <f>IFERROR(VLOOKUP(B19,ECF!$F$2:$G$12,2),"")</f>
        <v/>
      </c>
      <c r="G19" s="9" t="str">
        <f t="shared" si="2"/>
        <v/>
      </c>
      <c r="H19" s="9" t="str">
        <f t="shared" si="3"/>
        <v/>
      </c>
      <c r="I19" s="10" t="str">
        <f>IFERROR(ROUND(1/(1+Calc_InterestAccrualSchedule!$C$9)^A19,5),"")</f>
        <v/>
      </c>
      <c r="J19" s="9" t="str">
        <f t="shared" si="4"/>
        <v/>
      </c>
      <c r="K19" s="9" t="str">
        <f t="shared" si="5"/>
        <v/>
      </c>
      <c r="L19" s="9" t="str">
        <f t="shared" si="6"/>
        <v/>
      </c>
      <c r="O19" s="8" t="str">
        <f>IF(C12=0,"",$C$7)</f>
        <v/>
      </c>
      <c r="P19" s="8" t="str">
        <f>O19</f>
        <v/>
      </c>
      <c r="Q19" s="20" t="str">
        <f>IF(C12=0,"",$C$12)</f>
        <v/>
      </c>
      <c r="R19" s="7" t="str">
        <f>IF(C12=0,"",O5)</f>
        <v/>
      </c>
      <c r="S19" s="28" t="str">
        <f>IF(C12=0,"",ROUND(P5,4))</f>
        <v/>
      </c>
      <c r="T19" s="20" t="str">
        <f>IF(C12=0,"",$C$13)</f>
        <v/>
      </c>
    </row>
    <row r="20" spans="1:20" x14ac:dyDescent="0.25">
      <c r="A20" s="7" t="str">
        <f t="shared" si="1"/>
        <v/>
      </c>
      <c r="B20" s="8" t="str">
        <f t="shared" si="7"/>
        <v/>
      </c>
      <c r="C20" s="9" t="str">
        <f t="shared" si="8"/>
        <v/>
      </c>
      <c r="D20" s="9" t="str">
        <f>IF(A20="","",C20*Calc_InterestAccrualSchedule!$C$9)</f>
        <v/>
      </c>
      <c r="E20" s="9" t="str">
        <f t="shared" si="0"/>
        <v/>
      </c>
      <c r="F20" s="9" t="str">
        <f>IFERROR(VLOOKUP(B20,ECF!$F$2:$G$12,2),"")</f>
        <v/>
      </c>
      <c r="G20" s="9" t="str">
        <f t="shared" si="2"/>
        <v/>
      </c>
      <c r="H20" s="9" t="str">
        <f t="shared" si="3"/>
        <v/>
      </c>
      <c r="I20" s="10" t="str">
        <f>IFERROR(ROUND(1/(1+Calc_InterestAccrualSchedule!$C$9)^A20,5),"")</f>
        <v/>
      </c>
      <c r="J20" s="9" t="str">
        <f t="shared" si="4"/>
        <v/>
      </c>
      <c r="K20" s="9" t="str">
        <f t="shared" si="5"/>
        <v/>
      </c>
      <c r="L20" s="9" t="str">
        <f t="shared" si="6"/>
        <v/>
      </c>
      <c r="O20" s="8" t="str">
        <f>IF(C12=0,"",$C$7)</f>
        <v/>
      </c>
      <c r="P20" s="8" t="str">
        <f>O20</f>
        <v/>
      </c>
      <c r="Q20" s="20" t="str">
        <f>IF(C12=0,"",$C$12)</f>
        <v/>
      </c>
      <c r="R20" s="7" t="str">
        <f>IF(C12=0,"",O6)</f>
        <v/>
      </c>
      <c r="S20" s="28" t="str">
        <f>IF(C12=0,"",ROUND(P6,4))</f>
        <v/>
      </c>
      <c r="T20" s="20" t="str">
        <f>IF(C12=0,"",$C$13)</f>
        <v/>
      </c>
    </row>
    <row r="21" spans="1:20" x14ac:dyDescent="0.25">
      <c r="A21" s="7" t="str">
        <f t="shared" si="1"/>
        <v/>
      </c>
      <c r="B21" s="8" t="str">
        <f t="shared" si="7"/>
        <v/>
      </c>
      <c r="C21" s="9" t="str">
        <f t="shared" si="8"/>
        <v/>
      </c>
      <c r="D21" s="9" t="str">
        <f>IF(A21="","",C21*Calc_InterestAccrualSchedule!$C$9)</f>
        <v/>
      </c>
      <c r="E21" s="9" t="str">
        <f t="shared" si="0"/>
        <v/>
      </c>
      <c r="F21" s="9" t="str">
        <f>IFERROR(VLOOKUP(B21,ECF!$F$2:$G$12,2),"")</f>
        <v/>
      </c>
      <c r="G21" s="9" t="str">
        <f t="shared" si="2"/>
        <v/>
      </c>
      <c r="H21" s="9" t="str">
        <f t="shared" si="3"/>
        <v/>
      </c>
      <c r="I21" s="10" t="str">
        <f>IFERROR(ROUND(1/(1+Calc_InterestAccrualSchedule!$C$9)^A21,5),"")</f>
        <v/>
      </c>
      <c r="J21" s="9" t="str">
        <f t="shared" si="4"/>
        <v/>
      </c>
      <c r="K21" s="9" t="str">
        <f t="shared" si="5"/>
        <v/>
      </c>
      <c r="L21" s="9" t="str">
        <f t="shared" si="6"/>
        <v/>
      </c>
      <c r="O21" s="4"/>
    </row>
    <row r="22" spans="1:20" x14ac:dyDescent="0.25">
      <c r="A22" s="7" t="str">
        <f t="shared" si="1"/>
        <v/>
      </c>
      <c r="B22" s="8" t="str">
        <f t="shared" si="7"/>
        <v/>
      </c>
      <c r="C22" s="9" t="str">
        <f t="shared" si="8"/>
        <v/>
      </c>
      <c r="D22" s="9" t="str">
        <f>IF(A22="","",C22*Calc_InterestAccrualSchedule!$C$9)</f>
        <v/>
      </c>
      <c r="E22" s="9" t="str">
        <f t="shared" si="0"/>
        <v/>
      </c>
      <c r="F22" s="9" t="str">
        <f>IFERROR(VLOOKUP(B22,ECF!$F$2:$G$12,2),"")</f>
        <v/>
      </c>
      <c r="G22" s="9" t="str">
        <f t="shared" si="2"/>
        <v/>
      </c>
      <c r="H22" s="9" t="str">
        <f t="shared" si="3"/>
        <v/>
      </c>
      <c r="I22" s="10" t="str">
        <f>IFERROR(ROUND(1/(1+Calc_InterestAccrualSchedule!$C$9)^A22,5),"")</f>
        <v/>
      </c>
      <c r="J22" s="9" t="str">
        <f t="shared" si="4"/>
        <v/>
      </c>
      <c r="K22" s="9" t="str">
        <f t="shared" si="5"/>
        <v/>
      </c>
      <c r="L22" s="9" t="str">
        <f t="shared" si="6"/>
        <v/>
      </c>
      <c r="O22" s="4"/>
    </row>
    <row r="23" spans="1:20" x14ac:dyDescent="0.25">
      <c r="A23" s="7" t="str">
        <f t="shared" si="1"/>
        <v/>
      </c>
      <c r="B23" s="8" t="str">
        <f t="shared" si="7"/>
        <v/>
      </c>
      <c r="C23" s="9" t="str">
        <f t="shared" si="8"/>
        <v/>
      </c>
      <c r="D23" s="9" t="str">
        <f>IF(A23="","",C23*Calc_InterestAccrualSchedule!$C$9)</f>
        <v/>
      </c>
      <c r="E23" s="9" t="str">
        <f t="shared" si="0"/>
        <v/>
      </c>
      <c r="F23" s="9" t="str">
        <f>IFERROR(VLOOKUP(B23,ECF!$F$2:$G$12,2),"")</f>
        <v/>
      </c>
      <c r="G23" s="9" t="str">
        <f t="shared" si="2"/>
        <v/>
      </c>
      <c r="H23" s="9" t="str">
        <f t="shared" si="3"/>
        <v/>
      </c>
      <c r="I23" s="10" t="str">
        <f>IFERROR(ROUND(1/(1+Calc_InterestAccrualSchedule!$C$9)^A23,5),"")</f>
        <v/>
      </c>
      <c r="J23" s="9" t="str">
        <f t="shared" si="4"/>
        <v/>
      </c>
      <c r="K23" s="9" t="str">
        <f t="shared" si="5"/>
        <v/>
      </c>
      <c r="L23" s="9" t="str">
        <f t="shared" si="6"/>
        <v/>
      </c>
      <c r="O23" s="4"/>
    </row>
    <row r="24" spans="1:20" x14ac:dyDescent="0.25">
      <c r="A24" s="7" t="str">
        <f t="shared" si="1"/>
        <v/>
      </c>
      <c r="B24" s="8" t="str">
        <f t="shared" si="7"/>
        <v/>
      </c>
      <c r="C24" s="9" t="str">
        <f t="shared" si="8"/>
        <v/>
      </c>
      <c r="D24" s="9" t="str">
        <f>IF(A24="","",C24*Calc_InterestAccrualSchedule!$C$9)</f>
        <v/>
      </c>
      <c r="E24" s="9" t="str">
        <f t="shared" si="0"/>
        <v/>
      </c>
      <c r="F24" s="9" t="str">
        <f>IFERROR(VLOOKUP(B24,ECF!$F$2:$G$12,2),"")</f>
        <v/>
      </c>
      <c r="G24" s="9" t="str">
        <f t="shared" si="2"/>
        <v/>
      </c>
      <c r="H24" s="9" t="str">
        <f t="shared" si="3"/>
        <v/>
      </c>
      <c r="I24" s="10" t="str">
        <f>IFERROR(ROUND(1/(1+Calc_InterestAccrualSchedule!$C$9)^A24,5),"")</f>
        <v/>
      </c>
      <c r="J24" s="9" t="str">
        <f t="shared" si="4"/>
        <v/>
      </c>
      <c r="K24" s="9" t="str">
        <f t="shared" si="5"/>
        <v/>
      </c>
      <c r="L24" s="9" t="str">
        <f t="shared" si="6"/>
        <v/>
      </c>
      <c r="O24" s="4"/>
    </row>
    <row r="25" spans="1:20" x14ac:dyDescent="0.25">
      <c r="A25" s="7" t="str">
        <f t="shared" si="1"/>
        <v/>
      </c>
      <c r="B25" s="8" t="str">
        <f t="shared" si="7"/>
        <v/>
      </c>
      <c r="C25" s="9" t="str">
        <f t="shared" si="8"/>
        <v/>
      </c>
      <c r="D25" s="9" t="str">
        <f>IF(A25="","",C25*Calc_InterestAccrualSchedule!$C$9)</f>
        <v/>
      </c>
      <c r="E25" s="9" t="str">
        <f t="shared" si="0"/>
        <v/>
      </c>
      <c r="F25" s="9" t="str">
        <f>IFERROR(VLOOKUP(B25,ECF!$F$2:$G$12,2),"")</f>
        <v/>
      </c>
      <c r="G25" s="9" t="str">
        <f t="shared" si="2"/>
        <v/>
      </c>
      <c r="H25" s="9" t="str">
        <f t="shared" si="3"/>
        <v/>
      </c>
      <c r="I25" s="10" t="str">
        <f>IFERROR(ROUND(1/(1+Calc_InterestAccrualSchedule!$C$9)^A25,5),"")</f>
        <v/>
      </c>
      <c r="J25" s="9" t="str">
        <f t="shared" si="4"/>
        <v/>
      </c>
      <c r="K25" s="9" t="str">
        <f t="shared" si="5"/>
        <v/>
      </c>
      <c r="L25" s="9" t="str">
        <f t="shared" si="6"/>
        <v/>
      </c>
      <c r="O25" s="4"/>
    </row>
    <row r="26" spans="1:20" x14ac:dyDescent="0.25">
      <c r="A26" s="7" t="str">
        <f t="shared" si="1"/>
        <v/>
      </c>
      <c r="B26" s="8" t="str">
        <f t="shared" si="7"/>
        <v/>
      </c>
      <c r="C26" s="9" t="str">
        <f t="shared" si="8"/>
        <v/>
      </c>
      <c r="D26" s="9" t="str">
        <f>IF(A26="","",C26*Calc_InterestAccrualSchedule!$C$9)</f>
        <v/>
      </c>
      <c r="E26" s="9" t="str">
        <f t="shared" si="0"/>
        <v/>
      </c>
      <c r="F26" s="9" t="str">
        <f>IFERROR(VLOOKUP(B26,ECF!$F$2:$G$12,2),"")</f>
        <v/>
      </c>
      <c r="G26" s="9" t="str">
        <f t="shared" si="2"/>
        <v/>
      </c>
      <c r="H26" s="9" t="str">
        <f t="shared" si="3"/>
        <v/>
      </c>
      <c r="I26" s="10" t="str">
        <f>IFERROR(ROUND(1/(1+Calc_InterestAccrualSchedule!$C$9)^A26,5),"")</f>
        <v/>
      </c>
      <c r="J26" s="9" t="str">
        <f t="shared" si="4"/>
        <v/>
      </c>
      <c r="K26" s="9" t="str">
        <f t="shared" si="5"/>
        <v/>
      </c>
      <c r="L26" s="9" t="str">
        <f t="shared" si="6"/>
        <v/>
      </c>
      <c r="O26" s="4"/>
    </row>
    <row r="27" spans="1:20" x14ac:dyDescent="0.25">
      <c r="A27" s="7" t="str">
        <f t="shared" si="1"/>
        <v/>
      </c>
      <c r="B27" s="8" t="str">
        <f t="shared" si="7"/>
        <v/>
      </c>
      <c r="C27" s="9" t="str">
        <f t="shared" si="8"/>
        <v/>
      </c>
      <c r="D27" s="9" t="str">
        <f>IF(A27="","",C27*Calc_InterestAccrualSchedule!$C$9)</f>
        <v/>
      </c>
      <c r="E27" s="9" t="str">
        <f t="shared" si="0"/>
        <v/>
      </c>
      <c r="F27" s="9" t="str">
        <f>IFERROR(VLOOKUP(B27,ECF!$F$2:$G$12,2),"")</f>
        <v/>
      </c>
      <c r="G27" s="9" t="str">
        <f t="shared" si="2"/>
        <v/>
      </c>
      <c r="H27" s="9" t="str">
        <f t="shared" si="3"/>
        <v/>
      </c>
      <c r="I27" s="10" t="str">
        <f>IFERROR(ROUND(1/(1+Calc_InterestAccrualSchedule!$C$9)^A27,5),"")</f>
        <v/>
      </c>
      <c r="J27" s="9" t="str">
        <f t="shared" si="4"/>
        <v/>
      </c>
      <c r="K27" s="9" t="str">
        <f t="shared" si="5"/>
        <v/>
      </c>
      <c r="L27" s="9" t="str">
        <f t="shared" si="6"/>
        <v/>
      </c>
      <c r="O27" s="4"/>
    </row>
    <row r="28" spans="1:20" x14ac:dyDescent="0.25">
      <c r="A28" s="7" t="str">
        <f t="shared" si="1"/>
        <v/>
      </c>
      <c r="B28" s="8" t="str">
        <f t="shared" si="7"/>
        <v/>
      </c>
      <c r="C28" s="9" t="str">
        <f t="shared" si="8"/>
        <v/>
      </c>
      <c r="D28" s="9" t="str">
        <f>IF(A28="","",C28*Calc_InterestAccrualSchedule!$C$9)</f>
        <v/>
      </c>
      <c r="E28" s="9" t="str">
        <f t="shared" si="0"/>
        <v/>
      </c>
      <c r="F28" s="9" t="str">
        <f>IFERROR(VLOOKUP(B28,ECF!$F$2:$G$12,2),"")</f>
        <v/>
      </c>
      <c r="G28" s="9" t="str">
        <f t="shared" si="2"/>
        <v/>
      </c>
      <c r="H28" s="9" t="str">
        <f t="shared" si="3"/>
        <v/>
      </c>
      <c r="I28" s="10" t="str">
        <f>IFERROR(ROUND(1/(1+Calc_InterestAccrualSchedule!$C$9)^A28,5),"")</f>
        <v/>
      </c>
      <c r="J28" s="9" t="str">
        <f t="shared" si="4"/>
        <v/>
      </c>
      <c r="K28" s="9" t="str">
        <f t="shared" si="5"/>
        <v/>
      </c>
      <c r="L28" s="9" t="str">
        <f t="shared" si="6"/>
        <v/>
      </c>
    </row>
    <row r="29" spans="1:20" x14ac:dyDescent="0.25">
      <c r="A29" s="7" t="str">
        <f t="shared" si="1"/>
        <v/>
      </c>
      <c r="B29" s="8" t="str">
        <f t="shared" si="7"/>
        <v/>
      </c>
      <c r="C29" s="9" t="str">
        <f t="shared" si="8"/>
        <v/>
      </c>
      <c r="D29" s="9" t="str">
        <f>IF(A29="","",C29*Calc_InterestAccrualSchedule!$C$9)</f>
        <v/>
      </c>
      <c r="E29" s="9" t="str">
        <f t="shared" si="0"/>
        <v/>
      </c>
      <c r="F29" s="9" t="str">
        <f>IFERROR(VLOOKUP(B29,ECF!$F$2:$G$12,2),"")</f>
        <v/>
      </c>
      <c r="G29" s="9" t="str">
        <f t="shared" si="2"/>
        <v/>
      </c>
      <c r="H29" s="9" t="str">
        <f t="shared" si="3"/>
        <v/>
      </c>
      <c r="I29" s="10" t="str">
        <f>IFERROR(ROUND(1/(1+Calc_InterestAccrualSchedule!$C$9)^A29,5),"")</f>
        <v/>
      </c>
      <c r="J29" s="9" t="str">
        <f t="shared" si="4"/>
        <v/>
      </c>
      <c r="K29" s="9" t="str">
        <f t="shared" si="5"/>
        <v/>
      </c>
      <c r="L29" s="9" t="str">
        <f t="shared" si="6"/>
        <v/>
      </c>
    </row>
    <row r="30" spans="1:20" x14ac:dyDescent="0.25">
      <c r="A30" s="7" t="str">
        <f t="shared" si="1"/>
        <v/>
      </c>
      <c r="B30" s="8" t="str">
        <f t="shared" si="7"/>
        <v/>
      </c>
      <c r="C30" s="9" t="str">
        <f t="shared" si="8"/>
        <v/>
      </c>
      <c r="D30" s="9" t="str">
        <f>IF(A30="","",C30*Calc_InterestAccrualSchedule!$C$9)</f>
        <v/>
      </c>
      <c r="E30" s="9" t="str">
        <f t="shared" si="0"/>
        <v/>
      </c>
      <c r="F30" s="9" t="str">
        <f>IFERROR(VLOOKUP(B30,ECF!$F$2:$G$12,2),"")</f>
        <v/>
      </c>
      <c r="G30" s="9" t="str">
        <f t="shared" si="2"/>
        <v/>
      </c>
      <c r="H30" s="9" t="str">
        <f t="shared" si="3"/>
        <v/>
      </c>
      <c r="I30" s="10" t="str">
        <f>IFERROR(ROUND(1/(1+Calc_InterestAccrualSchedule!$C$9)^A30,5),"")</f>
        <v/>
      </c>
      <c r="J30" s="9" t="str">
        <f t="shared" si="4"/>
        <v/>
      </c>
      <c r="K30" s="9" t="str">
        <f t="shared" si="5"/>
        <v/>
      </c>
      <c r="L30" s="9" t="str">
        <f t="shared" si="6"/>
        <v/>
      </c>
    </row>
    <row r="31" spans="1:20" x14ac:dyDescent="0.25">
      <c r="A31" s="7" t="str">
        <f t="shared" si="1"/>
        <v/>
      </c>
      <c r="B31" s="8" t="str">
        <f t="shared" si="7"/>
        <v/>
      </c>
      <c r="C31" s="9" t="str">
        <f t="shared" si="8"/>
        <v/>
      </c>
      <c r="D31" s="9" t="str">
        <f>IF(A31="","",C31*Calc_InterestAccrualSchedule!$C$9)</f>
        <v/>
      </c>
      <c r="E31" s="9" t="str">
        <f t="shared" si="0"/>
        <v/>
      </c>
      <c r="F31" s="9" t="str">
        <f>IFERROR(VLOOKUP(B31,ECF!$F$2:$G$12,2),"")</f>
        <v/>
      </c>
      <c r="G31" s="9" t="str">
        <f t="shared" si="2"/>
        <v/>
      </c>
      <c r="H31" s="9" t="str">
        <f t="shared" si="3"/>
        <v/>
      </c>
      <c r="I31" s="10" t="str">
        <f>IFERROR(ROUND(1/(1+Calc_InterestAccrualSchedule!$C$9)^A31,5),"")</f>
        <v/>
      </c>
      <c r="J31" s="9" t="str">
        <f t="shared" si="4"/>
        <v/>
      </c>
      <c r="K31" s="9" t="str">
        <f t="shared" si="5"/>
        <v/>
      </c>
      <c r="L31" s="9" t="str">
        <f t="shared" si="6"/>
        <v/>
      </c>
    </row>
    <row r="32" spans="1:20" x14ac:dyDescent="0.25">
      <c r="A32" s="7" t="str">
        <f t="shared" si="1"/>
        <v/>
      </c>
      <c r="B32" s="8" t="str">
        <f t="shared" si="7"/>
        <v/>
      </c>
      <c r="C32" s="9" t="str">
        <f t="shared" si="8"/>
        <v/>
      </c>
      <c r="D32" s="9" t="str">
        <f>IF(A32="","",C32*Calc_InterestAccrualSchedule!$C$9)</f>
        <v/>
      </c>
      <c r="E32" s="9" t="str">
        <f t="shared" si="0"/>
        <v/>
      </c>
      <c r="F32" s="9" t="str">
        <f>IFERROR(VLOOKUP(B32,ECF!$F$2:$G$12,2),"")</f>
        <v/>
      </c>
      <c r="G32" s="9" t="str">
        <f t="shared" si="2"/>
        <v/>
      </c>
      <c r="H32" s="9" t="str">
        <f t="shared" si="3"/>
        <v/>
      </c>
      <c r="I32" s="10" t="str">
        <f>IFERROR(ROUND(1/(1+Calc_InterestAccrualSchedule!$C$9)^A32,5),"")</f>
        <v/>
      </c>
      <c r="J32" s="9" t="str">
        <f t="shared" si="4"/>
        <v/>
      </c>
      <c r="K32" s="9" t="str">
        <f t="shared" si="5"/>
        <v/>
      </c>
      <c r="L32" s="9" t="str">
        <f t="shared" si="6"/>
        <v/>
      </c>
    </row>
    <row r="33" spans="1:12" x14ac:dyDescent="0.25">
      <c r="A33" s="7" t="str">
        <f t="shared" si="1"/>
        <v/>
      </c>
      <c r="B33" s="8" t="str">
        <f t="shared" si="7"/>
        <v/>
      </c>
      <c r="C33" s="9" t="str">
        <f t="shared" si="8"/>
        <v/>
      </c>
      <c r="D33" s="9" t="str">
        <f>IF(A33="","",C33*Calc_InterestAccrualSchedule!$C$9)</f>
        <v/>
      </c>
      <c r="E33" s="9" t="str">
        <f t="shared" si="0"/>
        <v/>
      </c>
      <c r="F33" s="9" t="str">
        <f>IFERROR(VLOOKUP(B33,ECF!$F$2:$G$12,2),"")</f>
        <v/>
      </c>
      <c r="G33" s="9" t="str">
        <f t="shared" si="2"/>
        <v/>
      </c>
      <c r="H33" s="9" t="str">
        <f t="shared" si="3"/>
        <v/>
      </c>
      <c r="I33" s="10" t="str">
        <f>IFERROR(ROUND(1/(1+Calc_InterestAccrualSchedule!$C$9)^A33,5),"")</f>
        <v/>
      </c>
      <c r="J33" s="9" t="str">
        <f t="shared" si="4"/>
        <v/>
      </c>
      <c r="K33" s="9" t="str">
        <f t="shared" si="5"/>
        <v/>
      </c>
      <c r="L33" s="9" t="str">
        <f t="shared" si="6"/>
        <v/>
      </c>
    </row>
    <row r="34" spans="1:12" x14ac:dyDescent="0.25">
      <c r="A34" s="7" t="str">
        <f t="shared" si="1"/>
        <v/>
      </c>
      <c r="B34" s="8" t="str">
        <f t="shared" si="7"/>
        <v/>
      </c>
      <c r="C34" s="9" t="str">
        <f t="shared" si="8"/>
        <v/>
      </c>
      <c r="D34" s="9" t="str">
        <f>IF(A34="","",C34*Calc_InterestAccrualSchedule!$C$9)</f>
        <v/>
      </c>
      <c r="E34" s="9" t="str">
        <f t="shared" si="0"/>
        <v/>
      </c>
      <c r="F34" s="9" t="str">
        <f>IFERROR(VLOOKUP(B34,ECF!$F$2:$G$12,2),"")</f>
        <v/>
      </c>
      <c r="G34" s="9" t="str">
        <f t="shared" si="2"/>
        <v/>
      </c>
      <c r="H34" s="9" t="str">
        <f t="shared" si="3"/>
        <v/>
      </c>
      <c r="I34" s="10" t="str">
        <f>IFERROR(ROUND(1/(1+Calc_InterestAccrualSchedule!$C$9)^A34,5),"")</f>
        <v/>
      </c>
      <c r="J34" s="9" t="str">
        <f t="shared" si="4"/>
        <v/>
      </c>
      <c r="K34" s="9" t="str">
        <f t="shared" si="5"/>
        <v/>
      </c>
      <c r="L34" s="9" t="str">
        <f t="shared" si="6"/>
        <v/>
      </c>
    </row>
    <row r="35" spans="1:12" x14ac:dyDescent="0.25">
      <c r="A35" s="7" t="str">
        <f t="shared" si="1"/>
        <v/>
      </c>
      <c r="B35" s="8" t="str">
        <f t="shared" si="7"/>
        <v/>
      </c>
      <c r="C35" s="9" t="str">
        <f t="shared" si="8"/>
        <v/>
      </c>
      <c r="D35" s="9" t="str">
        <f>IF(A35="","",C35*Calc_InterestAccrualSchedule!$C$9)</f>
        <v/>
      </c>
      <c r="E35" s="9" t="str">
        <f t="shared" si="0"/>
        <v/>
      </c>
      <c r="F35" s="9" t="str">
        <f>IFERROR(VLOOKUP(B35,ECF!$F$2:$G$12,2),"")</f>
        <v/>
      </c>
      <c r="G35" s="9" t="str">
        <f t="shared" si="2"/>
        <v/>
      </c>
      <c r="H35" s="9" t="str">
        <f t="shared" si="3"/>
        <v/>
      </c>
      <c r="I35" s="10" t="str">
        <f>IFERROR(ROUND(1/(1+Calc_InterestAccrualSchedule!$C$9)^A35,5),"")</f>
        <v/>
      </c>
      <c r="J35" s="9" t="str">
        <f t="shared" si="4"/>
        <v/>
      </c>
      <c r="K35" s="9" t="str">
        <f t="shared" si="5"/>
        <v/>
      </c>
      <c r="L35" s="9" t="str">
        <f t="shared" si="6"/>
        <v/>
      </c>
    </row>
    <row r="36" spans="1:12" x14ac:dyDescent="0.25">
      <c r="A36" s="7" t="str">
        <f t="shared" si="1"/>
        <v/>
      </c>
      <c r="B36" s="8" t="str">
        <f t="shared" si="7"/>
        <v/>
      </c>
      <c r="C36" s="9" t="str">
        <f t="shared" si="8"/>
        <v/>
      </c>
      <c r="D36" s="9" t="str">
        <f>IF(A36="","",C36*Calc_InterestAccrualSchedule!$C$9)</f>
        <v/>
      </c>
      <c r="E36" s="9" t="str">
        <f t="shared" si="0"/>
        <v/>
      </c>
      <c r="F36" s="9" t="str">
        <f>IFERROR(VLOOKUP(B36,ECF!$F$2:$G$12,2),"")</f>
        <v/>
      </c>
      <c r="G36" s="9" t="str">
        <f t="shared" si="2"/>
        <v/>
      </c>
      <c r="H36" s="9" t="str">
        <f t="shared" si="3"/>
        <v/>
      </c>
      <c r="I36" s="10" t="str">
        <f>IFERROR(ROUND(1/(1+Calc_InterestAccrualSchedule!$C$9)^A36,5),"")</f>
        <v/>
      </c>
      <c r="J36" s="9" t="str">
        <f t="shared" si="4"/>
        <v/>
      </c>
      <c r="K36" s="9" t="str">
        <f t="shared" si="5"/>
        <v/>
      </c>
      <c r="L36" s="9" t="str">
        <f t="shared" si="6"/>
        <v/>
      </c>
    </row>
    <row r="37" spans="1:12" x14ac:dyDescent="0.25">
      <c r="A37" s="7" t="str">
        <f t="shared" si="1"/>
        <v/>
      </c>
      <c r="B37" s="8" t="str">
        <f t="shared" si="7"/>
        <v/>
      </c>
      <c r="C37" s="9" t="str">
        <f t="shared" si="8"/>
        <v/>
      </c>
      <c r="D37" s="9" t="str">
        <f>IF(A37="","",C37*Calc_InterestAccrualSchedule!$C$9)</f>
        <v/>
      </c>
      <c r="E37" s="9" t="str">
        <f t="shared" si="0"/>
        <v/>
      </c>
      <c r="F37" s="9" t="str">
        <f>IFERROR(VLOOKUP(B37,ECF!$F$2:$G$12,2),"")</f>
        <v/>
      </c>
      <c r="G37" s="9" t="str">
        <f t="shared" si="2"/>
        <v/>
      </c>
      <c r="H37" s="9" t="str">
        <f t="shared" si="3"/>
        <v/>
      </c>
      <c r="I37" s="10" t="str">
        <f>IFERROR(ROUND(1/(1+Calc_InterestAccrualSchedule!$C$9)^A37,5),"")</f>
        <v/>
      </c>
      <c r="J37" s="9" t="str">
        <f t="shared" si="4"/>
        <v/>
      </c>
      <c r="K37" s="9" t="str">
        <f t="shared" si="5"/>
        <v/>
      </c>
      <c r="L37" s="9" t="str">
        <f t="shared" si="6"/>
        <v/>
      </c>
    </row>
    <row r="38" spans="1:12" x14ac:dyDescent="0.25">
      <c r="A38" s="7" t="str">
        <f t="shared" si="1"/>
        <v/>
      </c>
      <c r="B38" s="8" t="str">
        <f t="shared" si="7"/>
        <v/>
      </c>
      <c r="C38" s="9" t="str">
        <f t="shared" si="8"/>
        <v/>
      </c>
      <c r="D38" s="9" t="str">
        <f>IF(A38="","",C38*Calc_InterestAccrualSchedule!$C$9)</f>
        <v/>
      </c>
      <c r="E38" s="9" t="str">
        <f t="shared" si="0"/>
        <v/>
      </c>
      <c r="F38" s="9" t="str">
        <f>IFERROR(VLOOKUP(B38,ECF!$F$2:$G$12,2),"")</f>
        <v/>
      </c>
      <c r="G38" s="9" t="str">
        <f t="shared" si="2"/>
        <v/>
      </c>
      <c r="H38" s="9" t="str">
        <f t="shared" si="3"/>
        <v/>
      </c>
      <c r="I38" s="10" t="str">
        <f>IFERROR(ROUND(1/(1+Calc_InterestAccrualSchedule!$C$9)^A38,5),"")</f>
        <v/>
      </c>
      <c r="J38" s="9" t="str">
        <f t="shared" si="4"/>
        <v/>
      </c>
      <c r="K38" s="9" t="str">
        <f t="shared" si="5"/>
        <v/>
      </c>
      <c r="L38" s="9" t="str">
        <f t="shared" si="6"/>
        <v/>
      </c>
    </row>
    <row r="39" spans="1:12" x14ac:dyDescent="0.25">
      <c r="A39" s="7" t="str">
        <f t="shared" si="1"/>
        <v/>
      </c>
      <c r="B39" s="8" t="str">
        <f t="shared" si="7"/>
        <v/>
      </c>
      <c r="C39" s="9" t="str">
        <f t="shared" si="8"/>
        <v/>
      </c>
      <c r="D39" s="9" t="str">
        <f>IF(A39="","",C39*Calc_InterestAccrualSchedule!$C$9)</f>
        <v/>
      </c>
      <c r="E39" s="9" t="str">
        <f t="shared" si="0"/>
        <v/>
      </c>
      <c r="F39" s="9" t="str">
        <f>IFERROR(VLOOKUP(B39,ECF!$F$2:$G$12,2),"")</f>
        <v/>
      </c>
      <c r="G39" s="9" t="str">
        <f t="shared" si="2"/>
        <v/>
      </c>
      <c r="H39" s="9" t="str">
        <f t="shared" si="3"/>
        <v/>
      </c>
      <c r="I39" s="10" t="str">
        <f>IFERROR(ROUND(1/(1+Calc_InterestAccrualSchedule!$C$9)^A39,5),"")</f>
        <v/>
      </c>
      <c r="J39" s="9" t="str">
        <f t="shared" si="4"/>
        <v/>
      </c>
      <c r="K39" s="9" t="str">
        <f t="shared" si="5"/>
        <v/>
      </c>
      <c r="L39" s="9" t="str">
        <f t="shared" si="6"/>
        <v/>
      </c>
    </row>
    <row r="40" spans="1:12" x14ac:dyDescent="0.25">
      <c r="A40" s="7" t="str">
        <f t="shared" si="1"/>
        <v/>
      </c>
      <c r="B40" s="8" t="str">
        <f t="shared" si="7"/>
        <v/>
      </c>
      <c r="C40" s="9" t="str">
        <f t="shared" si="8"/>
        <v/>
      </c>
      <c r="D40" s="9" t="str">
        <f>IF(A40="","",C40*Calc_InterestAccrualSchedule!$C$9)</f>
        <v/>
      </c>
      <c r="E40" s="9" t="str">
        <f t="shared" si="0"/>
        <v/>
      </c>
      <c r="F40" s="9" t="str">
        <f>IFERROR(VLOOKUP(B40,ECF!$F$2:$G$12,2),"")</f>
        <v/>
      </c>
      <c r="G40" s="9" t="str">
        <f t="shared" si="2"/>
        <v/>
      </c>
      <c r="H40" s="9" t="str">
        <f t="shared" si="3"/>
        <v/>
      </c>
      <c r="I40" s="10" t="str">
        <f>IFERROR(ROUND(1/(1+Calc_InterestAccrualSchedule!$C$9)^A40,5),"")</f>
        <v/>
      </c>
      <c r="J40" s="9" t="str">
        <f t="shared" si="4"/>
        <v/>
      </c>
      <c r="K40" s="9" t="str">
        <f t="shared" si="5"/>
        <v/>
      </c>
      <c r="L40" s="9" t="str">
        <f t="shared" si="6"/>
        <v/>
      </c>
    </row>
    <row r="41" spans="1:12" x14ac:dyDescent="0.25">
      <c r="A41" s="7" t="str">
        <f t="shared" si="1"/>
        <v/>
      </c>
      <c r="B41" s="8" t="str">
        <f t="shared" si="7"/>
        <v/>
      </c>
      <c r="C41" s="9" t="str">
        <f t="shared" si="8"/>
        <v/>
      </c>
      <c r="D41" s="9" t="str">
        <f>IF(A41="","",C41*Calc_InterestAccrualSchedule!$C$9)</f>
        <v/>
      </c>
      <c r="E41" s="9" t="str">
        <f t="shared" si="0"/>
        <v/>
      </c>
      <c r="F41" s="9" t="str">
        <f>IFERROR(VLOOKUP(B41,ECF!$F$2:$G$12,2),"")</f>
        <v/>
      </c>
      <c r="G41" s="9" t="str">
        <f t="shared" si="2"/>
        <v/>
      </c>
      <c r="H41" s="9" t="str">
        <f t="shared" si="3"/>
        <v/>
      </c>
      <c r="I41" s="10" t="str">
        <f>IFERROR(ROUND(1/(1+Calc_InterestAccrualSchedule!$C$9)^A41,5),"")</f>
        <v/>
      </c>
      <c r="J41" s="9" t="str">
        <f t="shared" si="4"/>
        <v/>
      </c>
      <c r="K41" s="9" t="str">
        <f t="shared" si="5"/>
        <v/>
      </c>
      <c r="L41" s="9" t="str">
        <f t="shared" si="6"/>
        <v/>
      </c>
    </row>
    <row r="42" spans="1:12" x14ac:dyDescent="0.25">
      <c r="A42" s="7" t="str">
        <f t="shared" si="1"/>
        <v/>
      </c>
      <c r="B42" s="8" t="str">
        <f t="shared" si="7"/>
        <v/>
      </c>
      <c r="C42" s="9" t="str">
        <f t="shared" si="8"/>
        <v/>
      </c>
      <c r="D42" s="9" t="str">
        <f>IF(A42="","",C42*Calc_InterestAccrualSchedule!$C$9)</f>
        <v/>
      </c>
      <c r="E42" s="9" t="str">
        <f t="shared" si="0"/>
        <v/>
      </c>
      <c r="F42" s="9" t="str">
        <f>IFERROR(VLOOKUP(B42,ECF!$F$2:$G$12,2),"")</f>
        <v/>
      </c>
      <c r="G42" s="9" t="str">
        <f t="shared" si="2"/>
        <v/>
      </c>
      <c r="H42" s="9" t="str">
        <f t="shared" si="3"/>
        <v/>
      </c>
      <c r="I42" s="10" t="str">
        <f>IFERROR(ROUND(1/(1+Calc_InterestAccrualSchedule!$C$9)^A42,5),"")</f>
        <v/>
      </c>
      <c r="J42" s="9" t="str">
        <f t="shared" si="4"/>
        <v/>
      </c>
      <c r="K42" s="9" t="str">
        <f t="shared" si="5"/>
        <v/>
      </c>
      <c r="L42" s="9" t="str">
        <f t="shared" si="6"/>
        <v/>
      </c>
    </row>
    <row r="43" spans="1:12" x14ac:dyDescent="0.25">
      <c r="A43" s="7" t="str">
        <f t="shared" si="1"/>
        <v/>
      </c>
      <c r="B43" s="8" t="str">
        <f t="shared" si="7"/>
        <v/>
      </c>
      <c r="C43" s="9" t="str">
        <f t="shared" si="8"/>
        <v/>
      </c>
      <c r="D43" s="9" t="str">
        <f>IF(A43="","",C43*Calc_InterestAccrualSchedule!$C$9)</f>
        <v/>
      </c>
      <c r="E43" s="9" t="str">
        <f t="shared" si="0"/>
        <v/>
      </c>
      <c r="F43" s="9" t="str">
        <f>IFERROR(VLOOKUP(B43,ECF!$F$2:$G$12,2),"")</f>
        <v/>
      </c>
      <c r="G43" s="9" t="str">
        <f t="shared" si="2"/>
        <v/>
      </c>
      <c r="H43" s="9" t="str">
        <f t="shared" si="3"/>
        <v/>
      </c>
      <c r="I43" s="10" t="str">
        <f>IFERROR(ROUND(1/(1+Calc_InterestAccrualSchedule!$C$9)^A43,5),"")</f>
        <v/>
      </c>
      <c r="J43" s="9" t="str">
        <f t="shared" si="4"/>
        <v/>
      </c>
      <c r="K43" s="9" t="str">
        <f t="shared" si="5"/>
        <v/>
      </c>
      <c r="L43" s="9" t="str">
        <f t="shared" si="6"/>
        <v/>
      </c>
    </row>
    <row r="44" spans="1:12" x14ac:dyDescent="0.25">
      <c r="A44" s="7" t="str">
        <f t="shared" si="1"/>
        <v/>
      </c>
      <c r="B44" s="8" t="str">
        <f t="shared" si="7"/>
        <v/>
      </c>
      <c r="C44" s="9" t="str">
        <f t="shared" si="8"/>
        <v/>
      </c>
      <c r="D44" s="9" t="str">
        <f>IF(A44="","",C44*Calc_InterestAccrualSchedule!$C$9)</f>
        <v/>
      </c>
      <c r="E44" s="9" t="str">
        <f t="shared" si="0"/>
        <v/>
      </c>
      <c r="F44" s="9" t="str">
        <f>IFERROR(VLOOKUP(B44,ECF!$F$2:$G$12,2),"")</f>
        <v/>
      </c>
      <c r="G44" s="9" t="str">
        <f t="shared" si="2"/>
        <v/>
      </c>
      <c r="H44" s="9" t="str">
        <f t="shared" si="3"/>
        <v/>
      </c>
      <c r="I44" s="10" t="str">
        <f>IFERROR(ROUND(1/(1+Calc_InterestAccrualSchedule!$C$9)^A44,5),"")</f>
        <v/>
      </c>
      <c r="J44" s="9" t="str">
        <f t="shared" si="4"/>
        <v/>
      </c>
      <c r="K44" s="9" t="str">
        <f t="shared" si="5"/>
        <v/>
      </c>
      <c r="L44" s="9" t="str">
        <f t="shared" si="6"/>
        <v/>
      </c>
    </row>
    <row r="45" spans="1:12" x14ac:dyDescent="0.25">
      <c r="A45" s="7" t="str">
        <f t="shared" si="1"/>
        <v/>
      </c>
      <c r="B45" s="8" t="str">
        <f t="shared" si="7"/>
        <v/>
      </c>
      <c r="C45" s="9" t="str">
        <f t="shared" si="8"/>
        <v/>
      </c>
      <c r="D45" s="9" t="str">
        <f>IF(A45="","",C45*Calc_InterestAccrualSchedule!$C$9)</f>
        <v/>
      </c>
      <c r="E45" s="9" t="str">
        <f t="shared" si="0"/>
        <v/>
      </c>
      <c r="F45" s="9" t="str">
        <f>IFERROR(VLOOKUP(B45,ECF!$F$2:$G$12,2),"")</f>
        <v/>
      </c>
      <c r="G45" s="9" t="str">
        <f t="shared" si="2"/>
        <v/>
      </c>
      <c r="H45" s="9" t="str">
        <f t="shared" si="3"/>
        <v/>
      </c>
      <c r="I45" s="10" t="str">
        <f>IFERROR(ROUND(1/(1+Calc_InterestAccrualSchedule!$C$9)^A45,5),"")</f>
        <v/>
      </c>
      <c r="J45" s="9" t="str">
        <f t="shared" si="4"/>
        <v/>
      </c>
      <c r="K45" s="9" t="str">
        <f t="shared" si="5"/>
        <v/>
      </c>
      <c r="L45" s="9" t="str">
        <f t="shared" si="6"/>
        <v/>
      </c>
    </row>
    <row r="46" spans="1:12" x14ac:dyDescent="0.25">
      <c r="A46" s="7" t="str">
        <f t="shared" si="1"/>
        <v/>
      </c>
      <c r="B46" s="8" t="str">
        <f t="shared" si="7"/>
        <v/>
      </c>
      <c r="C46" s="9" t="str">
        <f t="shared" si="8"/>
        <v/>
      </c>
      <c r="D46" s="9" t="str">
        <f>IF(A46="","",C46*Calc_InterestAccrualSchedule!$C$9)</f>
        <v/>
      </c>
      <c r="E46" s="9" t="str">
        <f t="shared" si="0"/>
        <v/>
      </c>
      <c r="F46" s="9" t="str">
        <f>IFERROR(VLOOKUP(B46,ECF!$F$2:$G$12,2),"")</f>
        <v/>
      </c>
      <c r="G46" s="9" t="str">
        <f t="shared" si="2"/>
        <v/>
      </c>
      <c r="H46" s="9" t="str">
        <f t="shared" si="3"/>
        <v/>
      </c>
      <c r="I46" s="10" t="str">
        <f>IFERROR(ROUND(1/(1+Calc_InterestAccrualSchedule!$C$9)^A46,5),"")</f>
        <v/>
      </c>
      <c r="J46" s="9" t="str">
        <f t="shared" si="4"/>
        <v/>
      </c>
      <c r="K46" s="9" t="str">
        <f t="shared" si="5"/>
        <v/>
      </c>
      <c r="L46" s="9" t="str">
        <f t="shared" si="6"/>
        <v/>
      </c>
    </row>
    <row r="47" spans="1:12" x14ac:dyDescent="0.25">
      <c r="A47" s="7" t="str">
        <f t="shared" si="1"/>
        <v/>
      </c>
      <c r="B47" s="8" t="str">
        <f t="shared" si="7"/>
        <v/>
      </c>
      <c r="C47" s="9" t="str">
        <f t="shared" si="8"/>
        <v/>
      </c>
      <c r="D47" s="9" t="str">
        <f>IF(A47="","",C47*Calc_InterestAccrualSchedule!$C$9)</f>
        <v/>
      </c>
      <c r="E47" s="9" t="str">
        <f t="shared" si="0"/>
        <v/>
      </c>
      <c r="F47" s="9" t="str">
        <f>IFERROR(VLOOKUP(B47,ECF!$F$2:$G$12,2),"")</f>
        <v/>
      </c>
      <c r="G47" s="9" t="str">
        <f t="shared" si="2"/>
        <v/>
      </c>
      <c r="H47" s="9" t="str">
        <f t="shared" si="3"/>
        <v/>
      </c>
      <c r="I47" s="10" t="str">
        <f>IFERROR(ROUND(1/(1+Calc_InterestAccrualSchedule!$C$9)^A47,5),"")</f>
        <v/>
      </c>
      <c r="J47" s="9" t="str">
        <f t="shared" si="4"/>
        <v/>
      </c>
      <c r="K47" s="9" t="str">
        <f t="shared" si="5"/>
        <v/>
      </c>
      <c r="L47" s="9" t="str">
        <f t="shared" si="6"/>
        <v/>
      </c>
    </row>
    <row r="48" spans="1:12" x14ac:dyDescent="0.25">
      <c r="A48" s="7" t="str">
        <f t="shared" si="1"/>
        <v/>
      </c>
      <c r="B48" s="8" t="str">
        <f t="shared" si="7"/>
        <v/>
      </c>
      <c r="C48" s="9" t="str">
        <f t="shared" si="8"/>
        <v/>
      </c>
      <c r="D48" s="9" t="str">
        <f>IF(A48="","",C48*Calc_InterestAccrualSchedule!$C$9)</f>
        <v/>
      </c>
      <c r="E48" s="9" t="str">
        <f t="shared" ref="E48:E65" si="9">IF(A48="","",IF(A48=$C$5,H47+D48,$C$10))</f>
        <v/>
      </c>
      <c r="F48" s="9" t="str">
        <f>IFERROR(VLOOKUP(B48,ECF!$F$2:$G$12,2),"")</f>
        <v/>
      </c>
      <c r="G48" s="9" t="str">
        <f t="shared" si="2"/>
        <v/>
      </c>
      <c r="H48" s="9" t="str">
        <f t="shared" si="3"/>
        <v/>
      </c>
      <c r="I48" s="10" t="str">
        <f>IFERROR(ROUND(1/(1+Calc_InterestAccrualSchedule!$C$9)^A48,5),"")</f>
        <v/>
      </c>
      <c r="J48" s="9" t="str">
        <f t="shared" si="4"/>
        <v/>
      </c>
      <c r="K48" s="9" t="str">
        <f t="shared" si="5"/>
        <v/>
      </c>
      <c r="L48" s="9" t="str">
        <f t="shared" si="6"/>
        <v/>
      </c>
    </row>
    <row r="49" spans="1:12" x14ac:dyDescent="0.25">
      <c r="A49" s="7" t="str">
        <f t="shared" ref="A49:A65" si="10">IFERROR(IF(A48+1&gt;$C$5,"",A48+1),"")</f>
        <v/>
      </c>
      <c r="B49" s="8" t="str">
        <f t="shared" si="7"/>
        <v/>
      </c>
      <c r="C49" s="9" t="str">
        <f t="shared" si="8"/>
        <v/>
      </c>
      <c r="D49" s="9" t="str">
        <f>IF(A49="","",C49*Calc_InterestAccrualSchedule!$C$9)</f>
        <v/>
      </c>
      <c r="E49" s="9" t="str">
        <f t="shared" si="9"/>
        <v/>
      </c>
      <c r="F49" s="9" t="str">
        <f>IFERROR(VLOOKUP(B49,ECF!$F$2:$G$12,2),"")</f>
        <v/>
      </c>
      <c r="G49" s="9" t="str">
        <f t="shared" si="2"/>
        <v/>
      </c>
      <c r="H49" s="9" t="str">
        <f t="shared" si="3"/>
        <v/>
      </c>
      <c r="I49" s="10" t="str">
        <f>IFERROR(ROUND(1/(1+Calc_InterestAccrualSchedule!$C$9)^A49,5),"")</f>
        <v/>
      </c>
      <c r="J49" s="9" t="str">
        <f t="shared" si="4"/>
        <v/>
      </c>
      <c r="K49" s="9" t="str">
        <f t="shared" si="5"/>
        <v/>
      </c>
      <c r="L49" s="9" t="str">
        <f t="shared" si="6"/>
        <v/>
      </c>
    </row>
    <row r="50" spans="1:12" x14ac:dyDescent="0.25">
      <c r="A50" s="7" t="str">
        <f t="shared" si="10"/>
        <v/>
      </c>
      <c r="B50" s="8" t="str">
        <f t="shared" si="7"/>
        <v/>
      </c>
      <c r="C50" s="9" t="str">
        <f t="shared" si="8"/>
        <v/>
      </c>
      <c r="D50" s="9" t="str">
        <f>IF(A50="","",C50*Calc_InterestAccrualSchedule!$C$9)</f>
        <v/>
      </c>
      <c r="E50" s="9" t="str">
        <f t="shared" si="9"/>
        <v/>
      </c>
      <c r="F50" s="9" t="str">
        <f>IFERROR(VLOOKUP(B50,ECF!$F$2:$G$12,2),"")</f>
        <v/>
      </c>
      <c r="G50" s="9" t="str">
        <f t="shared" si="2"/>
        <v/>
      </c>
      <c r="H50" s="9" t="str">
        <f t="shared" si="3"/>
        <v/>
      </c>
      <c r="I50" s="10" t="str">
        <f>IFERROR(ROUND(1/(1+Calc_InterestAccrualSchedule!$C$9)^A50,5),"")</f>
        <v/>
      </c>
      <c r="J50" s="9" t="str">
        <f t="shared" si="4"/>
        <v/>
      </c>
      <c r="K50" s="9" t="str">
        <f t="shared" si="5"/>
        <v/>
      </c>
      <c r="L50" s="9" t="str">
        <f t="shared" si="6"/>
        <v/>
      </c>
    </row>
    <row r="51" spans="1:12" x14ac:dyDescent="0.25">
      <c r="A51" s="7" t="str">
        <f t="shared" si="10"/>
        <v/>
      </c>
      <c r="B51" s="8" t="str">
        <f t="shared" si="7"/>
        <v/>
      </c>
      <c r="C51" s="9" t="str">
        <f t="shared" si="8"/>
        <v/>
      </c>
      <c r="D51" s="9" t="str">
        <f>IF(A51="","",C51*Calc_InterestAccrualSchedule!$C$9)</f>
        <v/>
      </c>
      <c r="E51" s="9" t="str">
        <f t="shared" si="9"/>
        <v/>
      </c>
      <c r="F51" s="9" t="str">
        <f>IFERROR(VLOOKUP(B51,ECF!$F$2:$G$12,2),"")</f>
        <v/>
      </c>
      <c r="G51" s="9" t="str">
        <f t="shared" si="2"/>
        <v/>
      </c>
      <c r="H51" s="9" t="str">
        <f t="shared" si="3"/>
        <v/>
      </c>
      <c r="I51" s="10" t="str">
        <f>IFERROR(ROUND(1/(1+Calc_InterestAccrualSchedule!$C$9)^A51,5),"")</f>
        <v/>
      </c>
      <c r="J51" s="9" t="str">
        <f t="shared" si="4"/>
        <v/>
      </c>
      <c r="K51" s="9" t="str">
        <f t="shared" si="5"/>
        <v/>
      </c>
      <c r="L51" s="9" t="str">
        <f t="shared" si="6"/>
        <v/>
      </c>
    </row>
    <row r="52" spans="1:12" x14ac:dyDescent="0.25">
      <c r="A52" s="7" t="str">
        <f t="shared" si="10"/>
        <v/>
      </c>
      <c r="B52" s="8" t="str">
        <f t="shared" si="7"/>
        <v/>
      </c>
      <c r="C52" s="9" t="str">
        <f t="shared" si="8"/>
        <v/>
      </c>
      <c r="D52" s="9" t="str">
        <f>IF(A52="","",C52*Calc_InterestAccrualSchedule!$C$9)</f>
        <v/>
      </c>
      <c r="E52" s="9" t="str">
        <f t="shared" si="9"/>
        <v/>
      </c>
      <c r="F52" s="9" t="str">
        <f>IFERROR(VLOOKUP(B52,ECF!$F$2:$G$12,2),"")</f>
        <v/>
      </c>
      <c r="G52" s="9" t="str">
        <f t="shared" si="2"/>
        <v/>
      </c>
      <c r="H52" s="9" t="str">
        <f t="shared" si="3"/>
        <v/>
      </c>
      <c r="I52" s="10" t="str">
        <f>IFERROR(ROUND(1/(1+Calc_InterestAccrualSchedule!$C$9)^A52,5),"")</f>
        <v/>
      </c>
      <c r="J52" s="9" t="str">
        <f t="shared" si="4"/>
        <v/>
      </c>
      <c r="K52" s="9" t="str">
        <f t="shared" si="5"/>
        <v/>
      </c>
      <c r="L52" s="9" t="str">
        <f t="shared" si="6"/>
        <v/>
      </c>
    </row>
    <row r="53" spans="1:12" x14ac:dyDescent="0.25">
      <c r="A53" s="7" t="str">
        <f t="shared" si="10"/>
        <v/>
      </c>
      <c r="B53" s="8" t="str">
        <f t="shared" si="7"/>
        <v/>
      </c>
      <c r="C53" s="9" t="str">
        <f t="shared" si="8"/>
        <v/>
      </c>
      <c r="D53" s="9" t="str">
        <f>IF(A53="","",C53*Calc_InterestAccrualSchedule!$C$9)</f>
        <v/>
      </c>
      <c r="E53" s="9" t="str">
        <f t="shared" si="9"/>
        <v/>
      </c>
      <c r="F53" s="9" t="str">
        <f>IFERROR(VLOOKUP(B53,ECF!$F$2:$G$12,2),"")</f>
        <v/>
      </c>
      <c r="G53" s="9" t="str">
        <f t="shared" si="2"/>
        <v/>
      </c>
      <c r="H53" s="9" t="str">
        <f t="shared" si="3"/>
        <v/>
      </c>
      <c r="I53" s="10" t="str">
        <f>IFERROR(ROUND(1/(1+Calc_InterestAccrualSchedule!$C$9)^A53,5),"")</f>
        <v/>
      </c>
      <c r="J53" s="9" t="str">
        <f t="shared" si="4"/>
        <v/>
      </c>
      <c r="K53" s="9" t="str">
        <f t="shared" si="5"/>
        <v/>
      </c>
      <c r="L53" s="9" t="str">
        <f t="shared" si="6"/>
        <v/>
      </c>
    </row>
    <row r="54" spans="1:12" x14ac:dyDescent="0.25">
      <c r="A54" s="7" t="str">
        <f t="shared" si="10"/>
        <v/>
      </c>
      <c r="B54" s="8" t="str">
        <f t="shared" si="7"/>
        <v/>
      </c>
      <c r="C54" s="9" t="str">
        <f t="shared" si="8"/>
        <v/>
      </c>
      <c r="D54" s="9" t="str">
        <f>IF(A54="","",C54*Calc_InterestAccrualSchedule!$C$9)</f>
        <v/>
      </c>
      <c r="E54" s="9" t="str">
        <f t="shared" si="9"/>
        <v/>
      </c>
      <c r="F54" s="9" t="str">
        <f>IFERROR(VLOOKUP(B54,ECF!$F$2:$G$12,2),"")</f>
        <v/>
      </c>
      <c r="G54" s="9" t="str">
        <f t="shared" si="2"/>
        <v/>
      </c>
      <c r="H54" s="9" t="str">
        <f t="shared" si="3"/>
        <v/>
      </c>
      <c r="I54" s="10" t="str">
        <f>IFERROR(ROUND(1/(1+Calc_InterestAccrualSchedule!$C$9)^A54,5),"")</f>
        <v/>
      </c>
      <c r="J54" s="9" t="str">
        <f t="shared" si="4"/>
        <v/>
      </c>
      <c r="K54" s="9" t="str">
        <f t="shared" si="5"/>
        <v/>
      </c>
      <c r="L54" s="9" t="str">
        <f t="shared" si="6"/>
        <v/>
      </c>
    </row>
    <row r="55" spans="1:12" x14ac:dyDescent="0.25">
      <c r="A55" s="7" t="str">
        <f t="shared" si="10"/>
        <v/>
      </c>
      <c r="B55" s="8" t="str">
        <f t="shared" si="7"/>
        <v/>
      </c>
      <c r="C55" s="9" t="str">
        <f t="shared" si="8"/>
        <v/>
      </c>
      <c r="D55" s="9" t="str">
        <f>IF(A55="","",C55*Calc_InterestAccrualSchedule!$C$9)</f>
        <v/>
      </c>
      <c r="E55" s="9" t="str">
        <f t="shared" si="9"/>
        <v/>
      </c>
      <c r="F55" s="9" t="str">
        <f>IFERROR(VLOOKUP(B55,ECF!$F$2:$G$12,2),"")</f>
        <v/>
      </c>
      <c r="G55" s="9" t="str">
        <f t="shared" si="2"/>
        <v/>
      </c>
      <c r="H55" s="9" t="str">
        <f t="shared" si="3"/>
        <v/>
      </c>
      <c r="I55" s="10" t="str">
        <f>IFERROR(ROUND(1/(1+Calc_InterestAccrualSchedule!$C$9)^A55,5),"")</f>
        <v/>
      </c>
      <c r="J55" s="9" t="str">
        <f t="shared" si="4"/>
        <v/>
      </c>
      <c r="K55" s="9" t="str">
        <f t="shared" si="5"/>
        <v/>
      </c>
      <c r="L55" s="9" t="str">
        <f t="shared" si="6"/>
        <v/>
      </c>
    </row>
    <row r="56" spans="1:12" x14ac:dyDescent="0.25">
      <c r="A56" s="7" t="str">
        <f t="shared" si="10"/>
        <v/>
      </c>
      <c r="B56" s="8" t="str">
        <f t="shared" si="7"/>
        <v/>
      </c>
      <c r="C56" s="9" t="str">
        <f t="shared" si="8"/>
        <v/>
      </c>
      <c r="D56" s="9" t="str">
        <f>IF(A56="","",C56*Calc_InterestAccrualSchedule!$C$9)</f>
        <v/>
      </c>
      <c r="E56" s="9" t="str">
        <f t="shared" si="9"/>
        <v/>
      </c>
      <c r="F56" s="9" t="str">
        <f>IFERROR(VLOOKUP(B56,ECF!$F$2:$G$12,2),"")</f>
        <v/>
      </c>
      <c r="G56" s="9" t="str">
        <f t="shared" si="2"/>
        <v/>
      </c>
      <c r="H56" s="9" t="str">
        <f t="shared" si="3"/>
        <v/>
      </c>
      <c r="I56" s="10" t="str">
        <f>IFERROR(ROUND(1/(1+Calc_InterestAccrualSchedule!$C$9)^A56,5),"")</f>
        <v/>
      </c>
      <c r="J56" s="9" t="str">
        <f t="shared" si="4"/>
        <v/>
      </c>
      <c r="K56" s="9" t="str">
        <f t="shared" si="5"/>
        <v/>
      </c>
      <c r="L56" s="9" t="str">
        <f t="shared" si="6"/>
        <v/>
      </c>
    </row>
    <row r="57" spans="1:12" x14ac:dyDescent="0.25">
      <c r="A57" s="7" t="str">
        <f t="shared" si="10"/>
        <v/>
      </c>
      <c r="B57" s="8" t="str">
        <f t="shared" si="7"/>
        <v/>
      </c>
      <c r="C57" s="9" t="str">
        <f t="shared" si="8"/>
        <v/>
      </c>
      <c r="D57" s="9" t="str">
        <f>IF(A57="","",C57*Calc_InterestAccrualSchedule!$C$9)</f>
        <v/>
      </c>
      <c r="E57" s="9" t="str">
        <f t="shared" si="9"/>
        <v/>
      </c>
      <c r="F57" s="9" t="str">
        <f>IFERROR(VLOOKUP(B57,ECF!$F$2:$G$12,2),"")</f>
        <v/>
      </c>
      <c r="G57" s="9" t="str">
        <f t="shared" si="2"/>
        <v/>
      </c>
      <c r="H57" s="9" t="str">
        <f t="shared" si="3"/>
        <v/>
      </c>
      <c r="I57" s="10" t="str">
        <f>IFERROR(ROUND(1/(1+Calc_InterestAccrualSchedule!$C$9)^A57,5),"")</f>
        <v/>
      </c>
      <c r="J57" s="9" t="str">
        <f t="shared" si="4"/>
        <v/>
      </c>
      <c r="K57" s="9" t="str">
        <f t="shared" si="5"/>
        <v/>
      </c>
      <c r="L57" s="9" t="str">
        <f t="shared" si="6"/>
        <v/>
      </c>
    </row>
    <row r="58" spans="1:12" x14ac:dyDescent="0.25">
      <c r="A58" s="7" t="str">
        <f t="shared" si="10"/>
        <v/>
      </c>
      <c r="B58" s="8" t="str">
        <f t="shared" si="7"/>
        <v/>
      </c>
      <c r="C58" s="9" t="str">
        <f t="shared" si="8"/>
        <v/>
      </c>
      <c r="D58" s="9" t="str">
        <f>IF(A58="","",C58*Calc_InterestAccrualSchedule!$C$9)</f>
        <v/>
      </c>
      <c r="E58" s="9" t="str">
        <f t="shared" si="9"/>
        <v/>
      </c>
      <c r="F58" s="9" t="str">
        <f>IFERROR(VLOOKUP(B58,ECF!$F$2:$G$12,2),"")</f>
        <v/>
      </c>
      <c r="G58" s="9" t="str">
        <f t="shared" si="2"/>
        <v/>
      </c>
      <c r="H58" s="9" t="str">
        <f t="shared" si="3"/>
        <v/>
      </c>
      <c r="I58" s="10" t="str">
        <f>IFERROR(ROUND(1/(1+Calc_InterestAccrualSchedule!$C$9)^A58,5),"")</f>
        <v/>
      </c>
      <c r="J58" s="9" t="str">
        <f t="shared" si="4"/>
        <v/>
      </c>
      <c r="K58" s="9" t="str">
        <f t="shared" si="5"/>
        <v/>
      </c>
      <c r="L58" s="9" t="str">
        <f t="shared" si="6"/>
        <v/>
      </c>
    </row>
    <row r="59" spans="1:12" x14ac:dyDescent="0.25">
      <c r="A59" s="7" t="str">
        <f t="shared" si="10"/>
        <v/>
      </c>
      <c r="B59" s="8" t="str">
        <f t="shared" si="7"/>
        <v/>
      </c>
      <c r="C59" s="9" t="str">
        <f t="shared" si="8"/>
        <v/>
      </c>
      <c r="D59" s="9" t="str">
        <f>IF(A59="","",C59*Calc_InterestAccrualSchedule!$C$9)</f>
        <v/>
      </c>
      <c r="E59" s="9" t="str">
        <f t="shared" si="9"/>
        <v/>
      </c>
      <c r="F59" s="9" t="str">
        <f>IFERROR(VLOOKUP(B59,ECF!$F$2:$G$12,2),"")</f>
        <v/>
      </c>
      <c r="G59" s="9" t="str">
        <f t="shared" si="2"/>
        <v/>
      </c>
      <c r="H59" s="9" t="str">
        <f t="shared" si="3"/>
        <v/>
      </c>
      <c r="I59" s="10" t="str">
        <f>IFERROR(ROUND(1/(1+Calc_InterestAccrualSchedule!$C$9)^A59,5),"")</f>
        <v/>
      </c>
      <c r="J59" s="9" t="str">
        <f t="shared" si="4"/>
        <v/>
      </c>
      <c r="K59" s="9" t="str">
        <f t="shared" si="5"/>
        <v/>
      </c>
      <c r="L59" s="9" t="str">
        <f t="shared" si="6"/>
        <v/>
      </c>
    </row>
    <row r="60" spans="1:12" x14ac:dyDescent="0.25">
      <c r="A60" s="7" t="str">
        <f t="shared" si="10"/>
        <v/>
      </c>
      <c r="B60" s="8" t="str">
        <f t="shared" si="7"/>
        <v/>
      </c>
      <c r="C60" s="9" t="str">
        <f t="shared" si="8"/>
        <v/>
      </c>
      <c r="D60" s="9" t="str">
        <f>IF(A60="","",C60*Calc_InterestAccrualSchedule!$C$9)</f>
        <v/>
      </c>
      <c r="E60" s="9" t="str">
        <f t="shared" si="9"/>
        <v/>
      </c>
      <c r="F60" s="9" t="str">
        <f>IFERROR(VLOOKUP(B60,ECF!$F$2:$G$12,2),"")</f>
        <v/>
      </c>
      <c r="G60" s="9" t="str">
        <f t="shared" si="2"/>
        <v/>
      </c>
      <c r="H60" s="9" t="str">
        <f t="shared" si="3"/>
        <v/>
      </c>
      <c r="I60" s="10" t="str">
        <f>IFERROR(ROUND(1/(1+Calc_InterestAccrualSchedule!$C$9)^A60,5),"")</f>
        <v/>
      </c>
      <c r="J60" s="9" t="str">
        <f t="shared" si="4"/>
        <v/>
      </c>
      <c r="K60" s="9" t="str">
        <f t="shared" si="5"/>
        <v/>
      </c>
      <c r="L60" s="9" t="str">
        <f t="shared" si="6"/>
        <v/>
      </c>
    </row>
    <row r="61" spans="1:12" x14ac:dyDescent="0.25">
      <c r="A61" s="7" t="str">
        <f t="shared" si="10"/>
        <v/>
      </c>
      <c r="B61" s="8" t="str">
        <f t="shared" si="7"/>
        <v/>
      </c>
      <c r="C61" s="9" t="str">
        <f t="shared" si="8"/>
        <v/>
      </c>
      <c r="D61" s="9" t="str">
        <f>IF(A61="","",C61*Calc_InterestAccrualSchedule!$C$9)</f>
        <v/>
      </c>
      <c r="E61" s="9" t="str">
        <f t="shared" si="9"/>
        <v/>
      </c>
      <c r="F61" s="9" t="str">
        <f>IFERROR(VLOOKUP(B61,ECF!$F$2:$G$12,2),"")</f>
        <v/>
      </c>
      <c r="G61" s="9" t="str">
        <f t="shared" si="2"/>
        <v/>
      </c>
      <c r="H61" s="9" t="str">
        <f t="shared" si="3"/>
        <v/>
      </c>
      <c r="I61" s="10" t="str">
        <f>IFERROR(ROUND(1/(1+Calc_InterestAccrualSchedule!$C$9)^A61,5),"")</f>
        <v/>
      </c>
      <c r="J61" s="9" t="str">
        <f t="shared" si="4"/>
        <v/>
      </c>
      <c r="K61" s="9" t="str">
        <f t="shared" si="5"/>
        <v/>
      </c>
      <c r="L61" s="9" t="str">
        <f t="shared" si="6"/>
        <v/>
      </c>
    </row>
    <row r="62" spans="1:12" x14ac:dyDescent="0.25">
      <c r="A62" s="7" t="str">
        <f t="shared" si="10"/>
        <v/>
      </c>
      <c r="B62" s="8" t="str">
        <f t="shared" si="7"/>
        <v/>
      </c>
      <c r="C62" s="9" t="str">
        <f t="shared" si="8"/>
        <v/>
      </c>
      <c r="D62" s="9" t="str">
        <f>IF(A62="","",C62*Calc_InterestAccrualSchedule!$C$9)</f>
        <v/>
      </c>
      <c r="E62" s="9" t="str">
        <f t="shared" si="9"/>
        <v/>
      </c>
      <c r="F62" s="9" t="str">
        <f>IFERROR(VLOOKUP(B62,ECF!$F$2:$G$12,2),"")</f>
        <v/>
      </c>
      <c r="G62" s="9" t="str">
        <f t="shared" si="2"/>
        <v/>
      </c>
      <c r="H62" s="9" t="str">
        <f t="shared" si="3"/>
        <v/>
      </c>
      <c r="I62" s="10" t="str">
        <f>IFERROR(ROUND(1/(1+Calc_InterestAccrualSchedule!$C$9)^A62,5),"")</f>
        <v/>
      </c>
      <c r="J62" s="9" t="str">
        <f t="shared" si="4"/>
        <v/>
      </c>
      <c r="K62" s="9" t="str">
        <f t="shared" si="5"/>
        <v/>
      </c>
      <c r="L62" s="9" t="str">
        <f t="shared" si="6"/>
        <v/>
      </c>
    </row>
    <row r="63" spans="1:12" x14ac:dyDescent="0.25">
      <c r="A63" s="7" t="str">
        <f t="shared" si="10"/>
        <v/>
      </c>
      <c r="B63" s="8" t="str">
        <f t="shared" si="7"/>
        <v/>
      </c>
      <c r="C63" s="9" t="str">
        <f t="shared" si="8"/>
        <v/>
      </c>
      <c r="D63" s="9" t="str">
        <f>IF(A63="","",C63*Calc_InterestAccrualSchedule!$C$9)</f>
        <v/>
      </c>
      <c r="E63" s="9" t="str">
        <f t="shared" si="9"/>
        <v/>
      </c>
      <c r="F63" s="9" t="str">
        <f>IFERROR(VLOOKUP(B63,ECF!$F$2:$G$12,2),"")</f>
        <v/>
      </c>
      <c r="G63" s="9" t="str">
        <f t="shared" si="2"/>
        <v/>
      </c>
      <c r="H63" s="9" t="str">
        <f t="shared" si="3"/>
        <v/>
      </c>
      <c r="I63" s="10" t="str">
        <f>IFERROR(ROUND(1/(1+Calc_InterestAccrualSchedule!$C$9)^A63,5),"")</f>
        <v/>
      </c>
      <c r="J63" s="9" t="str">
        <f t="shared" si="4"/>
        <v/>
      </c>
      <c r="K63" s="9" t="str">
        <f t="shared" si="5"/>
        <v/>
      </c>
      <c r="L63" s="9" t="str">
        <f t="shared" si="6"/>
        <v/>
      </c>
    </row>
    <row r="64" spans="1:12" x14ac:dyDescent="0.25">
      <c r="A64" s="7" t="str">
        <f t="shared" si="10"/>
        <v/>
      </c>
      <c r="B64" s="8" t="str">
        <f t="shared" si="7"/>
        <v/>
      </c>
      <c r="C64" s="9" t="str">
        <f t="shared" si="8"/>
        <v/>
      </c>
      <c r="D64" s="9" t="str">
        <f>IF(A64="","",C64*Calc_InterestAccrualSchedule!$C$9)</f>
        <v/>
      </c>
      <c r="E64" s="9" t="str">
        <f t="shared" si="9"/>
        <v/>
      </c>
      <c r="F64" s="9" t="str">
        <f>IFERROR(VLOOKUP(B64,ECF!$F$2:$G$12,2),"")</f>
        <v/>
      </c>
      <c r="G64" s="9" t="str">
        <f t="shared" si="2"/>
        <v/>
      </c>
      <c r="H64" s="9" t="str">
        <f t="shared" si="3"/>
        <v/>
      </c>
      <c r="I64" s="10" t="str">
        <f>IFERROR(ROUND(1/(1+Calc_InterestAccrualSchedule!$C$9)^A64,5),"")</f>
        <v/>
      </c>
      <c r="J64" s="9" t="str">
        <f t="shared" si="4"/>
        <v/>
      </c>
      <c r="K64" s="9" t="str">
        <f t="shared" si="5"/>
        <v/>
      </c>
      <c r="L64" s="9" t="str">
        <f t="shared" si="6"/>
        <v/>
      </c>
    </row>
    <row r="65" spans="1:12" x14ac:dyDescent="0.25">
      <c r="A65" s="7" t="str">
        <f t="shared" si="10"/>
        <v/>
      </c>
      <c r="B65" s="8" t="str">
        <f t="shared" si="7"/>
        <v/>
      </c>
      <c r="C65" s="9" t="str">
        <f t="shared" si="8"/>
        <v/>
      </c>
      <c r="D65" s="9" t="str">
        <f>IF(A65="","",C65*Calc_InterestAccrualSchedule!$C$9)</f>
        <v/>
      </c>
      <c r="E65" s="9" t="str">
        <f t="shared" si="9"/>
        <v/>
      </c>
      <c r="F65" s="9" t="str">
        <f>IFERROR(VLOOKUP(B65,ECF!$F$2:$G$12,2),"")</f>
        <v/>
      </c>
      <c r="G65" s="9" t="str">
        <f t="shared" si="2"/>
        <v/>
      </c>
      <c r="H65" s="9" t="str">
        <f t="shared" si="3"/>
        <v/>
      </c>
      <c r="I65" s="10" t="str">
        <f>IFERROR(ROUND(1/(1+Calc_InterestAccrualSchedule!$C$9)^A65,5),"")</f>
        <v/>
      </c>
      <c r="J65" s="9" t="str">
        <f t="shared" si="4"/>
        <v/>
      </c>
      <c r="K65" s="9" t="str">
        <f t="shared" si="5"/>
        <v/>
      </c>
      <c r="L65" s="9" t="str">
        <f t="shared" si="6"/>
        <v/>
      </c>
    </row>
  </sheetData>
  <mergeCells count="4">
    <mergeCell ref="B2:C2"/>
    <mergeCell ref="F8:H8"/>
    <mergeCell ref="O15:T15"/>
    <mergeCell ref="O2:P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FB40-9B69-4503-AAA9-DF6444831F98}">
  <sheetPr>
    <tabColor rgb="FF92D050"/>
  </sheetPr>
  <dimension ref="A1:F5"/>
  <sheetViews>
    <sheetView workbookViewId="0">
      <selection activeCell="E4" sqref="E4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2.5703125" bestFit="1" customWidth="1"/>
    <col min="4" max="4" width="25.140625" bestFit="1" customWidth="1"/>
    <col min="5" max="5" width="10.5703125" bestFit="1" customWidth="1"/>
    <col min="6" max="6" width="10.85546875" bestFit="1" customWidth="1"/>
  </cols>
  <sheetData>
    <row r="1" spans="1:6" x14ac:dyDescent="0.25">
      <c r="A1" s="24" t="s">
        <v>1</v>
      </c>
      <c r="B1" s="24" t="s">
        <v>43</v>
      </c>
      <c r="C1" s="24" t="s">
        <v>31</v>
      </c>
      <c r="D1" s="24" t="s">
        <v>48</v>
      </c>
      <c r="E1" s="24" t="s">
        <v>12</v>
      </c>
      <c r="F1" s="24" t="s">
        <v>16</v>
      </c>
    </row>
    <row r="2" spans="1:6" x14ac:dyDescent="0.25">
      <c r="A2" s="1" t="str">
        <f>Calc_InterestAccrualSchedule!O17</f>
        <v/>
      </c>
      <c r="B2" s="1" t="str">
        <f>Calc_InterestAccrualSchedule!P17</f>
        <v/>
      </c>
      <c r="C2" s="25" t="str">
        <f>Calc_InterestAccrualSchedule!Q17</f>
        <v/>
      </c>
      <c r="D2" s="25" t="str">
        <f>Calc_InterestAccrualSchedule!R17</f>
        <v/>
      </c>
      <c r="E2" s="6" t="str">
        <f>Calc_InterestAccrualSchedule!S17</f>
        <v/>
      </c>
      <c r="F2" s="25" t="str">
        <f>Calc_InterestAccrualSchedule!T17</f>
        <v/>
      </c>
    </row>
    <row r="3" spans="1:6" x14ac:dyDescent="0.25">
      <c r="A3" s="1" t="str">
        <f>Calc_InterestAccrualSchedule!O18</f>
        <v/>
      </c>
      <c r="B3" s="1" t="str">
        <f>Calc_InterestAccrualSchedule!P18</f>
        <v/>
      </c>
      <c r="C3" s="25" t="str">
        <f>Calc_InterestAccrualSchedule!Q18</f>
        <v/>
      </c>
      <c r="D3" s="25" t="str">
        <f>Calc_InterestAccrualSchedule!R18</f>
        <v/>
      </c>
      <c r="E3" s="6" t="str">
        <f>Calc_InterestAccrualSchedule!S18</f>
        <v/>
      </c>
      <c r="F3" s="25" t="str">
        <f>Calc_InterestAccrualSchedule!T18</f>
        <v/>
      </c>
    </row>
    <row r="4" spans="1:6" x14ac:dyDescent="0.25">
      <c r="A4" s="1" t="str">
        <f>Calc_InterestAccrualSchedule!O19</f>
        <v/>
      </c>
      <c r="B4" s="1" t="str">
        <f>Calc_InterestAccrualSchedule!P19</f>
        <v/>
      </c>
      <c r="C4" s="25" t="str">
        <f>Calc_InterestAccrualSchedule!Q19</f>
        <v/>
      </c>
      <c r="D4" s="25" t="str">
        <f>Calc_InterestAccrualSchedule!R19</f>
        <v/>
      </c>
      <c r="E4" s="6" t="str">
        <f>Calc_InterestAccrualSchedule!S19</f>
        <v/>
      </c>
      <c r="F4" s="25" t="str">
        <f>Calc_InterestAccrualSchedule!T19</f>
        <v/>
      </c>
    </row>
    <row r="5" spans="1:6" x14ac:dyDescent="0.25">
      <c r="A5" s="1" t="str">
        <f>Calc_InterestAccrualSchedule!O20</f>
        <v/>
      </c>
      <c r="B5" s="1" t="str">
        <f>Calc_InterestAccrualSchedule!P20</f>
        <v/>
      </c>
      <c r="C5" s="25" t="str">
        <f>Calc_InterestAccrualSchedule!Q20</f>
        <v/>
      </c>
      <c r="D5" s="25" t="str">
        <f>Calc_InterestAccrualSchedule!R20</f>
        <v/>
      </c>
      <c r="E5" s="6" t="str">
        <f>Calc_InterestAccrualSchedule!S20</f>
        <v/>
      </c>
      <c r="F5" s="25" t="str">
        <f>Calc_InterestAccrualSchedule!T20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5485-D4AD-476F-8F40-01CB1EB1BC0C}">
  <sheetPr>
    <tabColor rgb="FFFFC000"/>
  </sheetPr>
  <dimension ref="A1:AA80"/>
  <sheetViews>
    <sheetView topLeftCell="A27" workbookViewId="0">
      <selection activeCell="H54" sqref="H54"/>
    </sheetView>
  </sheetViews>
  <sheetFormatPr defaultRowHeight="15" x14ac:dyDescent="0.25"/>
  <cols>
    <col min="1" max="2" width="9.7109375" bestFit="1" customWidth="1"/>
    <col min="3" max="3" width="8" bestFit="1" customWidth="1"/>
    <col min="4" max="4" width="18" customWidth="1"/>
    <col min="5" max="5" width="25" customWidth="1"/>
    <col min="6" max="6" width="10.7109375" bestFit="1" customWidth="1"/>
    <col min="7" max="7" width="14.5703125" customWidth="1"/>
    <col min="8" max="8" width="27.28515625" customWidth="1"/>
    <col min="22" max="22" width="24.85546875" customWidth="1"/>
    <col min="23" max="23" width="18.140625" customWidth="1"/>
    <col min="24" max="24" width="12.5703125" bestFit="1" customWidth="1"/>
    <col min="25" max="25" width="23.85546875" bestFit="1" customWidth="1"/>
    <col min="26" max="26" width="12.85546875" bestFit="1" customWidth="1"/>
    <col min="27" max="27" width="10.85546875" bestFit="1" customWidth="1"/>
  </cols>
  <sheetData>
    <row r="1" spans="1:27" ht="21.75" thickBot="1" x14ac:dyDescent="0.4">
      <c r="A1" s="39">
        <v>45688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3" spans="1:27" x14ac:dyDescent="0.25">
      <c r="V3" s="24" t="s">
        <v>1</v>
      </c>
      <c r="W3" s="24" t="s">
        <v>43</v>
      </c>
      <c r="X3" s="24" t="s">
        <v>31</v>
      </c>
      <c r="Y3" s="24" t="s">
        <v>48</v>
      </c>
      <c r="Z3" s="24" t="s">
        <v>12</v>
      </c>
      <c r="AA3" s="24" t="s">
        <v>16</v>
      </c>
    </row>
    <row r="4" spans="1:27" x14ac:dyDescent="0.25">
      <c r="A4" s="2"/>
      <c r="V4" s="1">
        <v>45688</v>
      </c>
      <c r="W4" s="1">
        <v>45688</v>
      </c>
      <c r="X4" s="25" t="s">
        <v>0</v>
      </c>
      <c r="Y4" s="25" t="s">
        <v>49</v>
      </c>
      <c r="Z4" s="6">
        <v>0</v>
      </c>
      <c r="AA4" s="25">
        <v>1</v>
      </c>
    </row>
    <row r="5" spans="1:27" x14ac:dyDescent="0.25">
      <c r="A5" s="1"/>
      <c r="B5" s="1"/>
      <c r="C5" s="1"/>
      <c r="D5" s="1"/>
      <c r="E5" s="1"/>
      <c r="V5" s="1">
        <v>45688</v>
      </c>
      <c r="W5" s="1">
        <v>45688</v>
      </c>
      <c r="X5" s="25" t="s">
        <v>0</v>
      </c>
      <c r="Y5" s="25" t="s">
        <v>47</v>
      </c>
      <c r="Z5" s="6">
        <v>12000</v>
      </c>
      <c r="AA5" s="25">
        <v>1</v>
      </c>
    </row>
    <row r="6" spans="1:27" x14ac:dyDescent="0.25">
      <c r="A6" s="1"/>
      <c r="B6" s="1"/>
      <c r="V6" s="1">
        <v>45688</v>
      </c>
      <c r="W6" s="1">
        <v>45688</v>
      </c>
      <c r="X6" s="25" t="s">
        <v>0</v>
      </c>
      <c r="Y6" s="25" t="s">
        <v>13</v>
      </c>
      <c r="Z6" s="6">
        <v>0</v>
      </c>
      <c r="AA6" s="25">
        <v>1</v>
      </c>
    </row>
    <row r="7" spans="1:27" x14ac:dyDescent="0.25">
      <c r="V7" s="1">
        <v>45688</v>
      </c>
      <c r="W7" s="1">
        <v>45688</v>
      </c>
      <c r="X7" s="25" t="s">
        <v>0</v>
      </c>
      <c r="Y7" s="25" t="s">
        <v>50</v>
      </c>
      <c r="Z7" s="6">
        <v>0</v>
      </c>
      <c r="AA7" s="25">
        <v>1</v>
      </c>
    </row>
    <row r="8" spans="1:27" x14ac:dyDescent="0.25">
      <c r="A8" s="2" t="s">
        <v>51</v>
      </c>
    </row>
    <row r="9" spans="1:27" x14ac:dyDescent="0.25">
      <c r="A9" s="3" t="s">
        <v>1</v>
      </c>
      <c r="B9" s="3" t="s">
        <v>14</v>
      </c>
      <c r="C9" s="3" t="s">
        <v>31</v>
      </c>
      <c r="D9" s="3" t="s">
        <v>32</v>
      </c>
      <c r="E9" s="26" t="s">
        <v>29</v>
      </c>
      <c r="F9" s="26" t="s">
        <v>33</v>
      </c>
      <c r="G9" s="26" t="s">
        <v>2</v>
      </c>
    </row>
    <row r="11" spans="1:27" x14ac:dyDescent="0.25">
      <c r="A11" s="2" t="s">
        <v>52</v>
      </c>
    </row>
    <row r="12" spans="1:27" x14ac:dyDescent="0.25">
      <c r="A12" s="3" t="s">
        <v>1</v>
      </c>
      <c r="B12" s="3" t="s">
        <v>14</v>
      </c>
      <c r="C12" s="3" t="s">
        <v>15</v>
      </c>
      <c r="D12" s="3" t="s">
        <v>16</v>
      </c>
      <c r="E12" s="26" t="s">
        <v>35</v>
      </c>
      <c r="F12" s="26" t="s">
        <v>36</v>
      </c>
      <c r="G12" s="26" t="s">
        <v>37</v>
      </c>
      <c r="H12" s="26" t="s">
        <v>38</v>
      </c>
      <c r="I12" s="26" t="s">
        <v>39</v>
      </c>
      <c r="J12" s="26" t="s">
        <v>40</v>
      </c>
    </row>
    <row r="13" spans="1:27" x14ac:dyDescent="0.25">
      <c r="A13" s="1">
        <v>45688</v>
      </c>
      <c r="B13" s="1">
        <v>45688</v>
      </c>
      <c r="C13" t="s">
        <v>0</v>
      </c>
      <c r="D13">
        <v>1</v>
      </c>
      <c r="E13" s="1">
        <v>45688</v>
      </c>
      <c r="F13" s="27">
        <v>12000</v>
      </c>
      <c r="G13">
        <v>12</v>
      </c>
      <c r="H13">
        <v>6</v>
      </c>
    </row>
    <row r="16" spans="1:27" ht="15.75" thickBot="1" x14ac:dyDescent="0.3"/>
    <row r="17" spans="1:27" ht="21.75" thickBot="1" x14ac:dyDescent="0.4">
      <c r="A17" s="39">
        <v>45716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</row>
    <row r="18" spans="1:27" x14ac:dyDescent="0.25">
      <c r="V18" s="24" t="s">
        <v>1</v>
      </c>
      <c r="W18" s="24" t="s">
        <v>43</v>
      </c>
      <c r="X18" s="24" t="s">
        <v>31</v>
      </c>
      <c r="Y18" s="24" t="s">
        <v>48</v>
      </c>
      <c r="Z18" s="24" t="s">
        <v>12</v>
      </c>
      <c r="AA18" s="24" t="s">
        <v>16</v>
      </c>
    </row>
    <row r="19" spans="1:27" x14ac:dyDescent="0.25">
      <c r="A19" s="2" t="s">
        <v>52</v>
      </c>
      <c r="V19" s="1">
        <v>45716</v>
      </c>
      <c r="W19" s="1">
        <v>45716</v>
      </c>
      <c r="X19" s="25" t="s">
        <v>0</v>
      </c>
      <c r="Y19" s="25" t="s">
        <v>49</v>
      </c>
      <c r="Z19" s="6">
        <v>0</v>
      </c>
      <c r="AA19" s="25">
        <v>1</v>
      </c>
    </row>
    <row r="20" spans="1:27" x14ac:dyDescent="0.25">
      <c r="A20" s="3" t="s">
        <v>1</v>
      </c>
      <c r="B20" s="3" t="s">
        <v>14</v>
      </c>
      <c r="C20" s="3" t="s">
        <v>15</v>
      </c>
      <c r="D20" s="3" t="s">
        <v>16</v>
      </c>
      <c r="E20" s="26" t="s">
        <v>35</v>
      </c>
      <c r="F20" s="26" t="s">
        <v>36</v>
      </c>
      <c r="G20" s="26" t="s">
        <v>37</v>
      </c>
      <c r="H20" s="26" t="s">
        <v>38</v>
      </c>
      <c r="I20" s="26" t="s">
        <v>39</v>
      </c>
      <c r="J20" s="26" t="s">
        <v>40</v>
      </c>
      <c r="V20" s="1">
        <v>45716</v>
      </c>
      <c r="W20" s="1">
        <v>45716</v>
      </c>
      <c r="X20" s="25" t="s">
        <v>0</v>
      </c>
      <c r="Y20" s="25" t="s">
        <v>47</v>
      </c>
      <c r="Z20" s="6">
        <v>0</v>
      </c>
      <c r="AA20" s="25">
        <v>1</v>
      </c>
    </row>
    <row r="21" spans="1:27" x14ac:dyDescent="0.25">
      <c r="A21" s="1">
        <v>45716</v>
      </c>
      <c r="B21" s="1">
        <v>45716</v>
      </c>
      <c r="C21" t="s">
        <v>0</v>
      </c>
      <c r="D21">
        <v>1</v>
      </c>
      <c r="E21" s="1">
        <v>45688</v>
      </c>
      <c r="F21" s="27">
        <v>12000</v>
      </c>
      <c r="G21">
        <v>12</v>
      </c>
      <c r="H21">
        <v>6</v>
      </c>
      <c r="I21">
        <v>12000</v>
      </c>
      <c r="V21" s="1">
        <v>45716</v>
      </c>
      <c r="W21" s="1">
        <v>45716</v>
      </c>
      <c r="X21" s="25" t="s">
        <v>0</v>
      </c>
      <c r="Y21" s="25" t="s">
        <v>13</v>
      </c>
      <c r="Z21" s="6">
        <v>60</v>
      </c>
      <c r="AA21" s="25">
        <v>1</v>
      </c>
    </row>
    <row r="22" spans="1:27" x14ac:dyDescent="0.25">
      <c r="V22" s="1">
        <v>45716</v>
      </c>
      <c r="W22" s="1">
        <v>45716</v>
      </c>
      <c r="X22" s="25" t="s">
        <v>0</v>
      </c>
      <c r="Y22" s="25" t="s">
        <v>50</v>
      </c>
      <c r="Z22" s="6">
        <v>-3065.4514653978877</v>
      </c>
      <c r="AA22" s="25">
        <v>1</v>
      </c>
    </row>
    <row r="23" spans="1:27" x14ac:dyDescent="0.25">
      <c r="A23" s="2" t="s">
        <v>51</v>
      </c>
    </row>
    <row r="24" spans="1:27" x14ac:dyDescent="0.25">
      <c r="A24" s="3" t="s">
        <v>1</v>
      </c>
      <c r="B24" s="3" t="s">
        <v>14</v>
      </c>
      <c r="C24" s="3" t="s">
        <v>31</v>
      </c>
      <c r="D24" s="3" t="s">
        <v>32</v>
      </c>
      <c r="E24" s="26" t="s">
        <v>29</v>
      </c>
      <c r="F24" s="26" t="s">
        <v>33</v>
      </c>
      <c r="G24" s="26" t="s">
        <v>2</v>
      </c>
    </row>
    <row r="25" spans="1:27" x14ac:dyDescent="0.25">
      <c r="A25" s="1">
        <v>45716</v>
      </c>
      <c r="B25" s="1">
        <v>45716</v>
      </c>
      <c r="C25" t="s">
        <v>0</v>
      </c>
      <c r="D25">
        <v>1</v>
      </c>
      <c r="E25" t="s">
        <v>30</v>
      </c>
      <c r="F25" s="1">
        <v>45716</v>
      </c>
      <c r="G25">
        <v>1030</v>
      </c>
    </row>
    <row r="26" spans="1:27" x14ac:dyDescent="0.25">
      <c r="A26" s="1">
        <v>45716</v>
      </c>
      <c r="B26" s="1">
        <v>45716</v>
      </c>
      <c r="C26" t="s">
        <v>0</v>
      </c>
      <c r="D26">
        <v>1</v>
      </c>
      <c r="E26" t="s">
        <v>30</v>
      </c>
      <c r="F26" s="1">
        <v>45747</v>
      </c>
      <c r="G26">
        <v>1030</v>
      </c>
      <c r="Z26" s="6">
        <f>ROUND(Z22,4)</f>
        <v>-3065.4515000000001</v>
      </c>
    </row>
    <row r="27" spans="1:27" x14ac:dyDescent="0.25">
      <c r="A27" s="1">
        <v>45716</v>
      </c>
      <c r="B27" s="1">
        <v>45716</v>
      </c>
      <c r="C27" t="s">
        <v>0</v>
      </c>
      <c r="D27">
        <v>1</v>
      </c>
      <c r="E27" t="s">
        <v>30</v>
      </c>
      <c r="F27" s="1">
        <v>45777</v>
      </c>
      <c r="G27">
        <v>1030</v>
      </c>
    </row>
    <row r="28" spans="1:27" x14ac:dyDescent="0.25">
      <c r="A28" s="1">
        <v>45716</v>
      </c>
      <c r="B28" s="1">
        <v>45716</v>
      </c>
      <c r="C28" t="s">
        <v>0</v>
      </c>
      <c r="D28">
        <v>1</v>
      </c>
      <c r="E28" t="s">
        <v>30</v>
      </c>
      <c r="F28" s="1">
        <v>45808</v>
      </c>
      <c r="G28">
        <v>1030</v>
      </c>
    </row>
    <row r="29" spans="1:27" x14ac:dyDescent="0.25">
      <c r="A29" s="1">
        <v>45716</v>
      </c>
      <c r="B29" s="1">
        <v>45716</v>
      </c>
      <c r="C29" t="s">
        <v>0</v>
      </c>
      <c r="D29">
        <v>1</v>
      </c>
      <c r="E29" t="s">
        <v>30</v>
      </c>
      <c r="F29" s="1">
        <v>45838</v>
      </c>
      <c r="G29">
        <v>1030</v>
      </c>
    </row>
    <row r="30" spans="1:27" x14ac:dyDescent="0.25">
      <c r="A30" s="1">
        <v>45716</v>
      </c>
      <c r="B30" s="1">
        <v>45716</v>
      </c>
      <c r="C30" t="s">
        <v>0</v>
      </c>
      <c r="D30">
        <v>1</v>
      </c>
      <c r="E30" t="s">
        <v>30</v>
      </c>
      <c r="F30" s="1">
        <v>45869</v>
      </c>
      <c r="G30">
        <v>1030</v>
      </c>
    </row>
    <row r="31" spans="1:27" x14ac:dyDescent="0.25">
      <c r="A31" s="1">
        <v>45716</v>
      </c>
      <c r="B31" s="1">
        <v>45716</v>
      </c>
      <c r="C31" t="s">
        <v>0</v>
      </c>
      <c r="D31">
        <v>1</v>
      </c>
      <c r="E31" t="s">
        <v>30</v>
      </c>
      <c r="F31" s="1">
        <v>45900</v>
      </c>
      <c r="G31">
        <v>500</v>
      </c>
    </row>
    <row r="32" spans="1:27" x14ac:dyDescent="0.25">
      <c r="A32" s="1">
        <v>45716</v>
      </c>
      <c r="B32" s="1">
        <v>45716</v>
      </c>
      <c r="C32" t="s">
        <v>0</v>
      </c>
      <c r="D32">
        <v>1</v>
      </c>
      <c r="E32" t="s">
        <v>30</v>
      </c>
      <c r="F32" s="1">
        <v>45930</v>
      </c>
      <c r="G32">
        <v>500</v>
      </c>
    </row>
    <row r="33" spans="1:27" x14ac:dyDescent="0.25">
      <c r="A33" s="1">
        <v>45716</v>
      </c>
      <c r="B33" s="1">
        <v>45716</v>
      </c>
      <c r="C33" t="s">
        <v>0</v>
      </c>
      <c r="D33">
        <v>1</v>
      </c>
      <c r="E33" t="s">
        <v>30</v>
      </c>
      <c r="F33" s="1">
        <v>45961</v>
      </c>
      <c r="G33">
        <v>500</v>
      </c>
    </row>
    <row r="34" spans="1:27" x14ac:dyDescent="0.25">
      <c r="A34" s="1">
        <v>45716</v>
      </c>
      <c r="B34" s="1">
        <v>45716</v>
      </c>
      <c r="C34" t="s">
        <v>0</v>
      </c>
      <c r="D34">
        <v>1</v>
      </c>
      <c r="E34" t="s">
        <v>30</v>
      </c>
      <c r="F34" s="1">
        <v>45991</v>
      </c>
      <c r="G34">
        <v>500</v>
      </c>
    </row>
    <row r="35" spans="1:27" x14ac:dyDescent="0.25">
      <c r="A35" s="1">
        <v>45716</v>
      </c>
      <c r="B35" s="1">
        <v>45716</v>
      </c>
      <c r="C35" t="s">
        <v>0</v>
      </c>
      <c r="D35">
        <v>1</v>
      </c>
      <c r="E35" t="s">
        <v>30</v>
      </c>
      <c r="F35" s="1">
        <v>46022</v>
      </c>
      <c r="G35">
        <v>500</v>
      </c>
    </row>
    <row r="36" spans="1:27" x14ac:dyDescent="0.25">
      <c r="A36" s="1">
        <v>45716</v>
      </c>
      <c r="B36" s="1">
        <v>45716</v>
      </c>
      <c r="C36" t="s">
        <v>0</v>
      </c>
      <c r="D36">
        <v>1</v>
      </c>
      <c r="E36" t="s">
        <v>30</v>
      </c>
      <c r="F36" s="1">
        <v>46053</v>
      </c>
      <c r="G36">
        <v>500</v>
      </c>
    </row>
    <row r="40" spans="1:27" ht="15.75" thickBot="1" x14ac:dyDescent="0.3"/>
    <row r="41" spans="1:27" ht="21.75" thickBot="1" x14ac:dyDescent="0.4">
      <c r="A41" s="39">
        <v>45747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1"/>
    </row>
    <row r="43" spans="1:27" x14ac:dyDescent="0.25">
      <c r="A43" s="2" t="s">
        <v>52</v>
      </c>
      <c r="V43" s="2" t="s">
        <v>54</v>
      </c>
      <c r="W43" s="2" t="s">
        <v>55</v>
      </c>
    </row>
    <row r="44" spans="1:27" x14ac:dyDescent="0.25">
      <c r="A44" s="3" t="s">
        <v>1</v>
      </c>
      <c r="B44" s="3" t="s">
        <v>14</v>
      </c>
      <c r="C44" s="3" t="s">
        <v>15</v>
      </c>
      <c r="D44" s="3" t="s">
        <v>16</v>
      </c>
      <c r="E44" s="26" t="s">
        <v>35</v>
      </c>
      <c r="F44" s="26" t="s">
        <v>36</v>
      </c>
      <c r="G44" s="26" t="s">
        <v>37</v>
      </c>
      <c r="H44" s="26" t="s">
        <v>38</v>
      </c>
      <c r="I44" s="26" t="s">
        <v>39</v>
      </c>
      <c r="J44" s="26" t="s">
        <v>40</v>
      </c>
      <c r="V44">
        <v>60</v>
      </c>
      <c r="W44">
        <v>970</v>
      </c>
    </row>
    <row r="45" spans="1:27" x14ac:dyDescent="0.25">
      <c r="A45" s="1">
        <v>45747</v>
      </c>
      <c r="B45" s="1">
        <v>45747</v>
      </c>
      <c r="C45" t="s">
        <v>0</v>
      </c>
      <c r="D45">
        <v>1</v>
      </c>
      <c r="E45" s="1">
        <v>45688</v>
      </c>
      <c r="F45" s="27">
        <v>12000</v>
      </c>
      <c r="G45">
        <v>12</v>
      </c>
      <c r="H45">
        <v>6</v>
      </c>
      <c r="I45">
        <v>11030</v>
      </c>
      <c r="J45">
        <v>-3065.4515000000001</v>
      </c>
    </row>
    <row r="47" spans="1:27" x14ac:dyDescent="0.25">
      <c r="A47" s="2" t="s">
        <v>51</v>
      </c>
    </row>
    <row r="48" spans="1:27" x14ac:dyDescent="0.25">
      <c r="A48" s="3" t="s">
        <v>1</v>
      </c>
      <c r="B48" s="3" t="s">
        <v>14</v>
      </c>
      <c r="C48" s="3" t="s">
        <v>31</v>
      </c>
      <c r="D48" s="3" t="s">
        <v>32</v>
      </c>
      <c r="E48" s="26" t="s">
        <v>29</v>
      </c>
      <c r="F48" s="26" t="s">
        <v>33</v>
      </c>
      <c r="G48" s="26" t="s">
        <v>2</v>
      </c>
      <c r="V48" s="24" t="s">
        <v>1</v>
      </c>
      <c r="W48" s="24" t="s">
        <v>43</v>
      </c>
      <c r="X48" s="24" t="s">
        <v>31</v>
      </c>
      <c r="Y48" s="24" t="s">
        <v>48</v>
      </c>
      <c r="Z48" s="24" t="s">
        <v>12</v>
      </c>
      <c r="AA48" s="24" t="s">
        <v>16</v>
      </c>
    </row>
    <row r="49" spans="1:27" x14ac:dyDescent="0.25">
      <c r="A49" s="1">
        <v>45747</v>
      </c>
      <c r="B49" s="1">
        <v>45747</v>
      </c>
      <c r="C49" t="s">
        <v>0</v>
      </c>
      <c r="D49">
        <v>1</v>
      </c>
      <c r="E49" t="s">
        <v>30</v>
      </c>
      <c r="F49" s="1">
        <v>45747</v>
      </c>
      <c r="G49">
        <v>1030</v>
      </c>
      <c r="V49" s="1">
        <v>45747</v>
      </c>
      <c r="W49" s="1">
        <v>45747</v>
      </c>
      <c r="X49" s="25" t="s">
        <v>0</v>
      </c>
      <c r="Y49" s="25" t="s">
        <v>49</v>
      </c>
      <c r="Z49" s="6">
        <v>0</v>
      </c>
      <c r="AA49" s="25">
        <v>1</v>
      </c>
    </row>
    <row r="50" spans="1:27" x14ac:dyDescent="0.25">
      <c r="A50" s="1">
        <v>45747</v>
      </c>
      <c r="B50" s="1">
        <v>45747</v>
      </c>
      <c r="C50" t="s">
        <v>0</v>
      </c>
      <c r="D50">
        <v>1</v>
      </c>
      <c r="E50" t="s">
        <v>30</v>
      </c>
      <c r="F50" s="1">
        <v>45777</v>
      </c>
      <c r="G50">
        <v>1030</v>
      </c>
      <c r="V50" s="1">
        <v>45747</v>
      </c>
      <c r="W50" s="1">
        <v>45747</v>
      </c>
      <c r="X50" s="25" t="s">
        <v>0</v>
      </c>
      <c r="Y50" s="25" t="s">
        <v>47</v>
      </c>
      <c r="Z50" s="6">
        <v>0</v>
      </c>
      <c r="AA50" s="25">
        <v>1</v>
      </c>
    </row>
    <row r="51" spans="1:27" x14ac:dyDescent="0.25">
      <c r="A51" s="1">
        <v>45747</v>
      </c>
      <c r="B51" s="1">
        <v>45747</v>
      </c>
      <c r="C51" t="s">
        <v>0</v>
      </c>
      <c r="D51">
        <v>1</v>
      </c>
      <c r="E51" t="s">
        <v>30</v>
      </c>
      <c r="F51" s="1">
        <v>45808</v>
      </c>
      <c r="G51">
        <v>1030</v>
      </c>
      <c r="V51" s="1">
        <v>45747</v>
      </c>
      <c r="W51" s="1">
        <v>45747</v>
      </c>
      <c r="X51" s="25" t="s">
        <v>0</v>
      </c>
      <c r="Y51" s="25" t="s">
        <v>13</v>
      </c>
      <c r="Z51" s="6">
        <v>55.15</v>
      </c>
      <c r="AA51" s="25">
        <v>1</v>
      </c>
    </row>
    <row r="52" spans="1:27" x14ac:dyDescent="0.25">
      <c r="A52" s="1">
        <v>45747</v>
      </c>
      <c r="B52" s="1">
        <v>45747</v>
      </c>
      <c r="C52" t="s">
        <v>0</v>
      </c>
      <c r="D52">
        <v>1</v>
      </c>
      <c r="E52" t="s">
        <v>30</v>
      </c>
      <c r="F52" s="1">
        <v>45838</v>
      </c>
      <c r="G52">
        <v>1030</v>
      </c>
      <c r="V52" s="1">
        <v>45747</v>
      </c>
      <c r="W52" s="1">
        <v>45747</v>
      </c>
      <c r="X52" s="25" t="s">
        <v>0</v>
      </c>
      <c r="Y52" s="25" t="s">
        <v>50</v>
      </c>
      <c r="Z52" s="6">
        <v>-283.9869928066073</v>
      </c>
      <c r="AA52" s="25">
        <v>1</v>
      </c>
    </row>
    <row r="53" spans="1:27" x14ac:dyDescent="0.25">
      <c r="A53" s="1">
        <v>45747</v>
      </c>
      <c r="B53" s="1">
        <v>45747</v>
      </c>
      <c r="C53" t="s">
        <v>0</v>
      </c>
      <c r="D53">
        <v>1</v>
      </c>
      <c r="E53" t="s">
        <v>30</v>
      </c>
      <c r="F53" s="1">
        <v>45869</v>
      </c>
      <c r="G53">
        <v>1030</v>
      </c>
    </row>
    <row r="54" spans="1:27" x14ac:dyDescent="0.25">
      <c r="A54" s="1">
        <v>45747</v>
      </c>
      <c r="B54" s="1">
        <v>45747</v>
      </c>
      <c r="C54" t="s">
        <v>0</v>
      </c>
      <c r="D54">
        <v>1</v>
      </c>
      <c r="E54" t="s">
        <v>30</v>
      </c>
      <c r="F54" s="1">
        <v>45900</v>
      </c>
      <c r="G54">
        <v>500</v>
      </c>
    </row>
    <row r="55" spans="1:27" x14ac:dyDescent="0.25">
      <c r="A55" s="1">
        <v>45747</v>
      </c>
      <c r="B55" s="1">
        <v>45747</v>
      </c>
      <c r="C55" t="s">
        <v>0</v>
      </c>
      <c r="D55">
        <v>1</v>
      </c>
      <c r="E55" t="s">
        <v>30</v>
      </c>
      <c r="F55" s="1">
        <v>45930</v>
      </c>
      <c r="G55">
        <v>500</v>
      </c>
    </row>
    <row r="56" spans="1:27" x14ac:dyDescent="0.25">
      <c r="A56" s="1">
        <v>45747</v>
      </c>
      <c r="B56" s="1">
        <v>45747</v>
      </c>
      <c r="C56" t="s">
        <v>0</v>
      </c>
      <c r="D56">
        <v>1</v>
      </c>
      <c r="E56" t="s">
        <v>30</v>
      </c>
      <c r="F56" s="1">
        <v>45961</v>
      </c>
      <c r="G56">
        <v>500</v>
      </c>
      <c r="Z56" s="6">
        <f>ROUND(Z52,4)</f>
        <v>-283.98700000000002</v>
      </c>
    </row>
    <row r="57" spans="1:27" x14ac:dyDescent="0.25">
      <c r="A57" s="1">
        <v>45747</v>
      </c>
      <c r="B57" s="1">
        <v>45747</v>
      </c>
      <c r="C57" t="s">
        <v>0</v>
      </c>
      <c r="D57">
        <v>1</v>
      </c>
      <c r="E57" t="s">
        <v>30</v>
      </c>
      <c r="F57" s="1">
        <v>45991</v>
      </c>
      <c r="G57">
        <v>400</v>
      </c>
      <c r="Z57" s="6">
        <f>Z56+Z26</f>
        <v>-3349.4385000000002</v>
      </c>
    </row>
    <row r="58" spans="1:27" x14ac:dyDescent="0.25">
      <c r="A58" s="1">
        <v>45747</v>
      </c>
      <c r="B58" s="1">
        <v>45747</v>
      </c>
      <c r="C58" t="s">
        <v>0</v>
      </c>
      <c r="D58">
        <v>1</v>
      </c>
      <c r="E58" t="s">
        <v>30</v>
      </c>
      <c r="F58" s="1">
        <v>46022</v>
      </c>
      <c r="G58">
        <v>400</v>
      </c>
    </row>
    <row r="59" spans="1:27" x14ac:dyDescent="0.25">
      <c r="A59" s="1">
        <v>45747</v>
      </c>
      <c r="B59" s="1">
        <v>45747</v>
      </c>
      <c r="C59" t="s">
        <v>0</v>
      </c>
      <c r="D59">
        <v>1</v>
      </c>
      <c r="E59" t="s">
        <v>30</v>
      </c>
      <c r="F59" s="1">
        <v>46053</v>
      </c>
      <c r="G59">
        <v>400</v>
      </c>
    </row>
    <row r="62" spans="1:27" ht="15.75" thickBot="1" x14ac:dyDescent="0.3"/>
    <row r="63" spans="1:27" ht="21.75" thickBot="1" x14ac:dyDescent="0.4">
      <c r="A63" s="39">
        <v>45777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1"/>
    </row>
    <row r="65" spans="1:27" x14ac:dyDescent="0.25">
      <c r="A65" s="2" t="s">
        <v>52</v>
      </c>
    </row>
    <row r="66" spans="1:27" x14ac:dyDescent="0.25">
      <c r="A66" s="3" t="s">
        <v>1</v>
      </c>
      <c r="B66" s="3" t="s">
        <v>14</v>
      </c>
      <c r="C66" s="3" t="s">
        <v>15</v>
      </c>
      <c r="D66" s="3" t="s">
        <v>16</v>
      </c>
      <c r="E66" s="26" t="s">
        <v>35</v>
      </c>
      <c r="F66" s="26" t="s">
        <v>36</v>
      </c>
      <c r="G66" s="26" t="s">
        <v>37</v>
      </c>
      <c r="H66" s="26" t="s">
        <v>38</v>
      </c>
      <c r="I66" s="26" t="s">
        <v>39</v>
      </c>
      <c r="J66" s="26" t="s">
        <v>40</v>
      </c>
    </row>
    <row r="67" spans="1:27" x14ac:dyDescent="0.25">
      <c r="A67" s="1">
        <v>45777</v>
      </c>
      <c r="B67" s="1">
        <v>45777</v>
      </c>
      <c r="C67" t="s">
        <v>0</v>
      </c>
      <c r="D67">
        <v>1</v>
      </c>
      <c r="E67" s="1">
        <v>45688</v>
      </c>
      <c r="F67" s="27">
        <v>12000</v>
      </c>
      <c r="G67">
        <v>12</v>
      </c>
      <c r="H67">
        <v>6</v>
      </c>
      <c r="I67">
        <v>11030</v>
      </c>
      <c r="J67">
        <v>-3349.4385000000002</v>
      </c>
      <c r="V67" s="24" t="s">
        <v>1</v>
      </c>
      <c r="W67" s="24" t="s">
        <v>43</v>
      </c>
      <c r="X67" s="24" t="s">
        <v>31</v>
      </c>
      <c r="Y67" s="24" t="s">
        <v>44</v>
      </c>
      <c r="Z67" s="24" t="s">
        <v>12</v>
      </c>
      <c r="AA67" s="24" t="s">
        <v>16</v>
      </c>
    </row>
    <row r="68" spans="1:27" x14ac:dyDescent="0.25">
      <c r="V68" s="1">
        <v>45777</v>
      </c>
      <c r="W68" s="1">
        <v>45777</v>
      </c>
      <c r="X68" s="25" t="s">
        <v>0</v>
      </c>
      <c r="Y68" s="25" t="s">
        <v>49</v>
      </c>
      <c r="Z68" s="6">
        <v>2836.4295760791565</v>
      </c>
      <c r="AA68" s="25">
        <v>1</v>
      </c>
    </row>
    <row r="69" spans="1:27" x14ac:dyDescent="0.25">
      <c r="A69" s="2" t="s">
        <v>51</v>
      </c>
      <c r="V69" s="1">
        <v>45777</v>
      </c>
      <c r="W69" s="1">
        <v>45777</v>
      </c>
      <c r="X69" s="25" t="s">
        <v>0</v>
      </c>
      <c r="Y69" s="25" t="s">
        <v>47</v>
      </c>
      <c r="Z69" s="6">
        <v>0</v>
      </c>
      <c r="AA69" s="25">
        <v>1</v>
      </c>
    </row>
    <row r="70" spans="1:27" x14ac:dyDescent="0.25">
      <c r="A70" s="3" t="s">
        <v>1</v>
      </c>
      <c r="B70" s="3" t="s">
        <v>14</v>
      </c>
      <c r="C70" s="3" t="s">
        <v>31</v>
      </c>
      <c r="D70" s="3" t="s">
        <v>32</v>
      </c>
      <c r="E70" s="26" t="s">
        <v>29</v>
      </c>
      <c r="F70" s="26" t="s">
        <v>33</v>
      </c>
      <c r="G70" s="26" t="s">
        <v>2</v>
      </c>
      <c r="V70" s="1">
        <v>45777</v>
      </c>
      <c r="W70" s="1">
        <v>45777</v>
      </c>
      <c r="X70" s="25" t="s">
        <v>0</v>
      </c>
      <c r="Y70" s="25" t="s">
        <v>13</v>
      </c>
      <c r="Z70" s="6">
        <v>55.15</v>
      </c>
      <c r="AA70" s="25">
        <v>1</v>
      </c>
    </row>
    <row r="71" spans="1:27" x14ac:dyDescent="0.25">
      <c r="A71" s="1">
        <v>45777</v>
      </c>
      <c r="B71" s="1">
        <v>45777</v>
      </c>
      <c r="C71" t="s">
        <v>0</v>
      </c>
      <c r="D71">
        <v>1</v>
      </c>
      <c r="E71" t="s">
        <v>30</v>
      </c>
      <c r="F71" s="1">
        <v>45777</v>
      </c>
      <c r="G71">
        <v>1030</v>
      </c>
      <c r="V71" s="1">
        <v>45777</v>
      </c>
      <c r="W71" s="1">
        <v>45777</v>
      </c>
      <c r="X71" s="25" t="s">
        <v>0</v>
      </c>
      <c r="Y71" s="25" t="s">
        <v>50</v>
      </c>
      <c r="Z71" s="6">
        <v>0</v>
      </c>
      <c r="AA71" s="25">
        <v>1</v>
      </c>
    </row>
    <row r="72" spans="1:27" x14ac:dyDescent="0.25">
      <c r="A72" s="1">
        <v>45777</v>
      </c>
      <c r="B72" s="1">
        <v>45777</v>
      </c>
      <c r="C72" t="s">
        <v>0</v>
      </c>
      <c r="D72">
        <v>1</v>
      </c>
      <c r="E72" t="s">
        <v>30</v>
      </c>
      <c r="F72" s="1">
        <v>45808</v>
      </c>
      <c r="G72">
        <v>1030</v>
      </c>
    </row>
    <row r="73" spans="1:27" x14ac:dyDescent="0.25">
      <c r="A73" s="1">
        <v>45777</v>
      </c>
      <c r="B73" s="1">
        <v>45777</v>
      </c>
      <c r="C73" t="s">
        <v>0</v>
      </c>
      <c r="D73">
        <v>1</v>
      </c>
      <c r="E73" t="s">
        <v>30</v>
      </c>
      <c r="F73" s="1">
        <v>45838</v>
      </c>
      <c r="G73">
        <v>1030</v>
      </c>
      <c r="Z73" s="29">
        <f>ROUND(Z68,4)</f>
        <v>2836.4295999999999</v>
      </c>
    </row>
    <row r="74" spans="1:27" x14ac:dyDescent="0.25">
      <c r="A74" s="1">
        <v>45777</v>
      </c>
      <c r="B74" s="1">
        <v>45777</v>
      </c>
      <c r="C74" t="s">
        <v>0</v>
      </c>
      <c r="D74">
        <v>1</v>
      </c>
      <c r="E74" t="s">
        <v>30</v>
      </c>
      <c r="F74" s="1">
        <v>45869</v>
      </c>
      <c r="G74">
        <v>1030</v>
      </c>
    </row>
    <row r="75" spans="1:27" x14ac:dyDescent="0.25">
      <c r="A75" s="1">
        <v>45777</v>
      </c>
      <c r="B75" s="1">
        <v>45777</v>
      </c>
      <c r="C75" t="s">
        <v>0</v>
      </c>
      <c r="D75">
        <v>1</v>
      </c>
      <c r="E75" t="s">
        <v>30</v>
      </c>
      <c r="F75" s="1">
        <v>45900</v>
      </c>
      <c r="G75">
        <v>1700</v>
      </c>
    </row>
    <row r="76" spans="1:27" x14ac:dyDescent="0.25">
      <c r="A76" s="1">
        <v>45777</v>
      </c>
      <c r="B76" s="1">
        <v>45777</v>
      </c>
      <c r="C76" t="s">
        <v>0</v>
      </c>
      <c r="D76">
        <v>1</v>
      </c>
      <c r="E76" t="s">
        <v>30</v>
      </c>
      <c r="F76" s="1">
        <v>45930</v>
      </c>
      <c r="G76">
        <v>1700</v>
      </c>
    </row>
    <row r="77" spans="1:27" x14ac:dyDescent="0.25">
      <c r="A77" s="1">
        <v>45777</v>
      </c>
      <c r="B77" s="1">
        <v>45777</v>
      </c>
      <c r="C77" t="s">
        <v>0</v>
      </c>
      <c r="D77">
        <v>1</v>
      </c>
      <c r="E77" t="s">
        <v>30</v>
      </c>
      <c r="F77" s="1">
        <v>45961</v>
      </c>
      <c r="G77">
        <v>1700</v>
      </c>
    </row>
    <row r="78" spans="1:27" x14ac:dyDescent="0.25">
      <c r="A78" s="1">
        <v>45777</v>
      </c>
      <c r="B78" s="1">
        <v>45777</v>
      </c>
      <c r="C78" t="s">
        <v>0</v>
      </c>
      <c r="D78">
        <v>1</v>
      </c>
      <c r="E78" t="s">
        <v>30</v>
      </c>
      <c r="F78" s="1">
        <v>45991</v>
      </c>
      <c r="G78">
        <v>1700</v>
      </c>
    </row>
    <row r="79" spans="1:27" x14ac:dyDescent="0.25">
      <c r="A79" s="1">
        <v>45777</v>
      </c>
      <c r="B79" s="1">
        <v>45777</v>
      </c>
      <c r="C79" t="s">
        <v>0</v>
      </c>
      <c r="D79">
        <v>1</v>
      </c>
      <c r="E79" t="s">
        <v>30</v>
      </c>
      <c r="F79" s="1">
        <v>46022</v>
      </c>
      <c r="G79">
        <v>1700</v>
      </c>
    </row>
    <row r="80" spans="1:27" x14ac:dyDescent="0.25">
      <c r="A80" s="1">
        <v>45777</v>
      </c>
      <c r="B80" s="1">
        <v>45777</v>
      </c>
      <c r="C80" t="s">
        <v>0</v>
      </c>
      <c r="D80">
        <v>1</v>
      </c>
      <c r="E80" t="s">
        <v>30</v>
      </c>
      <c r="F80" s="1">
        <v>46053</v>
      </c>
      <c r="G80">
        <v>1700</v>
      </c>
    </row>
  </sheetData>
  <mergeCells count="4">
    <mergeCell ref="A1:Q1"/>
    <mergeCell ref="A17:Q17"/>
    <mergeCell ref="A41:Q41"/>
    <mergeCell ref="A63:Q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ECF</vt:lpstr>
      <vt:lpstr>EOD</vt:lpstr>
      <vt:lpstr>Calc_InterestAccrualSchedule</vt:lpstr>
      <vt:lpstr>o_Transaction</vt:lpstr>
      <vt:lpstr>EXPECTED_INP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2025-12-07T05:33:44Z</dcterms:created>
  <dcterms:modified xsi:type="dcterms:W3CDTF">2025-12-15T22:03:36Z</dcterms:modified>
</cp:coreProperties>
</file>