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"/>
    </mc:Choice>
  </mc:AlternateContent>
  <xr:revisionPtr revIDLastSave="0" documentId="13_ncr:1_{9667D8D9-6667-463E-99B5-8F9628BE2E9B}" xr6:coauthVersionLast="47" xr6:coauthVersionMax="47" xr10:uidLastSave="{00000000-0000-0000-0000-000000000000}"/>
  <bookViews>
    <workbookView xWindow="2295" yWindow="2295" windowWidth="21600" windowHeight="12645" xr2:uid="{00000000-000D-0000-FFFF-FFFF00000000}"/>
  </bookViews>
  <sheets>
    <sheet name="Test" sheetId="1" r:id="rId1"/>
    <sheet name="O_TransactionActivity" sheetId="3" r:id="rId2"/>
    <sheet name="O_TransactionActivity2" sheetId="4" r:id="rId3"/>
    <sheet name="O_Attribute" sheetId="5" r:id="rId4"/>
    <sheet name="O_Attribute2" sheetId="6" r:id="rId5"/>
    <sheet name="O_Instrument2" sheetId="7" r:id="rId6"/>
    <sheet name="O_Instrument" sheetId="8" r:id="rId7"/>
    <sheet name="O_Metric" sheetId="9" r:id="rId8"/>
  </sheets>
  <definedNames>
    <definedName name="_xlnm._FilterDatabase" localSheetId="3" hidden="1">O_Attribute!$A$2:$G$14</definedName>
    <definedName name="_xlnm._FilterDatabase" localSheetId="4" hidden="1">O_Attribute2!$A$2:$G$14</definedName>
    <definedName name="_xlnm._FilterDatabase" localSheetId="6" hidden="1">O_Instrument!$A$2:$F$14</definedName>
    <definedName name="_xlnm._FilterDatabase" localSheetId="5" hidden="1">O_Instrument2!$A$2:$F$14</definedName>
    <definedName name="_xlnm._FilterDatabase" localSheetId="1" hidden="1">O_TransactionActivity!$A$2:$J$11</definedName>
    <definedName name="_xlnm._FilterDatabase" localSheetId="2" hidden="1">O_TransactionActivity2!$A$2:$J$11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9" l="1"/>
  <c r="C11" i="9"/>
  <c r="C8" i="9"/>
  <c r="C7" i="9"/>
  <c r="D5" i="9"/>
  <c r="D4" i="9"/>
  <c r="C4" i="9"/>
  <c r="D3" i="9"/>
  <c r="C3" i="9"/>
  <c r="D13" i="8"/>
  <c r="D12" i="8"/>
  <c r="D11" i="8"/>
  <c r="D10" i="8"/>
  <c r="D9" i="8"/>
  <c r="E7" i="8"/>
  <c r="F7" i="8" s="1"/>
  <c r="E10" i="8" s="1"/>
  <c r="F10" i="8" s="1"/>
  <c r="E13" i="8" s="1"/>
  <c r="F13" i="8" s="1"/>
  <c r="D7" i="8"/>
  <c r="E6" i="8"/>
  <c r="F6" i="8" s="1"/>
  <c r="E9" i="8" s="1"/>
  <c r="F9" i="8" s="1"/>
  <c r="E12" i="8" s="1"/>
  <c r="F12" i="8" s="1"/>
  <c r="D6" i="8"/>
  <c r="F5" i="8"/>
  <c r="E8" i="8" s="1"/>
  <c r="F8" i="8" s="1"/>
  <c r="E11" i="8" s="1"/>
  <c r="F11" i="8" s="1"/>
  <c r="E14" i="8" s="1"/>
  <c r="F14" i="8" s="1"/>
  <c r="D5" i="8"/>
  <c r="F4" i="8"/>
  <c r="F3" i="8"/>
  <c r="D14" i="7"/>
  <c r="C14" i="9" s="1"/>
  <c r="D13" i="7"/>
  <c r="C13" i="9" s="1"/>
  <c r="D11" i="7"/>
  <c r="D10" i="7"/>
  <c r="C10" i="9" s="1"/>
  <c r="D9" i="7"/>
  <c r="C9" i="9" s="1"/>
  <c r="D7" i="7"/>
  <c r="D6" i="7"/>
  <c r="C6" i="9" s="1"/>
  <c r="D5" i="7"/>
  <c r="C5" i="9" s="1"/>
  <c r="F4" i="7"/>
  <c r="E7" i="7" s="1"/>
  <c r="F3" i="7"/>
  <c r="E6" i="7" s="1"/>
  <c r="F6" i="7" l="1"/>
  <c r="D6" i="9"/>
  <c r="F7" i="7"/>
  <c r="D7" i="9"/>
  <c r="E3" i="9"/>
  <c r="E4" i="9"/>
  <c r="F5" i="7"/>
  <c r="E6" i="9" l="1"/>
  <c r="E9" i="7"/>
  <c r="E5" i="9"/>
  <c r="E8" i="7"/>
  <c r="E7" i="9"/>
  <c r="E10" i="7"/>
  <c r="D10" i="9" l="1"/>
  <c r="F10" i="7"/>
  <c r="D8" i="9"/>
  <c r="F8" i="7"/>
  <c r="F9" i="7"/>
  <c r="D9" i="9"/>
  <c r="E12" i="7" l="1"/>
  <c r="E9" i="9"/>
  <c r="E11" i="7"/>
  <c r="E8" i="9"/>
  <c r="E10" i="9"/>
  <c r="E13" i="7"/>
  <c r="F13" i="7" l="1"/>
  <c r="E13" i="9" s="1"/>
  <c r="D13" i="9"/>
  <c r="F11" i="7"/>
  <c r="D11" i="9"/>
  <c r="D12" i="9"/>
  <c r="F12" i="7"/>
  <c r="E12" i="9" s="1"/>
  <c r="E11" i="9" l="1"/>
  <c r="E14" i="7"/>
  <c r="F14" i="7" l="1"/>
  <c r="E14" i="9" s="1"/>
  <c r="D14" i="9"/>
</calcChain>
</file>

<file path=xl/sharedStrings.xml><?xml version="1.0" encoding="utf-8"?>
<sst xmlns="http://schemas.openxmlformats.org/spreadsheetml/2006/main" count="268" uniqueCount="58">
  <si>
    <t>Steps</t>
  </si>
  <si>
    <t>Type</t>
  </si>
  <si>
    <t>Input</t>
  </si>
  <si>
    <t>LOAD_REF_DATA</t>
  </si>
  <si>
    <t>FILE_UPLOAD</t>
  </si>
  <si>
    <t>IFRS9_Stage3/ReferenceData/RefData_Ifrs9.xlsx</t>
  </si>
  <si>
    <t>EVENT_CONFIGURATION</t>
  </si>
  <si>
    <t>CONFIGURATION</t>
  </si>
  <si>
    <t>IFRS9_Stage3/EventConfigurations.json</t>
  </si>
  <si>
    <t>MODEL_UPLOAD</t>
  </si>
  <si>
    <t>IFRS9_Stage3/Model/IFRS9_Stage3_Model.xlsx</t>
  </si>
  <si>
    <t>MODEL_CONFIGURATION</t>
  </si>
  <si>
    <t>ATTRIBUTE</t>
  </si>
  <si>
    <t>CUSTOM_TABLE_DEFINITION</t>
  </si>
  <si>
    <t>IFRS9_Stage3/CustomTableDefinitions.json</t>
  </si>
  <si>
    <t>ACTIVITY_UPLOAD</t>
  </si>
  <si>
    <t>IFRS9_Stage3/ActivityData/ActivityData.xlsx</t>
  </si>
  <si>
    <t>MODEL_EXECUTION</t>
  </si>
  <si>
    <t>EXECUTION</t>
  </si>
  <si>
    <t>UPLOAD_CUSTOM_DATA</t>
  </si>
  <si>
    <t>IFRS9_Stage3/ActivityData/ActivityData_D2_Custom.xlsx</t>
  </si>
  <si>
    <t>IFRS9_Stage3/ActivityData/ActivityData_D3.xlsx</t>
  </si>
  <si>
    <t>IFRS9_Stage3/ActivityData/ActivityData_D3_Custom.xlsx</t>
  </si>
  <si>
    <t>IFRS9_Stage3/ActivityData/ActivityData_D4_Custom.xlsx</t>
  </si>
  <si>
    <t>TransactionActivity</t>
  </si>
  <si>
    <t>{"instrumentId": "LN-1001"}</t>
  </si>
  <si>
    <t>postingDate ASC</t>
  </si>
  <si>
    <t>attributeId ASC</t>
  </si>
  <si>
    <t>transactionName ASC</t>
  </si>
  <si>
    <t>source ASC</t>
  </si>
  <si>
    <t>effectiveDate ASC</t>
  </si>
  <si>
    <t>instrumentId</t>
  </si>
  <si>
    <t>amount</t>
  </si>
  <si>
    <t>originalPeriodId</t>
  </si>
  <si>
    <t>accountingPeriod.periodId</t>
  </si>
  <si>
    <t>isReplayable</t>
  </si>
  <si>
    <t>ORIGINATION_PRINCIPAL</t>
  </si>
  <si>
    <t>MODEL</t>
  </si>
  <si>
    <t>LN-1001</t>
  </si>
  <si>
    <t>IMPAIRMENT_LOSS</t>
  </si>
  <si>
    <t>INTEREST_ACCRUAL</t>
  </si>
  <si>
    <t>PAYMENT_INTEREST</t>
  </si>
  <si>
    <t>ETL</t>
  </si>
  <si>
    <t>PAYMENT_UPB</t>
  </si>
  <si>
    <t>IMPAIRMENT_GAIN</t>
  </si>
  <si>
    <t>{"instrumentId": "LN-1002"}</t>
  </si>
  <si>
    <t>LN-1002</t>
  </si>
  <si>
    <t>AttributeLevelLtd</t>
  </si>
  <si>
    <t>metricName ASC</t>
  </si>
  <si>
    <t>balance.activity</t>
  </si>
  <si>
    <t>balance.beginningBalance</t>
  </si>
  <si>
    <t>balance.endingBalance</t>
  </si>
  <si>
    <t>AIR</t>
  </si>
  <si>
    <t>IMPAIRMENT</t>
  </si>
  <si>
    <t>UPB</t>
  </si>
  <si>
    <t>InstrumentLevelLtd</t>
  </si>
  <si>
    <t>MetricLevelLtd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</si>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</sst>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,##0.0000_);[Red]\(#,##0.0000\)"/>
    <numFmt numFmtId="166" formatCode="0.0000"/>
  </numFmts>
  <fonts count="3" x14ac:knownFonts="1">
    <font>
      <sz val="10"/>
      <color theme="1"/>
      <name val="Arial"/>
    </font>
    <font>
      <sz val="11"/>
      <color theme="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Protection="1"/>
    <xf numFmtId="0" fontId="0" fillId="0" borderId="0" xfId="0" applyProtection="1"/>
    <xf numFmtId="164" fontId="0" fillId="0" borderId="0" xfId="0" applyNumberFormat="1" applyProtection="1"/>
    <xf numFmtId="0" fontId="0" fillId="0" borderId="0" xfId="0" applyAlignment="1" applyProtection="1">
      <alignment wrapText="1"/>
    </xf>
    <xf numFmtId="0" fontId="1" fillId="0" borderId="0" xfId="0" applyFont="1" applyProtection="1"/>
    <xf numFmtId="0" fontId="2" fillId="2" borderId="1" xfId="0" applyFont="1" applyFill="1" applyBorder="1" applyProtection="1"/>
    <xf numFmtId="0" fontId="0" fillId="0" borderId="1" xfId="0" applyBorder="1" applyProtection="1"/>
    <xf numFmtId="1" fontId="0" fillId="0" borderId="1" xfId="0" applyNumberFormat="1" applyBorder="1"/>
    <xf numFmtId="165" fontId="0" fillId="0" borderId="1" xfId="0" applyNumberFormat="1" applyBorder="1" applyProtection="1"/>
    <xf numFmtId="0" fontId="0" fillId="0" borderId="1" xfId="0" applyBorder="1"/>
    <xf numFmtId="166" fontId="0" fillId="0" borderId="0" xfId="0" applyNumberFormat="1" applyProtection="1"/>
    <xf numFmtId="0" fontId="0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6" sqref="C6"/>
    </sheetView>
  </sheetViews>
  <sheetFormatPr defaultColWidth="11.5703125" defaultRowHeight="12.75" customHeight="1" x14ac:dyDescent="0.2"/>
  <cols>
    <col min="1" max="1" width="27.85546875" style="1" bestFit="1" customWidth="1"/>
    <col min="2" max="2" width="20.140625" style="1" customWidth="1"/>
    <col min="3" max="3" width="49.140625" style="1" bestFit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5</v>
      </c>
    </row>
    <row r="3" spans="1:3" ht="12.75" customHeight="1" x14ac:dyDescent="0.2">
      <c r="A3" s="1" t="s">
        <v>6</v>
      </c>
      <c r="B3" s="1" t="s">
        <v>7</v>
      </c>
      <c r="C3" s="1" t="s">
        <v>8</v>
      </c>
    </row>
    <row r="4" spans="1:3" ht="12.75" customHeight="1" x14ac:dyDescent="0.2">
      <c r="A4" s="1" t="s">
        <v>9</v>
      </c>
      <c r="B4" s="1" t="s">
        <v>4</v>
      </c>
      <c r="C4" s="2" t="s">
        <v>10</v>
      </c>
    </row>
    <row r="5" spans="1:3" ht="12.75" customHeight="1" x14ac:dyDescent="0.2">
      <c r="A5" s="1" t="s">
        <v>11</v>
      </c>
      <c r="B5" s="1" t="s">
        <v>7</v>
      </c>
      <c r="C5" s="1" t="s">
        <v>12</v>
      </c>
    </row>
    <row r="6" spans="1:3" ht="12.75" customHeight="1" x14ac:dyDescent="0.2">
      <c r="A6" s="1" t="s">
        <v>13</v>
      </c>
      <c r="B6" s="1" t="s">
        <v>7</v>
      </c>
      <c r="C6" s="2" t="s">
        <v>14</v>
      </c>
    </row>
    <row r="7" spans="1:3" ht="12.75" customHeight="1" x14ac:dyDescent="0.2">
      <c r="A7" s="1" t="s">
        <v>15</v>
      </c>
      <c r="B7" s="1" t="s">
        <v>4</v>
      </c>
      <c r="C7" s="1" t="s">
        <v>16</v>
      </c>
    </row>
    <row r="8" spans="1:3" ht="12.75" customHeight="1" x14ac:dyDescent="0.2">
      <c r="A8" s="1" t="s">
        <v>17</v>
      </c>
      <c r="B8" s="1" t="s">
        <v>18</v>
      </c>
      <c r="C8" s="3">
        <v>45688</v>
      </c>
    </row>
    <row r="9" spans="1:3" ht="12.75" customHeight="1" x14ac:dyDescent="0.2">
      <c r="A9" s="2" t="s">
        <v>19</v>
      </c>
      <c r="B9" s="1" t="s">
        <v>4</v>
      </c>
      <c r="C9" s="2" t="s">
        <v>20</v>
      </c>
    </row>
    <row r="10" spans="1:3" ht="12.75" customHeight="1" x14ac:dyDescent="0.2">
      <c r="A10" s="1" t="s">
        <v>17</v>
      </c>
      <c r="B10" s="1" t="s">
        <v>18</v>
      </c>
      <c r="C10" s="3">
        <v>45716</v>
      </c>
    </row>
    <row r="11" spans="1:3" ht="12.75" customHeight="1" x14ac:dyDescent="0.2">
      <c r="A11" s="1" t="s">
        <v>19</v>
      </c>
      <c r="B11" s="1" t="s">
        <v>4</v>
      </c>
      <c r="C11" s="1" t="s">
        <v>22</v>
      </c>
    </row>
    <row r="12" spans="1:3" ht="12.75" customHeight="1" x14ac:dyDescent="0.2">
      <c r="A12" s="1" t="s">
        <v>15</v>
      </c>
      <c r="B12" s="1" t="s">
        <v>4</v>
      </c>
      <c r="C12" s="1" t="s">
        <v>21</v>
      </c>
    </row>
    <row r="13" spans="1:3" ht="12.75" customHeight="1" x14ac:dyDescent="0.2">
      <c r="A13" s="1" t="s">
        <v>17</v>
      </c>
      <c r="B13" s="1" t="s">
        <v>18</v>
      </c>
      <c r="C13" s="3">
        <v>45747</v>
      </c>
    </row>
    <row r="14" spans="1:3" ht="12.75" customHeight="1" x14ac:dyDescent="0.2">
      <c r="A14" s="1" t="s">
        <v>19</v>
      </c>
      <c r="B14" s="1" t="s">
        <v>4</v>
      </c>
      <c r="C14" s="1" t="s">
        <v>23</v>
      </c>
    </row>
    <row r="15" spans="1:3" ht="12.75" customHeight="1" x14ac:dyDescent="0.2">
      <c r="A15" s="1" t="s">
        <v>17</v>
      </c>
      <c r="B15" s="1" t="s">
        <v>18</v>
      </c>
      <c r="C15" s="3">
        <v>45777</v>
      </c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="120" workbookViewId="0">
      <selection activeCell="B21" sqref="B21"/>
    </sheetView>
  </sheetViews>
  <sheetFormatPr defaultColWidth="11.5703125" defaultRowHeight="12.75" customHeight="1" x14ac:dyDescent="0.2"/>
  <cols>
    <col min="1" max="2" width="21.7109375" style="1" customWidth="1"/>
    <col min="3" max="3" width="42.57031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24</v>
      </c>
      <c r="B1" s="5" t="s">
        <v>25</v>
      </c>
      <c r="G1" s="5"/>
    </row>
    <row r="2" spans="1:10" x14ac:dyDescent="0.2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">
      <c r="A3" s="7">
        <v>20250131</v>
      </c>
      <c r="B3" s="7">
        <v>1</v>
      </c>
      <c r="C3" s="8" t="s">
        <v>36</v>
      </c>
      <c r="D3" s="7" t="s">
        <v>37</v>
      </c>
      <c r="E3" s="7">
        <v>20250131</v>
      </c>
      <c r="F3" s="8" t="s">
        <v>38</v>
      </c>
      <c r="G3" s="9">
        <v>12000</v>
      </c>
      <c r="H3" s="7">
        <v>202501</v>
      </c>
      <c r="I3" s="7">
        <v>202501</v>
      </c>
      <c r="J3" s="7">
        <v>0</v>
      </c>
    </row>
    <row r="4" spans="1:10" x14ac:dyDescent="0.2">
      <c r="A4" s="7">
        <v>20250228</v>
      </c>
      <c r="B4" s="7">
        <v>1</v>
      </c>
      <c r="C4" s="8" t="s">
        <v>39</v>
      </c>
      <c r="D4" s="7" t="s">
        <v>37</v>
      </c>
      <c r="E4" s="7">
        <v>20250228</v>
      </c>
      <c r="F4" s="8" t="s">
        <v>38</v>
      </c>
      <c r="G4" s="9">
        <v>-3065.4515000000001</v>
      </c>
      <c r="H4" s="7">
        <v>202502</v>
      </c>
      <c r="I4" s="7">
        <v>202502</v>
      </c>
      <c r="J4" s="7">
        <v>0</v>
      </c>
    </row>
    <row r="5" spans="1:10" x14ac:dyDescent="0.2">
      <c r="A5" s="7">
        <v>20250228</v>
      </c>
      <c r="B5" s="7">
        <v>1</v>
      </c>
      <c r="C5" s="8" t="s">
        <v>40</v>
      </c>
      <c r="D5" s="7" t="s">
        <v>37</v>
      </c>
      <c r="E5" s="7">
        <v>20250228</v>
      </c>
      <c r="F5" s="8" t="s">
        <v>38</v>
      </c>
      <c r="G5" s="9">
        <v>60</v>
      </c>
      <c r="H5" s="7">
        <v>202502</v>
      </c>
      <c r="I5" s="7">
        <v>202502</v>
      </c>
      <c r="J5" s="7">
        <v>0</v>
      </c>
    </row>
    <row r="6" spans="1:10" x14ac:dyDescent="0.2">
      <c r="A6" s="7">
        <v>20250331</v>
      </c>
      <c r="B6" s="7">
        <v>1</v>
      </c>
      <c r="C6" s="8" t="s">
        <v>39</v>
      </c>
      <c r="D6" s="7" t="s">
        <v>37</v>
      </c>
      <c r="E6" s="7">
        <v>20250331</v>
      </c>
      <c r="F6" s="8" t="s">
        <v>38</v>
      </c>
      <c r="G6" s="9">
        <v>-283.98700000000002</v>
      </c>
      <c r="H6" s="7">
        <v>202503</v>
      </c>
      <c r="I6" s="7">
        <v>202503</v>
      </c>
      <c r="J6" s="7">
        <v>0</v>
      </c>
    </row>
    <row r="7" spans="1:10" x14ac:dyDescent="0.2">
      <c r="A7" s="7">
        <v>20250331</v>
      </c>
      <c r="B7" s="7">
        <v>1</v>
      </c>
      <c r="C7" s="8" t="s">
        <v>40</v>
      </c>
      <c r="D7" s="7" t="s">
        <v>37</v>
      </c>
      <c r="E7" s="7">
        <v>20250331</v>
      </c>
      <c r="F7" s="8" t="s">
        <v>38</v>
      </c>
      <c r="G7" s="9">
        <v>55.15</v>
      </c>
      <c r="H7" s="7">
        <v>202503</v>
      </c>
      <c r="I7" s="7">
        <v>202503</v>
      </c>
      <c r="J7" s="7">
        <v>0</v>
      </c>
    </row>
    <row r="8" spans="1:10" x14ac:dyDescent="0.2">
      <c r="A8" s="7">
        <v>20250331</v>
      </c>
      <c r="B8" s="7">
        <v>1</v>
      </c>
      <c r="C8" s="10" t="s">
        <v>41</v>
      </c>
      <c r="D8" s="7" t="s">
        <v>42</v>
      </c>
      <c r="E8" s="7">
        <v>20250331</v>
      </c>
      <c r="F8" s="8" t="s">
        <v>38</v>
      </c>
      <c r="G8" s="9">
        <v>-60</v>
      </c>
      <c r="H8" s="7">
        <v>202503</v>
      </c>
      <c r="I8" s="7">
        <v>202503</v>
      </c>
      <c r="J8" s="7">
        <v>0</v>
      </c>
    </row>
    <row r="9" spans="1:10" x14ac:dyDescent="0.2">
      <c r="A9" s="7">
        <v>20250331</v>
      </c>
      <c r="B9" s="7">
        <v>1</v>
      </c>
      <c r="C9" s="10" t="s">
        <v>43</v>
      </c>
      <c r="D9" s="7" t="s">
        <v>42</v>
      </c>
      <c r="E9" s="7">
        <v>20250331</v>
      </c>
      <c r="F9" s="8" t="s">
        <v>38</v>
      </c>
      <c r="G9" s="9">
        <v>-970</v>
      </c>
      <c r="H9" s="7">
        <v>202503</v>
      </c>
      <c r="I9" s="7">
        <v>202503</v>
      </c>
      <c r="J9" s="7">
        <v>0</v>
      </c>
    </row>
    <row r="10" spans="1:10" x14ac:dyDescent="0.2">
      <c r="A10" s="7">
        <v>20250430</v>
      </c>
      <c r="B10" s="7">
        <v>1</v>
      </c>
      <c r="C10" s="8" t="s">
        <v>44</v>
      </c>
      <c r="D10" s="7" t="s">
        <v>37</v>
      </c>
      <c r="E10" s="7">
        <v>20250430</v>
      </c>
      <c r="F10" s="8" t="s">
        <v>38</v>
      </c>
      <c r="G10" s="9">
        <v>2836.4295999999999</v>
      </c>
      <c r="H10" s="7">
        <v>202504</v>
      </c>
      <c r="I10" s="7">
        <v>202504</v>
      </c>
      <c r="J10" s="7">
        <v>0</v>
      </c>
    </row>
    <row r="11" spans="1:10" x14ac:dyDescent="0.2">
      <c r="A11" s="7">
        <v>20250430</v>
      </c>
      <c r="B11" s="7">
        <v>1</v>
      </c>
      <c r="C11" s="8" t="s">
        <v>40</v>
      </c>
      <c r="D11" s="7" t="s">
        <v>37</v>
      </c>
      <c r="E11" s="7">
        <v>20250430</v>
      </c>
      <c r="F11" s="8" t="s">
        <v>38</v>
      </c>
      <c r="G11" s="9">
        <v>55.15</v>
      </c>
      <c r="H11" s="7">
        <v>202504</v>
      </c>
      <c r="I11" s="7">
        <v>202504</v>
      </c>
      <c r="J11" s="7">
        <v>0</v>
      </c>
    </row>
  </sheetData>
  <sortState xmlns:xlrd2="http://schemas.microsoft.com/office/spreadsheetml/2017/richdata2" ref="A3:J11">
    <sortCondition ref="A3:A11"/>
    <sortCondition ref="B3:B11"/>
    <sortCondition ref="C3:C11"/>
    <sortCondition ref="D3:D11"/>
    <sortCondition ref="E3:E11"/>
  </sortState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zoomScale="120" workbookViewId="0">
      <selection activeCell="B11" sqref="B11"/>
    </sheetView>
  </sheetViews>
  <sheetFormatPr defaultColWidth="11.5703125" defaultRowHeight="12.75" customHeight="1" x14ac:dyDescent="0.2"/>
  <cols>
    <col min="1" max="2" width="21.7109375" style="1" customWidth="1"/>
    <col min="3" max="3" width="42.57031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24</v>
      </c>
      <c r="B1" s="5" t="s">
        <v>45</v>
      </c>
      <c r="G1" s="5"/>
    </row>
    <row r="2" spans="1:10" x14ac:dyDescent="0.2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">
      <c r="A3" s="7">
        <v>20250131</v>
      </c>
      <c r="B3" s="7">
        <v>1</v>
      </c>
      <c r="C3" s="8" t="s">
        <v>36</v>
      </c>
      <c r="D3" s="7" t="s">
        <v>37</v>
      </c>
      <c r="E3" s="7">
        <v>20250131</v>
      </c>
      <c r="F3" s="7" t="s">
        <v>46</v>
      </c>
      <c r="G3" s="9">
        <v>15000</v>
      </c>
      <c r="H3" s="7">
        <v>202501</v>
      </c>
      <c r="I3" s="7">
        <v>202501</v>
      </c>
      <c r="J3" s="7">
        <v>0</v>
      </c>
    </row>
    <row r="4" spans="1:10" x14ac:dyDescent="0.2">
      <c r="A4" s="7">
        <v>20250228</v>
      </c>
      <c r="B4" s="7">
        <v>1</v>
      </c>
      <c r="C4" s="8" t="s">
        <v>39</v>
      </c>
      <c r="D4" s="7" t="s">
        <v>37</v>
      </c>
      <c r="E4" s="7">
        <v>20250228</v>
      </c>
      <c r="F4" s="7" t="s">
        <v>46</v>
      </c>
      <c r="G4" s="9">
        <v>-166.61699729843735</v>
      </c>
      <c r="H4" s="7">
        <v>202502</v>
      </c>
      <c r="I4" s="7">
        <v>202502</v>
      </c>
      <c r="J4" s="7">
        <v>0</v>
      </c>
    </row>
    <row r="5" spans="1:10" x14ac:dyDescent="0.2">
      <c r="A5" s="7">
        <v>20250228</v>
      </c>
      <c r="B5" s="7">
        <v>1</v>
      </c>
      <c r="C5" s="8" t="s">
        <v>40</v>
      </c>
      <c r="D5" s="7" t="s">
        <v>37</v>
      </c>
      <c r="E5" s="7">
        <v>20250228</v>
      </c>
      <c r="F5" s="7" t="s">
        <v>46</v>
      </c>
      <c r="G5" s="9">
        <v>125</v>
      </c>
      <c r="H5" s="7">
        <v>202502</v>
      </c>
      <c r="I5" s="7">
        <v>202502</v>
      </c>
      <c r="J5" s="7">
        <v>0</v>
      </c>
    </row>
    <row r="6" spans="1:10" x14ac:dyDescent="0.2">
      <c r="A6" s="7">
        <v>20250331</v>
      </c>
      <c r="B6" s="7">
        <v>1</v>
      </c>
      <c r="C6" s="8" t="s">
        <v>39</v>
      </c>
      <c r="D6" s="7" t="s">
        <v>37</v>
      </c>
      <c r="E6" s="7">
        <v>20250331</v>
      </c>
      <c r="F6" s="7" t="s">
        <v>46</v>
      </c>
      <c r="G6" s="9">
        <v>-1407.6016999999999</v>
      </c>
      <c r="H6" s="7">
        <v>202503</v>
      </c>
      <c r="I6" s="7">
        <v>202503</v>
      </c>
      <c r="J6" s="7">
        <v>0</v>
      </c>
    </row>
    <row r="7" spans="1:10" x14ac:dyDescent="0.2">
      <c r="A7" s="7">
        <v>20250331</v>
      </c>
      <c r="B7" s="7">
        <v>1</v>
      </c>
      <c r="C7" s="8" t="s">
        <v>40</v>
      </c>
      <c r="D7" s="7" t="s">
        <v>37</v>
      </c>
      <c r="E7" s="7">
        <v>20250331</v>
      </c>
      <c r="F7" s="7" t="s">
        <v>46</v>
      </c>
      <c r="G7" s="9">
        <v>118.16670000000001</v>
      </c>
      <c r="H7" s="7">
        <v>202503</v>
      </c>
      <c r="I7" s="7">
        <v>202503</v>
      </c>
      <c r="J7" s="7">
        <v>0</v>
      </c>
    </row>
    <row r="8" spans="1:10" x14ac:dyDescent="0.2">
      <c r="A8" s="7">
        <v>20250331</v>
      </c>
      <c r="B8" s="7">
        <v>1</v>
      </c>
      <c r="C8" s="10" t="s">
        <v>41</v>
      </c>
      <c r="D8" s="7" t="s">
        <v>42</v>
      </c>
      <c r="E8" s="7">
        <v>20250331</v>
      </c>
      <c r="F8" s="7" t="s">
        <v>46</v>
      </c>
      <c r="G8" s="9">
        <v>-125</v>
      </c>
      <c r="H8" s="7">
        <v>202503</v>
      </c>
      <c r="I8" s="7">
        <v>202503</v>
      </c>
      <c r="J8" s="7">
        <v>0</v>
      </c>
    </row>
    <row r="9" spans="1:10" x14ac:dyDescent="0.2">
      <c r="A9" s="7">
        <v>20250331</v>
      </c>
      <c r="B9" s="7">
        <v>1</v>
      </c>
      <c r="C9" s="10" t="s">
        <v>43</v>
      </c>
      <c r="D9" s="7" t="s">
        <v>42</v>
      </c>
      <c r="E9" s="7">
        <v>20250331</v>
      </c>
      <c r="F9" s="7" t="s">
        <v>46</v>
      </c>
      <c r="G9" s="9">
        <v>-820</v>
      </c>
      <c r="H9" s="7">
        <v>202503</v>
      </c>
      <c r="I9" s="7">
        <v>202503</v>
      </c>
      <c r="J9" s="7">
        <v>0</v>
      </c>
    </row>
    <row r="10" spans="1:10" x14ac:dyDescent="0.2">
      <c r="A10" s="7">
        <v>20250430</v>
      </c>
      <c r="B10" s="7">
        <v>1</v>
      </c>
      <c r="C10" s="8" t="s">
        <v>44</v>
      </c>
      <c r="D10" s="7" t="s">
        <v>37</v>
      </c>
      <c r="E10" s="7">
        <v>20250430</v>
      </c>
      <c r="F10" s="7" t="s">
        <v>46</v>
      </c>
      <c r="G10" s="9">
        <v>16954.028999999999</v>
      </c>
      <c r="H10" s="7">
        <v>202504</v>
      </c>
      <c r="I10" s="7">
        <v>202504</v>
      </c>
      <c r="J10" s="7">
        <v>0</v>
      </c>
    </row>
    <row r="11" spans="1:10" x14ac:dyDescent="0.2">
      <c r="A11" s="7">
        <v>20250430</v>
      </c>
      <c r="B11" s="7">
        <v>1</v>
      </c>
      <c r="C11" s="8" t="s">
        <v>40</v>
      </c>
      <c r="D11" s="7" t="s">
        <v>37</v>
      </c>
      <c r="E11" s="7">
        <v>20250430</v>
      </c>
      <c r="F11" s="7" t="s">
        <v>46</v>
      </c>
      <c r="G11" s="9">
        <v>118.16670000000001</v>
      </c>
      <c r="H11" s="7">
        <v>202504</v>
      </c>
      <c r="I11" s="7">
        <v>202504</v>
      </c>
      <c r="J11" s="7">
        <v>0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="120" workbookViewId="0">
      <selection activeCell="B34" sqref="B34"/>
    </sheetView>
  </sheetViews>
  <sheetFormatPr defaultColWidth="11.5703125" defaultRowHeight="12.75" customHeight="1" x14ac:dyDescent="0.2"/>
  <cols>
    <col min="1" max="1" width="21.7109375" style="1" customWidth="1"/>
    <col min="2" max="2" width="26.140625" style="1" customWidth="1"/>
    <col min="3" max="3" width="21" style="1" customWidth="1"/>
    <col min="4" max="4" width="17.42578125" style="1" customWidth="1"/>
    <col min="5" max="5" width="21" style="1" customWidth="1"/>
    <col min="6" max="6" width="23.5703125" style="1" customWidth="1"/>
    <col min="7" max="7" width="21" style="1" customWidth="1"/>
  </cols>
  <sheetData>
    <row r="1" spans="1:7" ht="15" x14ac:dyDescent="0.25">
      <c r="A1" s="4" t="s">
        <v>47</v>
      </c>
      <c r="B1" s="5" t="s">
        <v>25</v>
      </c>
    </row>
    <row r="2" spans="1:7" ht="12.75" customHeight="1" x14ac:dyDescent="0.2">
      <c r="A2" s="1" t="s">
        <v>26</v>
      </c>
      <c r="B2" s="1" t="s">
        <v>27</v>
      </c>
      <c r="C2" s="1" t="s">
        <v>48</v>
      </c>
      <c r="D2" s="1" t="s">
        <v>31</v>
      </c>
      <c r="E2" s="1" t="s">
        <v>49</v>
      </c>
      <c r="F2" s="1" t="s">
        <v>50</v>
      </c>
      <c r="G2" s="1" t="s">
        <v>51</v>
      </c>
    </row>
    <row r="3" spans="1:7" ht="12.75" customHeight="1" x14ac:dyDescent="0.2">
      <c r="A3" s="1">
        <v>20220131</v>
      </c>
      <c r="B3" s="1">
        <v>1</v>
      </c>
      <c r="C3" s="1" t="s">
        <v>52</v>
      </c>
      <c r="D3" s="1" t="s">
        <v>38</v>
      </c>
      <c r="E3" s="11">
        <v>0</v>
      </c>
      <c r="F3" s="11">
        <v>0</v>
      </c>
      <c r="G3" s="11">
        <v>0</v>
      </c>
    </row>
    <row r="4" spans="1:7" ht="12.75" customHeight="1" x14ac:dyDescent="0.2">
      <c r="A4" s="1">
        <v>20220131</v>
      </c>
      <c r="B4" s="1">
        <v>1</v>
      </c>
      <c r="C4" s="12" t="s">
        <v>53</v>
      </c>
      <c r="D4" s="1" t="s">
        <v>38</v>
      </c>
      <c r="E4" s="11">
        <v>0</v>
      </c>
      <c r="F4" s="11">
        <v>0</v>
      </c>
      <c r="G4" s="11">
        <v>0</v>
      </c>
    </row>
    <row r="5" spans="1:7" ht="12.75" customHeight="1" x14ac:dyDescent="0.2">
      <c r="A5" s="1">
        <v>20220131</v>
      </c>
      <c r="B5" s="1">
        <v>1</v>
      </c>
      <c r="C5" s="1" t="s">
        <v>54</v>
      </c>
      <c r="D5" s="1" t="s">
        <v>38</v>
      </c>
      <c r="E5" s="11">
        <v>12000</v>
      </c>
      <c r="F5" s="11">
        <v>0</v>
      </c>
      <c r="G5" s="11">
        <v>12000</v>
      </c>
    </row>
    <row r="6" spans="1:7" ht="12.75" customHeight="1" x14ac:dyDescent="0.2">
      <c r="A6" s="1">
        <v>20220228</v>
      </c>
      <c r="B6" s="1">
        <v>1</v>
      </c>
      <c r="C6" s="1" t="s">
        <v>52</v>
      </c>
      <c r="D6" s="1" t="s">
        <v>38</v>
      </c>
      <c r="E6" s="11">
        <v>60</v>
      </c>
      <c r="F6" s="11">
        <v>0</v>
      </c>
      <c r="G6" s="11">
        <v>60</v>
      </c>
    </row>
    <row r="7" spans="1:7" ht="12.75" customHeight="1" x14ac:dyDescent="0.2">
      <c r="A7" s="1">
        <v>20220228</v>
      </c>
      <c r="B7" s="1">
        <v>1</v>
      </c>
      <c r="C7" s="12" t="s">
        <v>53</v>
      </c>
      <c r="D7" s="1" t="s">
        <v>38</v>
      </c>
      <c r="E7" s="11">
        <v>-3065.4515000000001</v>
      </c>
      <c r="F7" s="11">
        <v>0</v>
      </c>
      <c r="G7" s="11">
        <v>-3065.4515000000001</v>
      </c>
    </row>
    <row r="8" spans="1:7" ht="12.75" customHeight="1" x14ac:dyDescent="0.2">
      <c r="A8" s="1">
        <v>20220228</v>
      </c>
      <c r="B8" s="1">
        <v>1</v>
      </c>
      <c r="C8" s="1" t="s">
        <v>54</v>
      </c>
      <c r="D8" s="1" t="s">
        <v>38</v>
      </c>
      <c r="E8" s="11">
        <v>0</v>
      </c>
      <c r="F8" s="11">
        <v>12000</v>
      </c>
      <c r="G8" s="11">
        <v>12000</v>
      </c>
    </row>
    <row r="9" spans="1:7" ht="12.75" customHeight="1" x14ac:dyDescent="0.2">
      <c r="A9" s="1">
        <v>20220331</v>
      </c>
      <c r="B9" s="1">
        <v>1</v>
      </c>
      <c r="C9" s="1" t="s">
        <v>52</v>
      </c>
      <c r="D9" s="1" t="s">
        <v>38</v>
      </c>
      <c r="E9" s="11">
        <v>-4.8500000000000014</v>
      </c>
      <c r="F9" s="11">
        <v>60</v>
      </c>
      <c r="G9" s="11">
        <v>55.15</v>
      </c>
    </row>
    <row r="10" spans="1:7" ht="12.75" customHeight="1" x14ac:dyDescent="0.2">
      <c r="A10" s="1">
        <v>20220331</v>
      </c>
      <c r="B10" s="1">
        <v>1</v>
      </c>
      <c r="C10" s="12" t="s">
        <v>53</v>
      </c>
      <c r="D10" s="1" t="s">
        <v>38</v>
      </c>
      <c r="E10" s="11">
        <v>-283.98700000000002</v>
      </c>
      <c r="F10" s="11">
        <v>-3065.4515000000001</v>
      </c>
      <c r="G10" s="11">
        <v>-3349.4385000000002</v>
      </c>
    </row>
    <row r="11" spans="1:7" ht="12.75" customHeight="1" x14ac:dyDescent="0.2">
      <c r="A11" s="1">
        <v>20220331</v>
      </c>
      <c r="B11" s="1">
        <v>1</v>
      </c>
      <c r="C11" s="1" t="s">
        <v>54</v>
      </c>
      <c r="D11" s="1" t="s">
        <v>38</v>
      </c>
      <c r="E11" s="11">
        <v>-970</v>
      </c>
      <c r="F11" s="11">
        <v>12000</v>
      </c>
      <c r="G11" s="11">
        <v>11030</v>
      </c>
    </row>
    <row r="12" spans="1:7" ht="12.75" customHeight="1" x14ac:dyDescent="0.2">
      <c r="A12" s="1">
        <v>20220430</v>
      </c>
      <c r="B12" s="1">
        <v>1</v>
      </c>
      <c r="C12" s="1" t="s">
        <v>52</v>
      </c>
      <c r="D12" s="1" t="s">
        <v>38</v>
      </c>
      <c r="E12" s="11">
        <v>55.15</v>
      </c>
      <c r="F12" s="11">
        <v>55.15</v>
      </c>
      <c r="G12" s="11">
        <v>110.3</v>
      </c>
    </row>
    <row r="13" spans="1:7" ht="12.75" customHeight="1" x14ac:dyDescent="0.2">
      <c r="A13" s="1">
        <v>20220430</v>
      </c>
      <c r="B13" s="1">
        <v>1</v>
      </c>
      <c r="C13" s="12" t="s">
        <v>53</v>
      </c>
      <c r="D13" s="1" t="s">
        <v>38</v>
      </c>
      <c r="E13" s="11">
        <v>2836.4295999999999</v>
      </c>
      <c r="F13" s="11">
        <v>-3349.4385000000002</v>
      </c>
      <c r="G13" s="11">
        <v>-513.00890000000027</v>
      </c>
    </row>
    <row r="14" spans="1:7" ht="12.75" customHeight="1" x14ac:dyDescent="0.2">
      <c r="A14" s="1">
        <v>20220430</v>
      </c>
      <c r="B14" s="1">
        <v>1</v>
      </c>
      <c r="C14" s="1" t="s">
        <v>54</v>
      </c>
      <c r="D14" s="1" t="s">
        <v>38</v>
      </c>
      <c r="E14" s="11">
        <v>0</v>
      </c>
      <c r="F14" s="11">
        <v>11030</v>
      </c>
      <c r="G14" s="11">
        <v>11030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="120" workbookViewId="0">
      <selection activeCell="D36" sqref="D36"/>
    </sheetView>
  </sheetViews>
  <sheetFormatPr defaultColWidth="11.5703125" defaultRowHeight="12.75" customHeight="1" x14ac:dyDescent="0.2"/>
  <cols>
    <col min="1" max="1" width="21.7109375" style="1" customWidth="1"/>
    <col min="2" max="2" width="26.140625" style="1" customWidth="1"/>
    <col min="3" max="3" width="21" style="1" customWidth="1"/>
    <col min="4" max="4" width="17.42578125" style="1" customWidth="1"/>
    <col min="5" max="5" width="21" style="1" customWidth="1"/>
    <col min="6" max="6" width="23.5703125" style="1" customWidth="1"/>
    <col min="7" max="7" width="21" style="1" customWidth="1"/>
  </cols>
  <sheetData>
    <row r="1" spans="1:7" ht="15" x14ac:dyDescent="0.25">
      <c r="A1" s="4" t="s">
        <v>47</v>
      </c>
      <c r="B1" s="5" t="s">
        <v>45</v>
      </c>
    </row>
    <row r="2" spans="1:7" ht="12.75" customHeight="1" x14ac:dyDescent="0.2">
      <c r="A2" s="1" t="s">
        <v>26</v>
      </c>
      <c r="B2" s="1" t="s">
        <v>27</v>
      </c>
      <c r="C2" s="1" t="s">
        <v>48</v>
      </c>
      <c r="D2" s="1" t="s">
        <v>31</v>
      </c>
      <c r="E2" s="1" t="s">
        <v>49</v>
      </c>
      <c r="F2" s="1" t="s">
        <v>50</v>
      </c>
      <c r="G2" s="1" t="s">
        <v>51</v>
      </c>
    </row>
    <row r="3" spans="1:7" ht="12.75" customHeight="1" x14ac:dyDescent="0.2">
      <c r="A3" s="1">
        <v>20220131</v>
      </c>
      <c r="B3" s="1">
        <v>1</v>
      </c>
      <c r="C3" s="1" t="s">
        <v>52</v>
      </c>
      <c r="D3" s="1" t="s">
        <v>46</v>
      </c>
      <c r="E3" s="11">
        <v>0</v>
      </c>
      <c r="F3" s="11">
        <v>0</v>
      </c>
      <c r="G3" s="11">
        <v>0</v>
      </c>
    </row>
    <row r="4" spans="1:7" ht="12.75" customHeight="1" x14ac:dyDescent="0.2">
      <c r="A4" s="1">
        <v>20220131</v>
      </c>
      <c r="B4" s="1">
        <v>1</v>
      </c>
      <c r="C4" s="12" t="s">
        <v>53</v>
      </c>
      <c r="D4" s="1" t="s">
        <v>46</v>
      </c>
      <c r="E4" s="11">
        <v>0</v>
      </c>
      <c r="F4" s="11">
        <v>0</v>
      </c>
      <c r="G4" s="11">
        <v>0</v>
      </c>
    </row>
    <row r="5" spans="1:7" ht="12.75" customHeight="1" x14ac:dyDescent="0.2">
      <c r="A5" s="1">
        <v>20220131</v>
      </c>
      <c r="B5" s="1">
        <v>1</v>
      </c>
      <c r="C5" s="1" t="s">
        <v>54</v>
      </c>
      <c r="D5" s="1" t="s">
        <v>46</v>
      </c>
      <c r="E5" s="11">
        <v>15000</v>
      </c>
      <c r="F5" s="11">
        <v>0</v>
      </c>
      <c r="G5" s="11">
        <v>15000</v>
      </c>
    </row>
    <row r="6" spans="1:7" ht="12.75" customHeight="1" x14ac:dyDescent="0.2">
      <c r="A6" s="1">
        <v>20220228</v>
      </c>
      <c r="B6" s="1">
        <v>1</v>
      </c>
      <c r="C6" s="1" t="s">
        <v>52</v>
      </c>
      <c r="D6" s="1" t="s">
        <v>46</v>
      </c>
      <c r="E6" s="11">
        <v>125</v>
      </c>
      <c r="F6" s="11">
        <v>0</v>
      </c>
      <c r="G6" s="11">
        <v>125</v>
      </c>
    </row>
    <row r="7" spans="1:7" ht="12.75" customHeight="1" x14ac:dyDescent="0.2">
      <c r="A7" s="1">
        <v>20220228</v>
      </c>
      <c r="B7" s="1">
        <v>1</v>
      </c>
      <c r="C7" s="12" t="s">
        <v>53</v>
      </c>
      <c r="D7" s="1" t="s">
        <v>46</v>
      </c>
      <c r="E7" s="11">
        <v>-166.61699729843735</v>
      </c>
      <c r="F7" s="11">
        <v>0</v>
      </c>
      <c r="G7" s="11">
        <v>-166.61699729843735</v>
      </c>
    </row>
    <row r="8" spans="1:7" ht="12.75" customHeight="1" x14ac:dyDescent="0.2">
      <c r="A8" s="1">
        <v>20220228</v>
      </c>
      <c r="B8" s="1">
        <v>1</v>
      </c>
      <c r="C8" s="1" t="s">
        <v>54</v>
      </c>
      <c r="D8" s="1" t="s">
        <v>46</v>
      </c>
      <c r="E8" s="11">
        <v>0</v>
      </c>
      <c r="F8" s="11">
        <v>15000</v>
      </c>
      <c r="G8" s="11">
        <v>15000</v>
      </c>
    </row>
    <row r="9" spans="1:7" ht="12.75" customHeight="1" x14ac:dyDescent="0.2">
      <c r="A9" s="1">
        <v>20220331</v>
      </c>
      <c r="B9" s="1">
        <v>1</v>
      </c>
      <c r="C9" s="1" t="s">
        <v>52</v>
      </c>
      <c r="D9" s="1" t="s">
        <v>46</v>
      </c>
      <c r="E9" s="11">
        <v>-6.8332999999999942</v>
      </c>
      <c r="F9" s="11">
        <v>125</v>
      </c>
      <c r="G9" s="11">
        <v>118.16670000000001</v>
      </c>
    </row>
    <row r="10" spans="1:7" ht="12.75" customHeight="1" x14ac:dyDescent="0.2">
      <c r="A10" s="1">
        <v>20220331</v>
      </c>
      <c r="B10" s="1">
        <v>1</v>
      </c>
      <c r="C10" s="12" t="s">
        <v>53</v>
      </c>
      <c r="D10" s="1" t="s">
        <v>46</v>
      </c>
      <c r="E10" s="11">
        <v>-1407.6016999999999</v>
      </c>
      <c r="F10" s="11">
        <v>-166.61699729843735</v>
      </c>
      <c r="G10" s="11">
        <v>-1574.2186972984373</v>
      </c>
    </row>
    <row r="11" spans="1:7" ht="12.75" customHeight="1" x14ac:dyDescent="0.2">
      <c r="A11" s="1">
        <v>20220331</v>
      </c>
      <c r="B11" s="1">
        <v>1</v>
      </c>
      <c r="C11" s="1" t="s">
        <v>54</v>
      </c>
      <c r="D11" s="1" t="s">
        <v>46</v>
      </c>
      <c r="E11" s="11">
        <v>-820</v>
      </c>
      <c r="F11" s="11">
        <v>15000</v>
      </c>
      <c r="G11" s="11">
        <v>14180</v>
      </c>
    </row>
    <row r="12" spans="1:7" ht="12.75" customHeight="1" x14ac:dyDescent="0.2">
      <c r="A12" s="1">
        <v>20220430</v>
      </c>
      <c r="B12" s="1">
        <v>1</v>
      </c>
      <c r="C12" s="1" t="s">
        <v>52</v>
      </c>
      <c r="D12" s="1" t="s">
        <v>46</v>
      </c>
      <c r="E12" s="11">
        <v>0</v>
      </c>
      <c r="F12" s="11">
        <v>118.16670000000001</v>
      </c>
      <c r="G12" s="11">
        <v>118.16670000000001</v>
      </c>
    </row>
    <row r="13" spans="1:7" ht="12.75" customHeight="1" x14ac:dyDescent="0.2">
      <c r="A13" s="1">
        <v>20220430</v>
      </c>
      <c r="B13" s="1">
        <v>1</v>
      </c>
      <c r="C13" s="12" t="s">
        <v>53</v>
      </c>
      <c r="D13" s="1" t="s">
        <v>46</v>
      </c>
      <c r="E13" s="11">
        <v>16954.028999999999</v>
      </c>
      <c r="F13" s="11">
        <v>-1574.2186972984373</v>
      </c>
      <c r="G13" s="11">
        <v>15379.81030270156</v>
      </c>
    </row>
    <row r="14" spans="1:7" ht="12.75" customHeight="1" x14ac:dyDescent="0.2">
      <c r="A14" s="1">
        <v>20220430</v>
      </c>
      <c r="B14" s="1">
        <v>1</v>
      </c>
      <c r="C14" s="1" t="s">
        <v>54</v>
      </c>
      <c r="D14" s="1" t="s">
        <v>46</v>
      </c>
      <c r="E14" s="11">
        <v>118.16670000000001</v>
      </c>
      <c r="F14" s="11">
        <v>14180</v>
      </c>
      <c r="G14" s="11">
        <v>14298.1667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zoomScale="120" workbookViewId="0">
      <selection activeCell="C4" sqref="C4:C14"/>
    </sheetView>
  </sheetViews>
  <sheetFormatPr defaultColWidth="11.5703125" defaultRowHeight="12.75" customHeight="1" x14ac:dyDescent="0.2"/>
  <cols>
    <col min="1" max="1" width="28.42578125" style="1" customWidth="1"/>
    <col min="2" max="2" width="15.85546875" style="1" bestFit="1" customWidth="1"/>
    <col min="3" max="3" width="11.140625" style="1" bestFit="1" customWidth="1"/>
    <col min="4" max="4" width="13.85546875" style="1" bestFit="1" customWidth="1"/>
    <col min="5" max="5" width="23.42578125" style="1" bestFit="1" customWidth="1"/>
    <col min="6" max="6" width="20.7109375" style="1" bestFit="1" customWidth="1"/>
  </cols>
  <sheetData>
    <row r="1" spans="1:6" ht="15" x14ac:dyDescent="0.25">
      <c r="A1" s="4" t="s">
        <v>55</v>
      </c>
      <c r="B1" s="5" t="s">
        <v>45</v>
      </c>
    </row>
    <row r="2" spans="1:6" x14ac:dyDescent="0.2">
      <c r="A2" s="1" t="s">
        <v>26</v>
      </c>
      <c r="B2" s="1" t="s">
        <v>48</v>
      </c>
      <c r="C2" s="1" t="s">
        <v>31</v>
      </c>
      <c r="D2" s="1" t="s">
        <v>49</v>
      </c>
      <c r="E2" s="1" t="s">
        <v>50</v>
      </c>
      <c r="F2" s="1" t="s">
        <v>51</v>
      </c>
    </row>
    <row r="3" spans="1:6" x14ac:dyDescent="0.2">
      <c r="A3" s="1">
        <v>20220131</v>
      </c>
      <c r="B3" s="1" t="s">
        <v>52</v>
      </c>
      <c r="C3" s="1" t="s">
        <v>46</v>
      </c>
      <c r="D3" s="11">
        <v>0</v>
      </c>
      <c r="E3" s="11">
        <v>0</v>
      </c>
      <c r="F3" s="11">
        <f t="shared" ref="F3:F14" si="0">E3+D3</f>
        <v>0</v>
      </c>
    </row>
    <row r="4" spans="1:6" x14ac:dyDescent="0.2">
      <c r="A4" s="1">
        <v>20220131</v>
      </c>
      <c r="B4" s="12" t="s">
        <v>53</v>
      </c>
      <c r="C4" s="1" t="s">
        <v>46</v>
      </c>
      <c r="D4" s="11">
        <v>0</v>
      </c>
      <c r="E4" s="11">
        <v>0</v>
      </c>
      <c r="F4" s="11">
        <f t="shared" si="0"/>
        <v>0</v>
      </c>
    </row>
    <row r="5" spans="1:6" x14ac:dyDescent="0.2">
      <c r="A5" s="1">
        <v>20220131</v>
      </c>
      <c r="B5" s="1" t="s">
        <v>54</v>
      </c>
      <c r="C5" s="1" t="s">
        <v>46</v>
      </c>
      <c r="D5" s="11">
        <f>O_TransactionActivity2!G3</f>
        <v>15000</v>
      </c>
      <c r="E5" s="11">
        <v>0</v>
      </c>
      <c r="F5" s="11">
        <f t="shared" si="0"/>
        <v>15000</v>
      </c>
    </row>
    <row r="6" spans="1:6" x14ac:dyDescent="0.2">
      <c r="A6" s="1">
        <v>20220228</v>
      </c>
      <c r="B6" s="1" t="s">
        <v>52</v>
      </c>
      <c r="C6" s="1" t="s">
        <v>46</v>
      </c>
      <c r="D6" s="11">
        <f>O_TransactionActivity2!G5</f>
        <v>125</v>
      </c>
      <c r="E6" s="11">
        <f t="shared" ref="E6:E14" si="1">F3</f>
        <v>0</v>
      </c>
      <c r="F6" s="11">
        <f t="shared" si="0"/>
        <v>125</v>
      </c>
    </row>
    <row r="7" spans="1:6" ht="12.75" customHeight="1" x14ac:dyDescent="0.2">
      <c r="A7" s="1">
        <v>20220228</v>
      </c>
      <c r="B7" s="12" t="s">
        <v>53</v>
      </c>
      <c r="C7" s="1" t="s">
        <v>46</v>
      </c>
      <c r="D7" s="11">
        <f>O_TransactionActivity2!G4</f>
        <v>-166.61699729843735</v>
      </c>
      <c r="E7" s="11">
        <f t="shared" si="1"/>
        <v>0</v>
      </c>
      <c r="F7" s="11">
        <f t="shared" si="0"/>
        <v>-166.61699729843735</v>
      </c>
    </row>
    <row r="8" spans="1:6" ht="12.75" customHeight="1" x14ac:dyDescent="0.2">
      <c r="A8" s="1">
        <v>20220228</v>
      </c>
      <c r="B8" s="1" t="s">
        <v>54</v>
      </c>
      <c r="C8" s="1" t="s">
        <v>46</v>
      </c>
      <c r="D8" s="11">
        <v>0</v>
      </c>
      <c r="E8" s="11">
        <f t="shared" si="1"/>
        <v>15000</v>
      </c>
      <c r="F8" s="11">
        <f t="shared" si="0"/>
        <v>15000</v>
      </c>
    </row>
    <row r="9" spans="1:6" ht="12.75" customHeight="1" x14ac:dyDescent="0.2">
      <c r="A9" s="1">
        <v>20220331</v>
      </c>
      <c r="B9" s="1" t="s">
        <v>52</v>
      </c>
      <c r="C9" s="1" t="s">
        <v>46</v>
      </c>
      <c r="D9" s="11">
        <f>O_TransactionActivity2!G7+O_TransactionActivity2!G8</f>
        <v>-6.8332999999999942</v>
      </c>
      <c r="E9" s="11">
        <f t="shared" si="1"/>
        <v>125</v>
      </c>
      <c r="F9" s="11">
        <f t="shared" si="0"/>
        <v>118.16670000000001</v>
      </c>
    </row>
    <row r="10" spans="1:6" ht="12.75" customHeight="1" x14ac:dyDescent="0.2">
      <c r="A10" s="1">
        <v>20220331</v>
      </c>
      <c r="B10" s="12" t="s">
        <v>53</v>
      </c>
      <c r="C10" s="1" t="s">
        <v>46</v>
      </c>
      <c r="D10" s="11">
        <f>O_TransactionActivity2!G6</f>
        <v>-1407.6016999999999</v>
      </c>
      <c r="E10" s="11">
        <f t="shared" si="1"/>
        <v>-166.61699729843735</v>
      </c>
      <c r="F10" s="11">
        <f t="shared" si="0"/>
        <v>-1574.2186972984373</v>
      </c>
    </row>
    <row r="11" spans="1:6" ht="12.75" customHeight="1" x14ac:dyDescent="0.2">
      <c r="A11" s="1">
        <v>20220331</v>
      </c>
      <c r="B11" s="1" t="s">
        <v>54</v>
      </c>
      <c r="C11" s="1" t="s">
        <v>46</v>
      </c>
      <c r="D11" s="11">
        <f>O_TransactionActivity2!G9</f>
        <v>-820</v>
      </c>
      <c r="E11" s="11">
        <f t="shared" si="1"/>
        <v>15000</v>
      </c>
      <c r="F11" s="11">
        <f t="shared" si="0"/>
        <v>14180</v>
      </c>
    </row>
    <row r="12" spans="1:6" ht="12.75" customHeight="1" x14ac:dyDescent="0.2">
      <c r="A12" s="1">
        <v>20220430</v>
      </c>
      <c r="B12" s="1" t="s">
        <v>52</v>
      </c>
      <c r="C12" s="1" t="s">
        <v>46</v>
      </c>
      <c r="D12" s="11">
        <v>0</v>
      </c>
      <c r="E12" s="11">
        <f t="shared" si="1"/>
        <v>118.16670000000001</v>
      </c>
      <c r="F12" s="11">
        <f t="shared" si="0"/>
        <v>118.16670000000001</v>
      </c>
    </row>
    <row r="13" spans="1:6" ht="12.75" customHeight="1" x14ac:dyDescent="0.2">
      <c r="A13" s="1">
        <v>20220430</v>
      </c>
      <c r="B13" s="12" t="s">
        <v>53</v>
      </c>
      <c r="C13" s="1" t="s">
        <v>46</v>
      </c>
      <c r="D13" s="11">
        <f>O_TransactionActivity2!G10</f>
        <v>16954.028999999999</v>
      </c>
      <c r="E13" s="11">
        <f t="shared" si="1"/>
        <v>-1574.2186972984373</v>
      </c>
      <c r="F13" s="11">
        <f t="shared" si="0"/>
        <v>15379.81030270156</v>
      </c>
    </row>
    <row r="14" spans="1:6" ht="12.75" customHeight="1" x14ac:dyDescent="0.2">
      <c r="A14" s="1">
        <v>20220430</v>
      </c>
      <c r="B14" s="1" t="s">
        <v>54</v>
      </c>
      <c r="C14" s="1" t="s">
        <v>46</v>
      </c>
      <c r="D14" s="11">
        <f>O_TransactionActivity2!G11</f>
        <v>118.16670000000001</v>
      </c>
      <c r="E14" s="11">
        <f t="shared" si="1"/>
        <v>14180</v>
      </c>
      <c r="F14" s="11">
        <f t="shared" si="0"/>
        <v>14298.1667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zoomScale="120" workbookViewId="0">
      <selection activeCell="F8" sqref="F8"/>
    </sheetView>
  </sheetViews>
  <sheetFormatPr defaultColWidth="11.5703125" defaultRowHeight="12.75" customHeight="1" x14ac:dyDescent="0.2"/>
  <cols>
    <col min="1" max="1" width="28.42578125" style="1" customWidth="1"/>
    <col min="2" max="2" width="15.85546875" style="1" bestFit="1" customWidth="1"/>
    <col min="3" max="3" width="11.140625" style="1" bestFit="1" customWidth="1"/>
    <col min="4" max="4" width="13.85546875" style="1" bestFit="1" customWidth="1"/>
    <col min="5" max="5" width="23.42578125" style="1" bestFit="1" customWidth="1"/>
    <col min="6" max="6" width="20.7109375" style="1" bestFit="1" customWidth="1"/>
  </cols>
  <sheetData>
    <row r="1" spans="1:6" ht="15" x14ac:dyDescent="0.25">
      <c r="A1" s="4" t="s">
        <v>55</v>
      </c>
      <c r="B1" s="5" t="s">
        <v>25</v>
      </c>
    </row>
    <row r="2" spans="1:6" x14ac:dyDescent="0.2">
      <c r="A2" s="1" t="s">
        <v>26</v>
      </c>
      <c r="B2" s="1" t="s">
        <v>48</v>
      </c>
      <c r="C2" s="1" t="s">
        <v>31</v>
      </c>
      <c r="D2" s="1" t="s">
        <v>49</v>
      </c>
      <c r="E2" s="1" t="s">
        <v>50</v>
      </c>
      <c r="F2" s="1" t="s">
        <v>51</v>
      </c>
    </row>
    <row r="3" spans="1:6" x14ac:dyDescent="0.2">
      <c r="A3" s="1">
        <v>20220131</v>
      </c>
      <c r="B3" s="1" t="s">
        <v>52</v>
      </c>
      <c r="C3" s="1" t="s">
        <v>38</v>
      </c>
      <c r="D3" s="11">
        <v>0</v>
      </c>
      <c r="E3" s="11">
        <v>0</v>
      </c>
      <c r="F3" s="11">
        <f t="shared" ref="F3:F14" si="0">E3+D3</f>
        <v>0</v>
      </c>
    </row>
    <row r="4" spans="1:6" x14ac:dyDescent="0.2">
      <c r="A4" s="1">
        <v>20220131</v>
      </c>
      <c r="B4" s="12" t="s">
        <v>53</v>
      </c>
      <c r="C4" s="1" t="s">
        <v>38</v>
      </c>
      <c r="D4" s="11">
        <v>0</v>
      </c>
      <c r="E4" s="11">
        <v>0</v>
      </c>
      <c r="F4" s="11">
        <f t="shared" si="0"/>
        <v>0</v>
      </c>
    </row>
    <row r="5" spans="1:6" x14ac:dyDescent="0.2">
      <c r="A5" s="1">
        <v>20220131</v>
      </c>
      <c r="B5" s="1" t="s">
        <v>54</v>
      </c>
      <c r="C5" s="1" t="s">
        <v>38</v>
      </c>
      <c r="D5" s="11">
        <f>O_TransactionActivity!G3</f>
        <v>12000</v>
      </c>
      <c r="E5" s="11">
        <v>0</v>
      </c>
      <c r="F5" s="11">
        <f t="shared" si="0"/>
        <v>12000</v>
      </c>
    </row>
    <row r="6" spans="1:6" x14ac:dyDescent="0.2">
      <c r="A6" s="1">
        <v>20220228</v>
      </c>
      <c r="B6" s="1" t="s">
        <v>52</v>
      </c>
      <c r="C6" s="1" t="s">
        <v>38</v>
      </c>
      <c r="D6" s="11">
        <f>O_TransactionActivity!G5</f>
        <v>60</v>
      </c>
      <c r="E6" s="11">
        <f t="shared" ref="E6:E14" si="1">F3</f>
        <v>0</v>
      </c>
      <c r="F6" s="11">
        <f t="shared" si="0"/>
        <v>60</v>
      </c>
    </row>
    <row r="7" spans="1:6" ht="12.75" customHeight="1" x14ac:dyDescent="0.2">
      <c r="A7" s="1">
        <v>20220228</v>
      </c>
      <c r="B7" s="12" t="s">
        <v>53</v>
      </c>
      <c r="C7" s="1" t="s">
        <v>38</v>
      </c>
      <c r="D7" s="11">
        <f>O_TransactionActivity!G4</f>
        <v>-3065.4515000000001</v>
      </c>
      <c r="E7" s="11">
        <f t="shared" si="1"/>
        <v>0</v>
      </c>
      <c r="F7" s="11">
        <f t="shared" si="0"/>
        <v>-3065.4515000000001</v>
      </c>
    </row>
    <row r="8" spans="1:6" ht="12.75" customHeight="1" x14ac:dyDescent="0.2">
      <c r="A8" s="1">
        <v>20220228</v>
      </c>
      <c r="B8" s="1" t="s">
        <v>54</v>
      </c>
      <c r="C8" s="1" t="s">
        <v>38</v>
      </c>
      <c r="D8" s="11">
        <v>0</v>
      </c>
      <c r="E8" s="11">
        <f t="shared" si="1"/>
        <v>12000</v>
      </c>
      <c r="F8" s="11">
        <f t="shared" si="0"/>
        <v>12000</v>
      </c>
    </row>
    <row r="9" spans="1:6" ht="12.75" customHeight="1" x14ac:dyDescent="0.2">
      <c r="A9" s="1">
        <v>20220331</v>
      </c>
      <c r="B9" s="1" t="s">
        <v>52</v>
      </c>
      <c r="C9" s="1" t="s">
        <v>38</v>
      </c>
      <c r="D9" s="11">
        <f>O_TransactionActivity!G7+O_TransactionActivity!G8</f>
        <v>-4.8500000000000014</v>
      </c>
      <c r="E9" s="11">
        <f t="shared" si="1"/>
        <v>60</v>
      </c>
      <c r="F9" s="11">
        <f t="shared" si="0"/>
        <v>55.15</v>
      </c>
    </row>
    <row r="10" spans="1:6" ht="12.75" customHeight="1" x14ac:dyDescent="0.2">
      <c r="A10" s="1">
        <v>20220331</v>
      </c>
      <c r="B10" s="12" t="s">
        <v>53</v>
      </c>
      <c r="C10" s="1" t="s">
        <v>38</v>
      </c>
      <c r="D10" s="11">
        <f>O_TransactionActivity!G6</f>
        <v>-283.98700000000002</v>
      </c>
      <c r="E10" s="11">
        <f t="shared" si="1"/>
        <v>-3065.4515000000001</v>
      </c>
      <c r="F10" s="11">
        <f t="shared" si="0"/>
        <v>-3349.4385000000002</v>
      </c>
    </row>
    <row r="11" spans="1:6" ht="12.75" customHeight="1" x14ac:dyDescent="0.2">
      <c r="A11" s="1">
        <v>20220331</v>
      </c>
      <c r="B11" s="1" t="s">
        <v>54</v>
      </c>
      <c r="C11" s="1" t="s">
        <v>38</v>
      </c>
      <c r="D11" s="11">
        <f>O_TransactionActivity!G9</f>
        <v>-970</v>
      </c>
      <c r="E11" s="11">
        <f t="shared" si="1"/>
        <v>12000</v>
      </c>
      <c r="F11" s="11">
        <f t="shared" si="0"/>
        <v>11030</v>
      </c>
    </row>
    <row r="12" spans="1:6" ht="12.75" customHeight="1" x14ac:dyDescent="0.2">
      <c r="A12" s="1">
        <v>20220430</v>
      </c>
      <c r="B12" s="1" t="s">
        <v>52</v>
      </c>
      <c r="C12" s="1" t="s">
        <v>38</v>
      </c>
      <c r="D12" s="11">
        <f>O_TransactionActivity!G11</f>
        <v>55.15</v>
      </c>
      <c r="E12" s="11">
        <f t="shared" si="1"/>
        <v>55.15</v>
      </c>
      <c r="F12" s="11">
        <f t="shared" si="0"/>
        <v>110.3</v>
      </c>
    </row>
    <row r="13" spans="1:6" ht="12.75" customHeight="1" x14ac:dyDescent="0.2">
      <c r="A13" s="1">
        <v>20220430</v>
      </c>
      <c r="B13" s="12" t="s">
        <v>53</v>
      </c>
      <c r="C13" s="1" t="s">
        <v>38</v>
      </c>
      <c r="D13" s="11">
        <f>O_TransactionActivity!G10</f>
        <v>2836.4295999999999</v>
      </c>
      <c r="E13" s="11">
        <f t="shared" si="1"/>
        <v>-3349.4385000000002</v>
      </c>
      <c r="F13" s="11">
        <f t="shared" si="0"/>
        <v>-513.00890000000027</v>
      </c>
    </row>
    <row r="14" spans="1:6" ht="12.75" customHeight="1" x14ac:dyDescent="0.2">
      <c r="A14" s="1">
        <v>20220430</v>
      </c>
      <c r="B14" s="1" t="s">
        <v>54</v>
      </c>
      <c r="C14" s="1" t="s">
        <v>38</v>
      </c>
      <c r="D14" s="11">
        <v>0</v>
      </c>
      <c r="E14" s="11">
        <f t="shared" si="1"/>
        <v>11030</v>
      </c>
      <c r="F14" s="11">
        <f t="shared" si="0"/>
        <v>11030</v>
      </c>
    </row>
  </sheetData>
  <sortState xmlns:xlrd2="http://schemas.microsoft.com/office/spreadsheetml/2017/richdata2" ref="A3:F14">
    <sortCondition ref="A3:A14"/>
    <sortCondition ref="B3:B14"/>
  </sortState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="120" workbookViewId="0"/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3.5703125" style="1" customWidth="1"/>
    <col min="4" max="5" width="24.85546875" style="1" customWidth="1"/>
    <col min="6" max="6" width="23.5703125" style="1" customWidth="1"/>
    <col min="7" max="7" width="21" style="1" customWidth="1"/>
  </cols>
  <sheetData>
    <row r="1" spans="1:5" ht="15" x14ac:dyDescent="0.25">
      <c r="A1" s="4" t="s">
        <v>56</v>
      </c>
      <c r="B1" s="5" t="s">
        <v>57</v>
      </c>
    </row>
    <row r="2" spans="1:5" x14ac:dyDescent="0.2">
      <c r="A2" s="1" t="s">
        <v>26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x14ac:dyDescent="0.2">
      <c r="A3" s="1">
        <v>20220131</v>
      </c>
      <c r="B3" s="1" t="s">
        <v>52</v>
      </c>
      <c r="C3" s="11">
        <f>O_Instrument2!D3+O_Instrument!D3</f>
        <v>0</v>
      </c>
      <c r="D3" s="11">
        <f>O_Instrument2!E3+O_Instrument!E3</f>
        <v>0</v>
      </c>
      <c r="E3" s="11">
        <f>O_Instrument2!F3+O_Instrument!F3</f>
        <v>0</v>
      </c>
    </row>
    <row r="4" spans="1:5" x14ac:dyDescent="0.2">
      <c r="A4" s="1">
        <v>20220131</v>
      </c>
      <c r="B4" s="12" t="s">
        <v>53</v>
      </c>
      <c r="C4" s="11">
        <f>O_Instrument2!D4+O_Instrument!D4</f>
        <v>0</v>
      </c>
      <c r="D4" s="11">
        <f>O_Instrument2!E4+O_Instrument!E4</f>
        <v>0</v>
      </c>
      <c r="E4" s="11">
        <f>O_Instrument2!F4+O_Instrument!F4</f>
        <v>0</v>
      </c>
    </row>
    <row r="5" spans="1:5" x14ac:dyDescent="0.2">
      <c r="A5" s="1">
        <v>20220131</v>
      </c>
      <c r="B5" s="1" t="s">
        <v>54</v>
      </c>
      <c r="C5" s="11">
        <f>O_Instrument2!D5+O_Instrument!D5</f>
        <v>27000</v>
      </c>
      <c r="D5" s="11">
        <f>O_Instrument2!E5+O_Instrument!E5</f>
        <v>0</v>
      </c>
      <c r="E5" s="11">
        <f>O_Instrument2!F5+O_Instrument!F5</f>
        <v>27000</v>
      </c>
    </row>
    <row r="6" spans="1:5" x14ac:dyDescent="0.2">
      <c r="A6" s="1">
        <v>20220228</v>
      </c>
      <c r="B6" s="1" t="s">
        <v>52</v>
      </c>
      <c r="C6" s="11">
        <f>O_Instrument2!D6+O_Instrument!D6</f>
        <v>185</v>
      </c>
      <c r="D6" s="11">
        <f>O_Instrument2!E6+O_Instrument!E6</f>
        <v>0</v>
      </c>
      <c r="E6" s="11">
        <f>O_Instrument2!F6+O_Instrument!F6</f>
        <v>185</v>
      </c>
    </row>
    <row r="7" spans="1:5" ht="12.75" customHeight="1" x14ac:dyDescent="0.2">
      <c r="A7" s="1">
        <v>20220228</v>
      </c>
      <c r="B7" s="12" t="s">
        <v>53</v>
      </c>
      <c r="C7" s="11">
        <f>O_Instrument2!D7+O_Instrument!D7</f>
        <v>-3232.0684972984373</v>
      </c>
      <c r="D7" s="11">
        <f>O_Instrument2!E7+O_Instrument!E7</f>
        <v>0</v>
      </c>
      <c r="E7" s="11">
        <f>O_Instrument2!F7+O_Instrument!F7</f>
        <v>-3232.0684972984373</v>
      </c>
    </row>
    <row r="8" spans="1:5" ht="12.75" customHeight="1" x14ac:dyDescent="0.2">
      <c r="A8" s="1">
        <v>20220228</v>
      </c>
      <c r="B8" s="1" t="s">
        <v>54</v>
      </c>
      <c r="C8" s="11">
        <f>O_Instrument2!D8+O_Instrument!D8</f>
        <v>0</v>
      </c>
      <c r="D8" s="11">
        <f>O_Instrument2!E8+O_Instrument!E8</f>
        <v>27000</v>
      </c>
      <c r="E8" s="11">
        <f>O_Instrument2!F8+O_Instrument!F8</f>
        <v>27000</v>
      </c>
    </row>
    <row r="9" spans="1:5" ht="12.75" customHeight="1" x14ac:dyDescent="0.2">
      <c r="A9" s="1">
        <v>20220331</v>
      </c>
      <c r="B9" s="1" t="s">
        <v>52</v>
      </c>
      <c r="C9" s="11">
        <f>O_Instrument2!D9+O_Instrument!D9</f>
        <v>-11.683299999999996</v>
      </c>
      <c r="D9" s="11">
        <f>O_Instrument2!E9+O_Instrument!E9</f>
        <v>185</v>
      </c>
      <c r="E9" s="11">
        <f>O_Instrument2!F9+O_Instrument!F9</f>
        <v>173.3167</v>
      </c>
    </row>
    <row r="10" spans="1:5" ht="12.75" customHeight="1" x14ac:dyDescent="0.2">
      <c r="A10" s="1">
        <v>20220331</v>
      </c>
      <c r="B10" s="12" t="s">
        <v>53</v>
      </c>
      <c r="C10" s="11">
        <f>O_Instrument2!D10+O_Instrument!D10</f>
        <v>-1691.5887</v>
      </c>
      <c r="D10" s="11">
        <f>O_Instrument2!E10+O_Instrument!E10</f>
        <v>-3232.0684972984373</v>
      </c>
      <c r="E10" s="11">
        <f>O_Instrument2!F10+O_Instrument!F10</f>
        <v>-4923.6571972984375</v>
      </c>
    </row>
    <row r="11" spans="1:5" ht="12.75" customHeight="1" x14ac:dyDescent="0.2">
      <c r="A11" s="1">
        <v>20220331</v>
      </c>
      <c r="B11" s="1" t="s">
        <v>54</v>
      </c>
      <c r="C11" s="11">
        <f>O_Instrument2!D11+O_Instrument!D11</f>
        <v>-1790</v>
      </c>
      <c r="D11" s="11">
        <f>O_Instrument2!E11+O_Instrument!E11</f>
        <v>27000</v>
      </c>
      <c r="E11" s="11">
        <f>O_Instrument2!F11+O_Instrument!F11</f>
        <v>25210</v>
      </c>
    </row>
    <row r="12" spans="1:5" ht="12.75" customHeight="1" x14ac:dyDescent="0.2">
      <c r="A12" s="1">
        <v>20220430</v>
      </c>
      <c r="B12" s="1" t="s">
        <v>52</v>
      </c>
      <c r="C12" s="11">
        <f>O_Instrument2!D12+O_Instrument!D12</f>
        <v>55.15</v>
      </c>
      <c r="D12" s="11">
        <f>O_Instrument2!E12+O_Instrument!E12</f>
        <v>173.3167</v>
      </c>
      <c r="E12" s="11">
        <f>O_Instrument2!F12+O_Instrument!F12</f>
        <v>228.4667</v>
      </c>
    </row>
    <row r="13" spans="1:5" ht="12.75" customHeight="1" x14ac:dyDescent="0.2">
      <c r="A13" s="1">
        <v>20220430</v>
      </c>
      <c r="B13" s="12" t="s">
        <v>53</v>
      </c>
      <c r="C13" s="11">
        <f>O_Instrument2!D13+O_Instrument!D13</f>
        <v>19790.458599999998</v>
      </c>
      <c r="D13" s="11">
        <f>O_Instrument2!E13+O_Instrument!E13</f>
        <v>-4923.6571972984375</v>
      </c>
      <c r="E13" s="11">
        <f>O_Instrument2!F13+O_Instrument!F13</f>
        <v>14866.80140270156</v>
      </c>
    </row>
    <row r="14" spans="1:5" ht="12.75" customHeight="1" x14ac:dyDescent="0.2">
      <c r="A14" s="1">
        <v>20220430</v>
      </c>
      <c r="B14" s="1" t="s">
        <v>54</v>
      </c>
      <c r="C14" s="11">
        <f>O_Instrument2!D14+O_Instrument!D14</f>
        <v>118.16670000000001</v>
      </c>
      <c r="D14" s="11">
        <f>O_Instrument2!E14+O_Instrument!E14</f>
        <v>25210</v>
      </c>
      <c r="E14" s="11">
        <f>O_Instrument2!F14+O_Instrument!F14</f>
        <v>25328.166700000002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</vt:lpstr>
      <vt:lpstr>O_TransactionActivity</vt:lpstr>
      <vt:lpstr>O_TransactionActivity2</vt:lpstr>
      <vt:lpstr>O_Attribute</vt:lpstr>
      <vt:lpstr>O_Attribute2</vt:lpstr>
      <vt:lpstr>O_Instrument2</vt:lpstr>
      <vt:lpstr>O_Instrument</vt:lpstr>
      <vt:lpstr>O_Metric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132</cp:revision>
  <dcterms:created xsi:type="dcterms:W3CDTF">2025-06-10T09:23:35Z</dcterms:created>
  <dcterms:modified xsi:type="dcterms:W3CDTF">2025-12-16T03:54:46Z</dcterms:modified>
  <dc:language>en-US</dc:language>
</cp:coreProperties>
</file>