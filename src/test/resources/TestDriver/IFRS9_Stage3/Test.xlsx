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7A5D2573-3634-449C-9773-00C798C2FBBF}" xr6:coauthVersionLast="47" xr6:coauthVersionMax="47" xr10:uidLastSave="{00000000-0000-0000-0000-000000000000}"/>
  <bookViews>
    <workbookView xWindow="2805" yWindow="2805" windowWidth="21600" windowHeight="12645" tabRatio="500" xr2:uid="{00000000-000D-0000-FFFF-FFFF00000000}"/>
  </bookViews>
  <sheets>
    <sheet name="Test" sheetId="1" r:id="rId1"/>
    <sheet name="O_TransactionActivity" sheetId="2" r:id="rId2"/>
    <sheet name="O_TransactionActivity2" sheetId="6" r:id="rId3"/>
    <sheet name="O_Attribute" sheetId="3" r:id="rId4"/>
    <sheet name="O_Attribute2" sheetId="8" r:id="rId5"/>
    <sheet name="O_Instrument2" sheetId="7" r:id="rId6"/>
    <sheet name="O_Instrument" sheetId="4" r:id="rId7"/>
    <sheet name="O_Metric" sheetId="5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4" i="5" l="1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D14" i="7"/>
  <c r="D13" i="7"/>
  <c r="D9" i="7"/>
  <c r="D10" i="7"/>
  <c r="D11" i="7"/>
  <c r="D7" i="7"/>
  <c r="D6" i="7"/>
  <c r="D5" i="7"/>
  <c r="F5" i="7" s="1"/>
  <c r="E8" i="7" s="1"/>
  <c r="F8" i="7" s="1"/>
  <c r="E11" i="7" s="1"/>
  <c r="F11" i="7" s="1"/>
  <c r="E14" i="7" s="1"/>
  <c r="F14" i="7" s="1"/>
  <c r="E6" i="7"/>
  <c r="F4" i="7"/>
  <c r="E7" i="7" s="1"/>
  <c r="F7" i="7" s="1"/>
  <c r="E10" i="7" s="1"/>
  <c r="F10" i="7" s="1"/>
  <c r="E13" i="7" s="1"/>
  <c r="F13" i="7" s="1"/>
  <c r="F3" i="7"/>
  <c r="F4" i="4"/>
  <c r="E7" i="4" s="1"/>
  <c r="F7" i="4" s="1"/>
  <c r="F3" i="4"/>
  <c r="E6" i="4" s="1"/>
  <c r="D11" i="4"/>
  <c r="D13" i="4"/>
  <c r="D10" i="4"/>
  <c r="D7" i="4"/>
  <c r="D12" i="4"/>
  <c r="D9" i="4"/>
  <c r="D6" i="4"/>
  <c r="D5" i="4"/>
  <c r="F5" i="4" s="1"/>
  <c r="E8" i="4" s="1"/>
  <c r="F8" i="4" s="1"/>
  <c r="E11" i="4" s="1"/>
  <c r="F6" i="7" l="1"/>
  <c r="E9" i="7" s="1"/>
  <c r="F9" i="7" s="1"/>
  <c r="E12" i="7" s="1"/>
  <c r="F12" i="7" s="1"/>
  <c r="F6" i="4"/>
  <c r="E9" i="4" s="1"/>
  <c r="F9" i="4" s="1"/>
  <c r="E10" i="4"/>
  <c r="F10" i="4" s="1"/>
  <c r="E13" i="4" s="1"/>
  <c r="F13" i="4" s="1"/>
  <c r="F11" i="4"/>
  <c r="E12" i="4" l="1"/>
  <c r="F12" i="4" s="1"/>
  <c r="E14" i="4"/>
  <c r="F14" i="4" s="1"/>
</calcChain>
</file>

<file path=xl/sharedStrings.xml><?xml version="1.0" encoding="utf-8"?>
<sst xmlns="http://schemas.openxmlformats.org/spreadsheetml/2006/main" count="259" uniqueCount="51">
  <si>
    <t>Steps</t>
  </si>
  <si>
    <t>Type</t>
  </si>
  <si>
    <t>Input</t>
  </si>
  <si>
    <t>LOAD_REF_DATA</t>
  </si>
  <si>
    <t>FILE_UPLOAD</t>
  </si>
  <si>
    <t>MODEL_UPLOAD</t>
  </si>
  <si>
    <t>MODEL_CONFIGURATION</t>
  </si>
  <si>
    <t>CONFIGURATION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</si>
  <si>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</si>
  <si>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</si>
  <si>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</si>
  <si>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</si>
  <si>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</si>
  <si>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</si>
  <si>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</si>
  <si>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</si>
  <si>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</si>
  <si>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</si>
  <si>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</si>
  <si>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</si>
  <si>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</si>
  <si>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</si>
  <si>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</si>
  <si>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</si>
  <si>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</si>
  <si>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</si>
  <si>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</si>
  <si>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</si>
  <si>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</si>
  <si>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</si>
  <si>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</si>
  <si>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</si>
  <si>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ORIGINATION_PRINCIPAL</t>
  </si>
  <si>
    <t>INTEREST_ACCRUAL</t>
  </si>
  <si>
    <t>IMPAIRMENT_LOSS</t>
  </si>
  <si>
    <t>PAYMENT_UPB</t>
  </si>
  <si>
    <t>PAYMENT_INTEREST</t>
  </si>
  <si>
    <t>IMPAIRMENT_GAIN</t>
  </si>
  <si>
    <t>LN-1001</t>
  </si>
  <si>
    <t>{"instrumentId": "LN-1001"}</t>
  </si>
  <si>
    <t>UPB</t>
  </si>
  <si>
    <t>AIR</t>
  </si>
  <si>
    <t>IMPAIRMENT</t>
  </si>
  <si>
    <t>ATTRIBUTE</t>
  </si>
  <si>
    <t>{"instrumentId": "LN-1002"}</t>
  </si>
  <si>
    <t>LN-1002</t>
  </si>
  <si>
    <t>IFRS9_Stage3/ReferenceData/RefData_Ifrs9.xlsx</t>
  </si>
  <si>
    <t>IFRS9_Stage3/Model/IFRS9_Stage3_Model.xlsx</t>
  </si>
  <si>
    <t>IFRS9_Stage3/ActivityData/ActivityData.xlsx</t>
  </si>
  <si>
    <t>IFRS9_Stage3/ActivityData/ActivityData_D2.xlsx</t>
  </si>
  <si>
    <t>IFRS9_Stage3/ActivityData/ActivityData_D3.xlsx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</si>
</sst>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2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0" fontId="0" fillId="0" borderId="1" xfId="0" applyBorder="1"/>
    <xf numFmtId="1" fontId="0" fillId="0" borderId="1" xfId="0" applyNumberFormat="1" applyBorder="1"/>
    <xf numFmtId="0" fontId="0" fillId="0" borderId="0" xfId="1" applyFont="1"/>
    <xf numFmtId="166" fontId="0" fillId="0" borderId="0" xfId="0" applyNumberForma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zoomScale="120" zoomScaleNormal="120" workbookViewId="0">
      <selection activeCell="C12" sqref="C12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34.570312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46</v>
      </c>
    </row>
    <row r="3" spans="1:3" ht="12.75" customHeight="1" x14ac:dyDescent="0.2">
      <c r="A3" s="1" t="s">
        <v>5</v>
      </c>
      <c r="B3" s="1" t="s">
        <v>4</v>
      </c>
      <c r="C3" s="1" t="s">
        <v>47</v>
      </c>
    </row>
    <row r="4" spans="1:3" ht="12.75" customHeight="1" x14ac:dyDescent="0.2">
      <c r="A4" s="1" t="s">
        <v>6</v>
      </c>
      <c r="B4" s="1" t="s">
        <v>7</v>
      </c>
      <c r="C4" s="1" t="s">
        <v>43</v>
      </c>
    </row>
    <row r="5" spans="1:3" ht="12.75" customHeight="1" x14ac:dyDescent="0.2">
      <c r="A5" s="1" t="s">
        <v>8</v>
      </c>
      <c r="B5" s="1" t="s">
        <v>4</v>
      </c>
      <c r="C5" s="1" t="s">
        <v>48</v>
      </c>
    </row>
    <row r="6" spans="1:3" ht="12.75" customHeight="1" x14ac:dyDescent="0.2">
      <c r="A6" s="1" t="s">
        <v>9</v>
      </c>
      <c r="B6" s="1" t="s">
        <v>10</v>
      </c>
      <c r="C6" s="2">
        <v>45688</v>
      </c>
    </row>
    <row r="7" spans="1:3" ht="12.75" customHeight="1" x14ac:dyDescent="0.2">
      <c r="A7" s="1" t="s">
        <v>8</v>
      </c>
      <c r="B7" s="1" t="s">
        <v>4</v>
      </c>
      <c r="C7" s="1" t="s">
        <v>49</v>
      </c>
    </row>
    <row r="8" spans="1:3" ht="12.75" customHeight="1" x14ac:dyDescent="0.2">
      <c r="A8" s="1" t="s">
        <v>9</v>
      </c>
      <c r="B8" s="1" t="s">
        <v>10</v>
      </c>
      <c r="C8" s="2">
        <v>45716</v>
      </c>
    </row>
    <row r="9" spans="1:3" ht="12.75" customHeight="1" x14ac:dyDescent="0.2">
      <c r="A9" s="1" t="s">
        <v>8</v>
      </c>
      <c r="B9" s="1" t="s">
        <v>4</v>
      </c>
      <c r="C9" s="1" t="s">
        <v>50</v>
      </c>
    </row>
    <row r="10" spans="1:3" ht="12.75" customHeight="1" x14ac:dyDescent="0.2">
      <c r="A10" s="1" t="s">
        <v>9</v>
      </c>
      <c r="B10" s="1" t="s">
        <v>10</v>
      </c>
      <c r="C10" s="2">
        <v>45747</v>
      </c>
    </row>
    <row r="11" spans="1:3" ht="12.75" customHeight="1" x14ac:dyDescent="0.2">
      <c r="A11" s="1" t="s">
        <v>8</v>
      </c>
      <c r="B11" s="1" t="s">
        <v>4</v>
      </c>
      <c r="C11" s="1" t="s">
        <v>50</v>
      </c>
    </row>
    <row r="12" spans="1:3" ht="12.75" customHeight="1" x14ac:dyDescent="0.2">
      <c r="A12" s="1" t="s">
        <v>9</v>
      </c>
      <c r="B12" s="1" t="s">
        <v>10</v>
      </c>
      <c r="C12" s="2">
        <v>45777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zoomScale="120" zoomScaleNormal="120" workbookViewId="0">
      <selection activeCell="G9" sqref="G9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39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9" t="s">
        <v>38</v>
      </c>
      <c r="G3" s="7">
        <v>12000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9" t="s">
        <v>38</v>
      </c>
      <c r="G4" s="7">
        <v>-3065.4515000000001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9" t="s">
        <v>38</v>
      </c>
      <c r="G5" s="7">
        <v>60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9" t="s">
        <v>38</v>
      </c>
      <c r="G6" s="7">
        <v>-283.98700000000002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9" t="s">
        <v>38</v>
      </c>
      <c r="G7" s="7">
        <v>55.15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9" t="s">
        <v>38</v>
      </c>
      <c r="G8" s="7">
        <v>-60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9" t="s">
        <v>38</v>
      </c>
      <c r="G9" s="7">
        <v>-970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2</v>
      </c>
      <c r="C10" s="9" t="s">
        <v>37</v>
      </c>
      <c r="D10" s="6" t="s">
        <v>22</v>
      </c>
      <c r="E10" s="6">
        <v>20250430</v>
      </c>
      <c r="F10" s="9" t="s">
        <v>38</v>
      </c>
      <c r="G10" s="7">
        <v>2836.4295999999999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2</v>
      </c>
      <c r="C11" s="9" t="s">
        <v>33</v>
      </c>
      <c r="D11" s="6" t="s">
        <v>22</v>
      </c>
      <c r="E11" s="6">
        <v>20250430</v>
      </c>
      <c r="F11" s="9" t="s">
        <v>38</v>
      </c>
      <c r="G11" s="7">
        <v>55.15</v>
      </c>
      <c r="H11" s="6">
        <v>202504</v>
      </c>
      <c r="I11" s="6">
        <v>202504</v>
      </c>
      <c r="J11" s="6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1F38B-58CA-414A-83C8-EF78B7F83629}">
  <dimension ref="A1:J11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44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6" t="s">
        <v>45</v>
      </c>
      <c r="G3" s="7">
        <v>15000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6" t="s">
        <v>45</v>
      </c>
      <c r="G4" s="7">
        <v>-166.61699729843735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6" t="s">
        <v>45</v>
      </c>
      <c r="G5" s="7">
        <v>125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6" t="s">
        <v>45</v>
      </c>
      <c r="G6" s="7">
        <v>-1407.6016999999999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6" t="s">
        <v>45</v>
      </c>
      <c r="G7" s="7">
        <v>118.16670000000001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6" t="s">
        <v>45</v>
      </c>
      <c r="G8" s="7">
        <v>-125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6" t="s">
        <v>45</v>
      </c>
      <c r="G9" s="7">
        <v>-820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2</v>
      </c>
      <c r="C10" s="9" t="s">
        <v>37</v>
      </c>
      <c r="D10" s="6" t="s">
        <v>22</v>
      </c>
      <c r="E10" s="6">
        <v>20250430</v>
      </c>
      <c r="F10" s="6" t="s">
        <v>45</v>
      </c>
      <c r="G10" s="7">
        <v>16954.028999999999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2</v>
      </c>
      <c r="C11" s="9" t="s">
        <v>33</v>
      </c>
      <c r="D11" s="6" t="s">
        <v>22</v>
      </c>
      <c r="E11" s="6">
        <v>20250430</v>
      </c>
      <c r="F11" s="6" t="s">
        <v>45</v>
      </c>
      <c r="G11" s="7">
        <v>118.16670000000001</v>
      </c>
      <c r="H11" s="6">
        <v>202504</v>
      </c>
      <c r="I11" s="6">
        <v>202504</v>
      </c>
      <c r="J11" s="6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zoomScale="120" zoomScaleNormal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39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C2536-A776-4BAB-ADAC-4F4DC6BDF1CD}">
  <dimension ref="A1:G14"/>
  <sheetViews>
    <sheetView zoomScale="120" zoomScaleNormal="120" workbookViewId="0">
      <selection activeCell="D5" sqref="D5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44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45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45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45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45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45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45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45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45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45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45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45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45</v>
      </c>
      <c r="E14" s="11">
        <v>118.16670000000001</v>
      </c>
      <c r="F14" s="11">
        <v>14180</v>
      </c>
      <c r="G14" s="11"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0318-3126-45CF-94D8-1E8EDFBBDE58}">
  <dimension ref="A1:F14"/>
  <sheetViews>
    <sheetView zoomScale="120" zoomScaleNormal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44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45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45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45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41</v>
      </c>
      <c r="C6" s="1" t="s">
        <v>45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0" t="s">
        <v>42</v>
      </c>
      <c r="C7" s="1" t="s">
        <v>45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40</v>
      </c>
      <c r="C8" s="1" t="s">
        <v>45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41</v>
      </c>
      <c r="C9" s="1" t="s">
        <v>45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0" t="s">
        <v>42</v>
      </c>
      <c r="C10" s="1" t="s">
        <v>45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40</v>
      </c>
      <c r="C11" s="1" t="s">
        <v>45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41</v>
      </c>
      <c r="C12" s="1" t="s">
        <v>45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0" t="s">
        <v>42</v>
      </c>
      <c r="C13" s="1" t="s">
        <v>45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40</v>
      </c>
      <c r="C14" s="1" t="s">
        <v>45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zoomScale="120" zoomScaleNormal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39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41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0" t="s">
        <v>42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40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41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0" t="s">
        <v>42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40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41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0" t="s">
        <v>42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40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3" t="s">
        <v>30</v>
      </c>
      <c r="B1" s="4" t="s">
        <v>31</v>
      </c>
    </row>
    <row r="2" spans="1:5" x14ac:dyDescent="0.2">
      <c r="A2" s="1" t="s">
        <v>12</v>
      </c>
      <c r="B2" s="1" t="s">
        <v>25</v>
      </c>
      <c r="C2" s="1" t="s">
        <v>27</v>
      </c>
      <c r="D2" s="1" t="s">
        <v>26</v>
      </c>
      <c r="E2" s="1" t="s">
        <v>28</v>
      </c>
    </row>
    <row r="3" spans="1:5" x14ac:dyDescent="0.2">
      <c r="A3" s="1">
        <v>20220131</v>
      </c>
      <c r="B3" s="1" t="s">
        <v>41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0" t="s">
        <v>42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40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41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0" t="s">
        <v>42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40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41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0" t="s">
        <v>42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40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41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0" t="s">
        <v>42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40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131</cp:revision>
  <dcterms:created xsi:type="dcterms:W3CDTF">2025-06-10T09:23:35Z</dcterms:created>
  <dcterms:modified xsi:type="dcterms:W3CDTF">2025-12-13T11:06:18Z</dcterms:modified>
  <dc:language>en-US</dc:language>
</cp:coreProperties>
</file>