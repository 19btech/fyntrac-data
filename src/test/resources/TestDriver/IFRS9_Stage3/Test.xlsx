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Stage3\"/>
    </mc:Choice>
  </mc:AlternateContent>
  <xr:revisionPtr revIDLastSave="0" documentId="13_ncr:1_{33567ED8-A712-4F4E-87E6-13A52B9F7EBC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Test" sheetId="1" r:id="rId1"/>
    <sheet name="O_TransactionActivity" sheetId="2" r:id="rId2"/>
    <sheet name="O_TransactionActivity2" sheetId="6" r:id="rId3"/>
    <sheet name="O_Attribute" sheetId="3" r:id="rId4"/>
    <sheet name="O_Attribute2" sheetId="8" r:id="rId5"/>
    <sheet name="O_Instrument2" sheetId="7" r:id="rId6"/>
    <sheet name="O_Instrument" sheetId="4" r:id="rId7"/>
    <sheet name="O_Metric" sheetId="5" r:id="rId8"/>
  </sheets>
  <definedNames>
    <definedName name="_xlnm._FilterDatabase" localSheetId="3" hidden="1">O_Attribute!$A$2:$G$14</definedName>
    <definedName name="_xlnm._FilterDatabase" localSheetId="4" hidden="1">O_Attribute2!$A$2:$G$14</definedName>
    <definedName name="_xlnm._FilterDatabase" localSheetId="6" hidden="1">O_Instrument!$A$2:$F$14</definedName>
    <definedName name="_xlnm._FilterDatabase" localSheetId="5" hidden="1">O_Instrument2!$A$2:$F$14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14" i="5" l="1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E5" i="5"/>
  <c r="D5" i="5"/>
  <c r="C5" i="5"/>
  <c r="E4" i="5"/>
  <c r="D4" i="5"/>
  <c r="C4" i="5"/>
  <c r="E3" i="5"/>
  <c r="D3" i="5"/>
  <c r="C3" i="5"/>
  <c r="D14" i="7"/>
  <c r="D13" i="7"/>
  <c r="D9" i="7"/>
  <c r="D10" i="7"/>
  <c r="D11" i="7"/>
  <c r="D7" i="7"/>
  <c r="D6" i="7"/>
  <c r="D5" i="7"/>
  <c r="F5" i="7" s="1"/>
  <c r="E8" i="7" s="1"/>
  <c r="F8" i="7" s="1"/>
  <c r="E11" i="7" s="1"/>
  <c r="F11" i="7" s="1"/>
  <c r="E14" i="7" s="1"/>
  <c r="F14" i="7" s="1"/>
  <c r="E6" i="7"/>
  <c r="F4" i="7"/>
  <c r="E7" i="7" s="1"/>
  <c r="F7" i="7" s="1"/>
  <c r="E10" i="7" s="1"/>
  <c r="F10" i="7" s="1"/>
  <c r="E13" i="7" s="1"/>
  <c r="F13" i="7" s="1"/>
  <c r="F3" i="7"/>
  <c r="F4" i="4"/>
  <c r="E7" i="4" s="1"/>
  <c r="F7" i="4" s="1"/>
  <c r="F3" i="4"/>
  <c r="E6" i="4" s="1"/>
  <c r="D11" i="4"/>
  <c r="D13" i="4"/>
  <c r="D10" i="4"/>
  <c r="D7" i="4"/>
  <c r="D12" i="4"/>
  <c r="D9" i="4"/>
  <c r="D6" i="4"/>
  <c r="D5" i="4"/>
  <c r="F5" i="4" s="1"/>
  <c r="E8" i="4" s="1"/>
  <c r="F8" i="4" s="1"/>
  <c r="E11" i="4" s="1"/>
  <c r="F6" i="7" l="1"/>
  <c r="E9" i="7" s="1"/>
  <c r="F9" i="7" s="1"/>
  <c r="E12" i="7" s="1"/>
  <c r="F12" i="7" s="1"/>
  <c r="F6" i="4"/>
  <c r="E9" i="4" s="1"/>
  <c r="F9" i="4" s="1"/>
  <c r="E10" i="4"/>
  <c r="F10" i="4" s="1"/>
  <c r="E13" i="4" s="1"/>
  <c r="F13" i="4" s="1"/>
  <c r="F11" i="4"/>
  <c r="E12" i="4" l="1"/>
  <c r="F12" i="4" s="1"/>
  <c r="E14" i="4"/>
  <c r="F14" i="4" s="1"/>
</calcChain>
</file>

<file path=xl/sharedStrings.xml><?xml version="1.0" encoding="utf-8"?>
<sst xmlns="http://schemas.openxmlformats.org/spreadsheetml/2006/main" count="259" uniqueCount="51">
  <si>
    <t>Steps</t>
  </si>
  <si>
    <t>Type</t>
  </si>
  <si>
    <t>Input</t>
  </si>
  <si>
    <t>LOAD_REF_DATA</t>
  </si>
  <si>
    <t>FILE_UPLOAD</t>
  </si>
  <si>
    <t>MODEL_UPLOAD</t>
  </si>
  <si>
    <t>MODEL_CONFIGURATION</t>
  </si>
  <si>
    <t>CONFIGURATION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</si>
  <si>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</si>
  <si>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</si>
  <si>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</si>
  <si>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</si>
  <si>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</si>
  <si>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</si>
  <si>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</si>
  <si>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</si>
  <si>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</si>
  <si>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</si>
  <si>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</si>
  <si>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</si>
  <si>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</si>
  <si>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</si>
  <si>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</si>
  <si>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</si>
  <si>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</si>
  <si>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</si>
  <si>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</si>
  <si>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</si>
  <si>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</si>
  <si>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</si>
  <si>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</si>
  <si>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</si>
  <si>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ORIGINATION_PRINCIPAL</t>
  </si>
  <si>
    <t>INTEREST_ACCRUAL</t>
  </si>
  <si>
    <t>IMPAIRMENT_LOSS</t>
  </si>
  <si>
    <t>PAYMENT_UPB</t>
  </si>
  <si>
    <t>PAYMENT_INTEREST</t>
  </si>
  <si>
    <t>IMPAIRMENT_GAIN</t>
  </si>
  <si>
    <t>LN-1001</t>
  </si>
  <si>
    <t>{"instrumentId": "LN-1001"}</t>
  </si>
  <si>
    <t>UPB</t>
  </si>
  <si>
    <t>AIR</t>
  </si>
  <si>
    <t>IMPAIRMENT</t>
  </si>
  <si>
    <t>ATTRIBUTE</t>
  </si>
  <si>
    <t>IFRS9_Stage3/ActivityData.xlsx</t>
  </si>
  <si>
    <t>IFRS9_Stage3/ActivityData_D2.xlsx</t>
  </si>
  <si>
    <t>IFRS9_Stage3/ActivityData_D3.xlsx</t>
  </si>
  <si>
    <t>IFRS9_Stage3/RefData_Ifrs9.xlsx</t>
  </si>
  <si>
    <t>IFRS9_Stage3/IFRS9_Stage3_Model.xlsx</t>
  </si>
  <si>
    <t>{"instrumentId": "LN-1002"}</t>
  </si>
  <si>
    <t>LN-1002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</si>
</sst>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b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2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0" fontId="0" fillId="0" borderId="1" xfId="0" applyBorder="1"/>
    <xf numFmtId="1" fontId="0" fillId="0" borderId="1" xfId="0" applyNumberFormat="1" applyBorder="1"/>
    <xf numFmtId="0" fontId="0" fillId="0" borderId="0" xfId="1" applyFont="1"/>
    <xf numFmtId="166" fontId="0" fillId="0" borderId="0" xfId="0" applyNumberForma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zoomScale="120" zoomScaleNormal="120" workbookViewId="0">
      <selection activeCell="C4" sqref="C4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34.570312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47</v>
      </c>
    </row>
    <row r="3" spans="1:3" ht="12.75" customHeight="1" x14ac:dyDescent="0.2">
      <c r="A3" s="1" t="s">
        <v>5</v>
      </c>
      <c r="B3" s="1" t="s">
        <v>4</v>
      </c>
      <c r="C3" s="1" t="s">
        <v>48</v>
      </c>
    </row>
    <row r="4" spans="1:3" ht="12.75" customHeight="1" x14ac:dyDescent="0.2">
      <c r="A4" s="1" t="s">
        <v>6</v>
      </c>
      <c r="B4" s="1" t="s">
        <v>7</v>
      </c>
      <c r="C4" s="1" t="s">
        <v>43</v>
      </c>
    </row>
    <row r="5" spans="1:3" ht="12.75" customHeight="1" x14ac:dyDescent="0.2">
      <c r="A5" s="1" t="s">
        <v>8</v>
      </c>
      <c r="B5" s="1" t="s">
        <v>4</v>
      </c>
      <c r="C5" s="1" t="s">
        <v>44</v>
      </c>
    </row>
    <row r="6" spans="1:3" ht="12.75" customHeight="1" x14ac:dyDescent="0.2">
      <c r="A6" s="1" t="s">
        <v>9</v>
      </c>
      <c r="B6" s="1" t="s">
        <v>10</v>
      </c>
      <c r="C6" s="2">
        <v>45688</v>
      </c>
    </row>
    <row r="7" spans="1:3" ht="12.75" customHeight="1" x14ac:dyDescent="0.2">
      <c r="A7" s="1" t="s">
        <v>8</v>
      </c>
      <c r="B7" s="1" t="s">
        <v>4</v>
      </c>
      <c r="C7" s="1" t="s">
        <v>45</v>
      </c>
    </row>
    <row r="8" spans="1:3" ht="12.75" customHeight="1" x14ac:dyDescent="0.2">
      <c r="A8" s="1" t="s">
        <v>9</v>
      </c>
      <c r="B8" s="1" t="s">
        <v>10</v>
      </c>
      <c r="C8" s="2">
        <v>45716</v>
      </c>
    </row>
    <row r="9" spans="1:3" ht="12.75" customHeight="1" x14ac:dyDescent="0.2">
      <c r="A9" s="1" t="s">
        <v>8</v>
      </c>
      <c r="B9" s="1" t="s">
        <v>4</v>
      </c>
      <c r="C9" s="1" t="s">
        <v>46</v>
      </c>
    </row>
    <row r="10" spans="1:3" ht="12.75" customHeight="1" x14ac:dyDescent="0.2">
      <c r="A10" s="1" t="s">
        <v>9</v>
      </c>
      <c r="B10" s="1" t="s">
        <v>10</v>
      </c>
      <c r="C10" s="2">
        <v>45747</v>
      </c>
    </row>
    <row r="11" spans="1:3" ht="12.75" customHeight="1" x14ac:dyDescent="0.2">
      <c r="A11" s="1" t="s">
        <v>8</v>
      </c>
      <c r="B11" s="1" t="s">
        <v>4</v>
      </c>
      <c r="C11" s="1" t="s">
        <v>46</v>
      </c>
    </row>
    <row r="12" spans="1:3" ht="12.75" customHeight="1" x14ac:dyDescent="0.2">
      <c r="A12" s="1" t="s">
        <v>9</v>
      </c>
      <c r="B12" s="1" t="s">
        <v>10</v>
      </c>
      <c r="C12" s="2">
        <v>45777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abSelected="1" zoomScale="120" zoomScaleNormal="120" workbookViewId="0">
      <selection activeCell="G9" sqref="G9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3" t="s">
        <v>11</v>
      </c>
      <c r="B1" s="4" t="s">
        <v>39</v>
      </c>
      <c r="G1" s="4"/>
    </row>
    <row r="2" spans="1:10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</row>
    <row r="3" spans="1:10" x14ac:dyDescent="0.2">
      <c r="A3" s="6">
        <v>20250131</v>
      </c>
      <c r="B3" s="6">
        <v>1</v>
      </c>
      <c r="C3" s="9" t="s">
        <v>32</v>
      </c>
      <c r="D3" s="6" t="s">
        <v>22</v>
      </c>
      <c r="E3" s="6">
        <v>20250131</v>
      </c>
      <c r="F3" s="9" t="s">
        <v>38</v>
      </c>
      <c r="G3" s="7">
        <v>12000</v>
      </c>
      <c r="H3" s="6">
        <v>202501</v>
      </c>
      <c r="I3" s="6">
        <v>202501</v>
      </c>
      <c r="J3" s="6">
        <v>0</v>
      </c>
    </row>
    <row r="4" spans="1:10" x14ac:dyDescent="0.2">
      <c r="A4" s="6">
        <v>20250228</v>
      </c>
      <c r="B4" s="6">
        <v>1</v>
      </c>
      <c r="C4" s="9" t="s">
        <v>34</v>
      </c>
      <c r="D4" s="6" t="s">
        <v>22</v>
      </c>
      <c r="E4" s="6">
        <v>20250228</v>
      </c>
      <c r="F4" s="9" t="s">
        <v>38</v>
      </c>
      <c r="G4" s="7">
        <v>-3065.4515000000001</v>
      </c>
      <c r="H4" s="6">
        <v>202502</v>
      </c>
      <c r="I4" s="6">
        <v>202502</v>
      </c>
      <c r="J4" s="6">
        <v>0</v>
      </c>
    </row>
    <row r="5" spans="1:10" x14ac:dyDescent="0.2">
      <c r="A5" s="6">
        <v>20250228</v>
      </c>
      <c r="B5" s="6">
        <v>1</v>
      </c>
      <c r="C5" s="9" t="s">
        <v>33</v>
      </c>
      <c r="D5" s="6" t="s">
        <v>22</v>
      </c>
      <c r="E5" s="6">
        <v>20250228</v>
      </c>
      <c r="F5" s="9" t="s">
        <v>38</v>
      </c>
      <c r="G5" s="7">
        <v>60</v>
      </c>
      <c r="H5" s="6">
        <v>202502</v>
      </c>
      <c r="I5" s="6">
        <v>202502</v>
      </c>
      <c r="J5" s="6">
        <v>0</v>
      </c>
    </row>
    <row r="6" spans="1:10" x14ac:dyDescent="0.2">
      <c r="A6" s="6">
        <v>20250331</v>
      </c>
      <c r="B6" s="6">
        <v>1</v>
      </c>
      <c r="C6" s="9" t="s">
        <v>34</v>
      </c>
      <c r="D6" s="6" t="s">
        <v>22</v>
      </c>
      <c r="E6" s="6">
        <v>20250331</v>
      </c>
      <c r="F6" s="9" t="s">
        <v>38</v>
      </c>
      <c r="G6" s="7">
        <v>-283.98700000000002</v>
      </c>
      <c r="H6" s="6">
        <v>202503</v>
      </c>
      <c r="I6" s="6">
        <v>202503</v>
      </c>
      <c r="J6" s="6">
        <v>0</v>
      </c>
    </row>
    <row r="7" spans="1:10" x14ac:dyDescent="0.2">
      <c r="A7" s="6">
        <v>20250331</v>
      </c>
      <c r="B7" s="6">
        <v>1</v>
      </c>
      <c r="C7" s="9" t="s">
        <v>33</v>
      </c>
      <c r="D7" s="6" t="s">
        <v>22</v>
      </c>
      <c r="E7" s="6">
        <v>20250331</v>
      </c>
      <c r="F7" s="9" t="s">
        <v>38</v>
      </c>
      <c r="G7" s="7">
        <v>55.15</v>
      </c>
      <c r="H7" s="6">
        <v>202503</v>
      </c>
      <c r="I7" s="6">
        <v>202503</v>
      </c>
      <c r="J7" s="6">
        <v>0</v>
      </c>
    </row>
    <row r="8" spans="1:10" x14ac:dyDescent="0.2">
      <c r="A8" s="6">
        <v>20250331</v>
      </c>
      <c r="B8" s="6">
        <v>1</v>
      </c>
      <c r="C8" s="8" t="s">
        <v>36</v>
      </c>
      <c r="D8" s="6" t="s">
        <v>23</v>
      </c>
      <c r="E8" s="6">
        <v>20250331</v>
      </c>
      <c r="F8" s="9" t="s">
        <v>38</v>
      </c>
      <c r="G8" s="7">
        <v>-60</v>
      </c>
      <c r="H8" s="6">
        <v>202503</v>
      </c>
      <c r="I8" s="6">
        <v>202503</v>
      </c>
      <c r="J8" s="6">
        <v>0</v>
      </c>
    </row>
    <row r="9" spans="1:10" x14ac:dyDescent="0.2">
      <c r="A9" s="6">
        <v>20250331</v>
      </c>
      <c r="B9" s="6">
        <v>1</v>
      </c>
      <c r="C9" s="8" t="s">
        <v>35</v>
      </c>
      <c r="D9" s="6" t="s">
        <v>23</v>
      </c>
      <c r="E9" s="6">
        <v>20250331</v>
      </c>
      <c r="F9" s="9" t="s">
        <v>38</v>
      </c>
      <c r="G9" s="7">
        <v>-970</v>
      </c>
      <c r="H9" s="6">
        <v>202503</v>
      </c>
      <c r="I9" s="6">
        <v>202503</v>
      </c>
      <c r="J9" s="6">
        <v>0</v>
      </c>
    </row>
    <row r="10" spans="1:10" x14ac:dyDescent="0.2">
      <c r="A10" s="6">
        <v>20250430</v>
      </c>
      <c r="B10" s="6">
        <v>2</v>
      </c>
      <c r="C10" s="9" t="s">
        <v>37</v>
      </c>
      <c r="D10" s="6" t="s">
        <v>22</v>
      </c>
      <c r="E10" s="6">
        <v>20250430</v>
      </c>
      <c r="F10" s="9" t="s">
        <v>38</v>
      </c>
      <c r="G10" s="7">
        <v>2836.4295999999999</v>
      </c>
      <c r="H10" s="6">
        <v>202504</v>
      </c>
      <c r="I10" s="6">
        <v>202504</v>
      </c>
      <c r="J10" s="6">
        <v>0</v>
      </c>
    </row>
    <row r="11" spans="1:10" x14ac:dyDescent="0.2">
      <c r="A11" s="6">
        <v>20250430</v>
      </c>
      <c r="B11" s="6">
        <v>2</v>
      </c>
      <c r="C11" s="9" t="s">
        <v>33</v>
      </c>
      <c r="D11" s="6" t="s">
        <v>22</v>
      </c>
      <c r="E11" s="6">
        <v>20250430</v>
      </c>
      <c r="F11" s="9" t="s">
        <v>38</v>
      </c>
      <c r="G11" s="7">
        <v>55.15</v>
      </c>
      <c r="H11" s="6">
        <v>202504</v>
      </c>
      <c r="I11" s="6">
        <v>202504</v>
      </c>
      <c r="J11" s="6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1F38B-58CA-414A-83C8-EF78B7F83629}">
  <dimension ref="A1:J11"/>
  <sheetViews>
    <sheetView zoomScale="120" zoomScaleNormal="120" workbookViewId="0">
      <selection activeCell="G3" sqref="G3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3" t="s">
        <v>11</v>
      </c>
      <c r="B1" s="4" t="s">
        <v>49</v>
      </c>
      <c r="G1" s="4"/>
    </row>
    <row r="2" spans="1:10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</row>
    <row r="3" spans="1:10" x14ac:dyDescent="0.2">
      <c r="A3" s="6">
        <v>20250131</v>
      </c>
      <c r="B3" s="6">
        <v>1</v>
      </c>
      <c r="C3" s="9" t="s">
        <v>32</v>
      </c>
      <c r="D3" s="6" t="s">
        <v>22</v>
      </c>
      <c r="E3" s="6">
        <v>20250131</v>
      </c>
      <c r="F3" s="6" t="s">
        <v>50</v>
      </c>
      <c r="G3" s="7">
        <v>15000</v>
      </c>
      <c r="H3" s="6">
        <v>202501</v>
      </c>
      <c r="I3" s="6">
        <v>202501</v>
      </c>
      <c r="J3" s="6">
        <v>0</v>
      </c>
    </row>
    <row r="4" spans="1:10" x14ac:dyDescent="0.2">
      <c r="A4" s="6">
        <v>20250228</v>
      </c>
      <c r="B4" s="6">
        <v>1</v>
      </c>
      <c r="C4" s="9" t="s">
        <v>34</v>
      </c>
      <c r="D4" s="6" t="s">
        <v>22</v>
      </c>
      <c r="E4" s="6">
        <v>20250228</v>
      </c>
      <c r="F4" s="6" t="s">
        <v>50</v>
      </c>
      <c r="G4" s="7">
        <v>-166.61699729843735</v>
      </c>
      <c r="H4" s="6">
        <v>202502</v>
      </c>
      <c r="I4" s="6">
        <v>202502</v>
      </c>
      <c r="J4" s="6">
        <v>0</v>
      </c>
    </row>
    <row r="5" spans="1:10" x14ac:dyDescent="0.2">
      <c r="A5" s="6">
        <v>20250228</v>
      </c>
      <c r="B5" s="6">
        <v>1</v>
      </c>
      <c r="C5" s="9" t="s">
        <v>33</v>
      </c>
      <c r="D5" s="6" t="s">
        <v>22</v>
      </c>
      <c r="E5" s="6">
        <v>20250228</v>
      </c>
      <c r="F5" s="6" t="s">
        <v>50</v>
      </c>
      <c r="G5" s="7">
        <v>125</v>
      </c>
      <c r="H5" s="6">
        <v>202502</v>
      </c>
      <c r="I5" s="6">
        <v>202502</v>
      </c>
      <c r="J5" s="6">
        <v>0</v>
      </c>
    </row>
    <row r="6" spans="1:10" x14ac:dyDescent="0.2">
      <c r="A6" s="6">
        <v>20250331</v>
      </c>
      <c r="B6" s="6">
        <v>1</v>
      </c>
      <c r="C6" s="9" t="s">
        <v>34</v>
      </c>
      <c r="D6" s="6" t="s">
        <v>22</v>
      </c>
      <c r="E6" s="6">
        <v>20250331</v>
      </c>
      <c r="F6" s="6" t="s">
        <v>50</v>
      </c>
      <c r="G6" s="7">
        <v>-1407.6016999999999</v>
      </c>
      <c r="H6" s="6">
        <v>202503</v>
      </c>
      <c r="I6" s="6">
        <v>202503</v>
      </c>
      <c r="J6" s="6">
        <v>0</v>
      </c>
    </row>
    <row r="7" spans="1:10" x14ac:dyDescent="0.2">
      <c r="A7" s="6">
        <v>20250331</v>
      </c>
      <c r="B7" s="6">
        <v>1</v>
      </c>
      <c r="C7" s="9" t="s">
        <v>33</v>
      </c>
      <c r="D7" s="6" t="s">
        <v>22</v>
      </c>
      <c r="E7" s="6">
        <v>20250331</v>
      </c>
      <c r="F7" s="6" t="s">
        <v>50</v>
      </c>
      <c r="G7" s="7">
        <v>118.16670000000001</v>
      </c>
      <c r="H7" s="6">
        <v>202503</v>
      </c>
      <c r="I7" s="6">
        <v>202503</v>
      </c>
      <c r="J7" s="6">
        <v>0</v>
      </c>
    </row>
    <row r="8" spans="1:10" x14ac:dyDescent="0.2">
      <c r="A8" s="6">
        <v>20250331</v>
      </c>
      <c r="B8" s="6">
        <v>1</v>
      </c>
      <c r="C8" s="8" t="s">
        <v>36</v>
      </c>
      <c r="D8" s="6" t="s">
        <v>23</v>
      </c>
      <c r="E8" s="6">
        <v>20250331</v>
      </c>
      <c r="F8" s="6" t="s">
        <v>50</v>
      </c>
      <c r="G8" s="7">
        <v>-125</v>
      </c>
      <c r="H8" s="6">
        <v>202503</v>
      </c>
      <c r="I8" s="6">
        <v>202503</v>
      </c>
      <c r="J8" s="6">
        <v>0</v>
      </c>
    </row>
    <row r="9" spans="1:10" x14ac:dyDescent="0.2">
      <c r="A9" s="6">
        <v>20250331</v>
      </c>
      <c r="B9" s="6">
        <v>1</v>
      </c>
      <c r="C9" s="8" t="s">
        <v>35</v>
      </c>
      <c r="D9" s="6" t="s">
        <v>23</v>
      </c>
      <c r="E9" s="6">
        <v>20250331</v>
      </c>
      <c r="F9" s="6" t="s">
        <v>50</v>
      </c>
      <c r="G9" s="7">
        <v>-820</v>
      </c>
      <c r="H9" s="6">
        <v>202503</v>
      </c>
      <c r="I9" s="6">
        <v>202503</v>
      </c>
      <c r="J9" s="6">
        <v>0</v>
      </c>
    </row>
    <row r="10" spans="1:10" x14ac:dyDescent="0.2">
      <c r="A10" s="6">
        <v>20250430</v>
      </c>
      <c r="B10" s="6">
        <v>2</v>
      </c>
      <c r="C10" s="9" t="s">
        <v>37</v>
      </c>
      <c r="D10" s="6" t="s">
        <v>22</v>
      </c>
      <c r="E10" s="6">
        <v>20250430</v>
      </c>
      <c r="F10" s="6" t="s">
        <v>50</v>
      </c>
      <c r="G10" s="7">
        <v>16954.028999999999</v>
      </c>
      <c r="H10" s="6">
        <v>202504</v>
      </c>
      <c r="I10" s="6">
        <v>202504</v>
      </c>
      <c r="J10" s="6">
        <v>0</v>
      </c>
    </row>
    <row r="11" spans="1:10" x14ac:dyDescent="0.2">
      <c r="A11" s="6">
        <v>20250430</v>
      </c>
      <c r="B11" s="6">
        <v>2</v>
      </c>
      <c r="C11" s="9" t="s">
        <v>33</v>
      </c>
      <c r="D11" s="6" t="s">
        <v>22</v>
      </c>
      <c r="E11" s="6">
        <v>20250430</v>
      </c>
      <c r="F11" s="6" t="s">
        <v>50</v>
      </c>
      <c r="G11" s="7">
        <v>118.16670000000001</v>
      </c>
      <c r="H11" s="6">
        <v>202504</v>
      </c>
      <c r="I11" s="6">
        <v>202504</v>
      </c>
      <c r="J11" s="6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zoomScale="120" zoomScaleNormal="120" workbookViewId="0">
      <selection activeCell="B34" sqref="B34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3" t="s">
        <v>24</v>
      </c>
      <c r="B1" s="4" t="s">
        <v>39</v>
      </c>
    </row>
    <row r="2" spans="1:7" ht="12.75" customHeight="1" x14ac:dyDescent="0.2">
      <c r="A2" s="1" t="s">
        <v>12</v>
      </c>
      <c r="B2" s="1" t="s">
        <v>13</v>
      </c>
      <c r="C2" s="1" t="s">
        <v>25</v>
      </c>
      <c r="D2" s="1" t="s">
        <v>17</v>
      </c>
      <c r="E2" s="1" t="s">
        <v>27</v>
      </c>
      <c r="F2" s="1" t="s">
        <v>26</v>
      </c>
      <c r="G2" s="1" t="s">
        <v>28</v>
      </c>
    </row>
    <row r="3" spans="1:7" ht="12.75" customHeight="1" x14ac:dyDescent="0.2">
      <c r="A3" s="1">
        <v>20220131</v>
      </c>
      <c r="B3" s="1">
        <v>1</v>
      </c>
      <c r="C3" s="1" t="s">
        <v>41</v>
      </c>
      <c r="D3" s="1" t="s">
        <v>38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0" t="s">
        <v>42</v>
      </c>
      <c r="D4" s="1" t="s">
        <v>38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40</v>
      </c>
      <c r="D5" s="1" t="s">
        <v>38</v>
      </c>
      <c r="E5" s="11">
        <v>12000</v>
      </c>
      <c r="F5" s="11">
        <v>0</v>
      </c>
      <c r="G5" s="11">
        <v>12000</v>
      </c>
    </row>
    <row r="6" spans="1:7" ht="12.75" customHeight="1" x14ac:dyDescent="0.2">
      <c r="A6" s="1">
        <v>20220228</v>
      </c>
      <c r="B6" s="1">
        <v>1</v>
      </c>
      <c r="C6" s="1" t="s">
        <v>41</v>
      </c>
      <c r="D6" s="1" t="s">
        <v>38</v>
      </c>
      <c r="E6" s="11">
        <v>60</v>
      </c>
      <c r="F6" s="11">
        <v>0</v>
      </c>
      <c r="G6" s="11">
        <v>60</v>
      </c>
    </row>
    <row r="7" spans="1:7" ht="12.75" customHeight="1" x14ac:dyDescent="0.2">
      <c r="A7" s="1">
        <v>20220228</v>
      </c>
      <c r="B7" s="1">
        <v>1</v>
      </c>
      <c r="C7" s="10" t="s">
        <v>42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spans="1:7" ht="12.75" customHeight="1" x14ac:dyDescent="0.2">
      <c r="A8" s="1">
        <v>20220228</v>
      </c>
      <c r="B8" s="1">
        <v>1</v>
      </c>
      <c r="C8" s="1" t="s">
        <v>40</v>
      </c>
      <c r="D8" s="1" t="s">
        <v>38</v>
      </c>
      <c r="E8" s="11">
        <v>0</v>
      </c>
      <c r="F8" s="11">
        <v>12000</v>
      </c>
      <c r="G8" s="11">
        <v>12000</v>
      </c>
    </row>
    <row r="9" spans="1:7" ht="12.75" customHeight="1" x14ac:dyDescent="0.2">
      <c r="A9" s="1">
        <v>20220331</v>
      </c>
      <c r="B9" s="1">
        <v>1</v>
      </c>
      <c r="C9" s="1" t="s">
        <v>41</v>
      </c>
      <c r="D9" s="1" t="s">
        <v>38</v>
      </c>
      <c r="E9" s="11">
        <v>-4.8500000000000014</v>
      </c>
      <c r="F9" s="11">
        <v>60</v>
      </c>
      <c r="G9" s="11">
        <v>55.15</v>
      </c>
    </row>
    <row r="10" spans="1:7" ht="12.75" customHeight="1" x14ac:dyDescent="0.2">
      <c r="A10" s="1">
        <v>20220331</v>
      </c>
      <c r="B10" s="1">
        <v>1</v>
      </c>
      <c r="C10" s="10" t="s">
        <v>42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spans="1:7" ht="12.75" customHeight="1" x14ac:dyDescent="0.2">
      <c r="A11" s="1">
        <v>20220331</v>
      </c>
      <c r="B11" s="1">
        <v>1</v>
      </c>
      <c r="C11" s="1" t="s">
        <v>40</v>
      </c>
      <c r="D11" s="1" t="s">
        <v>38</v>
      </c>
      <c r="E11" s="11">
        <v>-970</v>
      </c>
      <c r="F11" s="11">
        <v>12000</v>
      </c>
      <c r="G11" s="11">
        <v>11030</v>
      </c>
    </row>
    <row r="12" spans="1:7" ht="12.75" customHeight="1" x14ac:dyDescent="0.2">
      <c r="A12" s="1">
        <v>20220430</v>
      </c>
      <c r="B12" s="1">
        <v>1</v>
      </c>
      <c r="C12" s="1" t="s">
        <v>41</v>
      </c>
      <c r="D12" s="1" t="s">
        <v>38</v>
      </c>
      <c r="E12" s="11">
        <v>55.15</v>
      </c>
      <c r="F12" s="11">
        <v>55.15</v>
      </c>
      <c r="G12" s="11">
        <v>110.3</v>
      </c>
    </row>
    <row r="13" spans="1:7" ht="12.75" customHeight="1" x14ac:dyDescent="0.2">
      <c r="A13" s="1">
        <v>20220430</v>
      </c>
      <c r="B13" s="1">
        <v>1</v>
      </c>
      <c r="C13" s="10" t="s">
        <v>42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spans="1:7" ht="12.75" customHeight="1" x14ac:dyDescent="0.2">
      <c r="A14" s="1">
        <v>20220430</v>
      </c>
      <c r="B14" s="1">
        <v>1</v>
      </c>
      <c r="C14" s="1" t="s">
        <v>40</v>
      </c>
      <c r="D14" s="1" t="s">
        <v>38</v>
      </c>
      <c r="E14" s="11">
        <v>0</v>
      </c>
      <c r="F14" s="11">
        <v>11030</v>
      </c>
      <c r="G14" s="11">
        <v>11030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C2536-A776-4BAB-ADAC-4F4DC6BDF1CD}">
  <dimension ref="A1:G14"/>
  <sheetViews>
    <sheetView zoomScale="120" zoomScaleNormal="120" workbookViewId="0">
      <selection activeCell="D5" sqref="D5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3" t="s">
        <v>24</v>
      </c>
      <c r="B1" s="4" t="s">
        <v>49</v>
      </c>
    </row>
    <row r="2" spans="1:7" ht="12.75" customHeight="1" x14ac:dyDescent="0.2">
      <c r="A2" s="1" t="s">
        <v>12</v>
      </c>
      <c r="B2" s="1" t="s">
        <v>13</v>
      </c>
      <c r="C2" s="1" t="s">
        <v>25</v>
      </c>
      <c r="D2" s="1" t="s">
        <v>17</v>
      </c>
      <c r="E2" s="1" t="s">
        <v>27</v>
      </c>
      <c r="F2" s="1" t="s">
        <v>26</v>
      </c>
      <c r="G2" s="1" t="s">
        <v>28</v>
      </c>
    </row>
    <row r="3" spans="1:7" ht="12.75" customHeight="1" x14ac:dyDescent="0.2">
      <c r="A3" s="1">
        <v>20220131</v>
      </c>
      <c r="B3" s="1">
        <v>1</v>
      </c>
      <c r="C3" s="1" t="s">
        <v>41</v>
      </c>
      <c r="D3" s="1" t="s">
        <v>50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0" t="s">
        <v>42</v>
      </c>
      <c r="D4" s="1" t="s">
        <v>50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40</v>
      </c>
      <c r="D5" s="1" t="s">
        <v>50</v>
      </c>
      <c r="E5" s="11">
        <v>15000</v>
      </c>
      <c r="F5" s="11">
        <v>0</v>
      </c>
      <c r="G5" s="11">
        <v>15000</v>
      </c>
    </row>
    <row r="6" spans="1:7" ht="12.75" customHeight="1" x14ac:dyDescent="0.2">
      <c r="A6" s="1">
        <v>20220228</v>
      </c>
      <c r="B6" s="1">
        <v>1</v>
      </c>
      <c r="C6" s="1" t="s">
        <v>41</v>
      </c>
      <c r="D6" s="1" t="s">
        <v>50</v>
      </c>
      <c r="E6" s="11">
        <v>125</v>
      </c>
      <c r="F6" s="11">
        <v>0</v>
      </c>
      <c r="G6" s="11">
        <v>125</v>
      </c>
    </row>
    <row r="7" spans="1:7" ht="12.75" customHeight="1" x14ac:dyDescent="0.2">
      <c r="A7" s="1">
        <v>20220228</v>
      </c>
      <c r="B7" s="1">
        <v>1</v>
      </c>
      <c r="C7" s="10" t="s">
        <v>42</v>
      </c>
      <c r="D7" s="1" t="s">
        <v>50</v>
      </c>
      <c r="E7" s="11">
        <v>-166.61699729843735</v>
      </c>
      <c r="F7" s="11">
        <v>0</v>
      </c>
      <c r="G7" s="11">
        <v>-166.61699729843735</v>
      </c>
    </row>
    <row r="8" spans="1:7" ht="12.75" customHeight="1" x14ac:dyDescent="0.2">
      <c r="A8" s="1">
        <v>20220228</v>
      </c>
      <c r="B8" s="1">
        <v>1</v>
      </c>
      <c r="C8" s="1" t="s">
        <v>40</v>
      </c>
      <c r="D8" s="1" t="s">
        <v>50</v>
      </c>
      <c r="E8" s="11">
        <v>0</v>
      </c>
      <c r="F8" s="11">
        <v>15000</v>
      </c>
      <c r="G8" s="11">
        <v>15000</v>
      </c>
    </row>
    <row r="9" spans="1:7" ht="12.75" customHeight="1" x14ac:dyDescent="0.2">
      <c r="A9" s="1">
        <v>20220331</v>
      </c>
      <c r="B9" s="1">
        <v>1</v>
      </c>
      <c r="C9" s="1" t="s">
        <v>41</v>
      </c>
      <c r="D9" s="1" t="s">
        <v>50</v>
      </c>
      <c r="E9" s="11">
        <v>-6.8332999999999942</v>
      </c>
      <c r="F9" s="11">
        <v>125</v>
      </c>
      <c r="G9" s="11">
        <v>118.16670000000001</v>
      </c>
    </row>
    <row r="10" spans="1:7" ht="12.75" customHeight="1" x14ac:dyDescent="0.2">
      <c r="A10" s="1">
        <v>20220331</v>
      </c>
      <c r="B10" s="1">
        <v>1</v>
      </c>
      <c r="C10" s="10" t="s">
        <v>42</v>
      </c>
      <c r="D10" s="1" t="s">
        <v>50</v>
      </c>
      <c r="E10" s="11">
        <v>-1407.6016999999999</v>
      </c>
      <c r="F10" s="11">
        <v>-166.61699729843735</v>
      </c>
      <c r="G10" s="11">
        <v>-1574.2186972984373</v>
      </c>
    </row>
    <row r="11" spans="1:7" ht="12.75" customHeight="1" x14ac:dyDescent="0.2">
      <c r="A11" s="1">
        <v>20220331</v>
      </c>
      <c r="B11" s="1">
        <v>1</v>
      </c>
      <c r="C11" s="1" t="s">
        <v>40</v>
      </c>
      <c r="D11" s="1" t="s">
        <v>50</v>
      </c>
      <c r="E11" s="11">
        <v>-820</v>
      </c>
      <c r="F11" s="11">
        <v>15000</v>
      </c>
      <c r="G11" s="11">
        <v>14180</v>
      </c>
    </row>
    <row r="12" spans="1:7" ht="12.75" customHeight="1" x14ac:dyDescent="0.2">
      <c r="A12" s="1">
        <v>20220430</v>
      </c>
      <c r="B12" s="1">
        <v>1</v>
      </c>
      <c r="C12" s="1" t="s">
        <v>41</v>
      </c>
      <c r="D12" s="1" t="s">
        <v>50</v>
      </c>
      <c r="E12" s="11">
        <v>0</v>
      </c>
      <c r="F12" s="11">
        <v>118.16670000000001</v>
      </c>
      <c r="G12" s="11">
        <v>118.16670000000001</v>
      </c>
    </row>
    <row r="13" spans="1:7" ht="12.75" customHeight="1" x14ac:dyDescent="0.2">
      <c r="A13" s="1">
        <v>20220430</v>
      </c>
      <c r="B13" s="1">
        <v>1</v>
      </c>
      <c r="C13" s="10" t="s">
        <v>42</v>
      </c>
      <c r="D13" s="1" t="s">
        <v>50</v>
      </c>
      <c r="E13" s="11">
        <v>16954.028999999999</v>
      </c>
      <c r="F13" s="11">
        <v>-1574.2186972984373</v>
      </c>
      <c r="G13" s="11">
        <v>15379.81030270156</v>
      </c>
    </row>
    <row r="14" spans="1:7" ht="12.75" customHeight="1" x14ac:dyDescent="0.2">
      <c r="A14" s="1">
        <v>20220430</v>
      </c>
      <c r="B14" s="1">
        <v>1</v>
      </c>
      <c r="C14" s="1" t="s">
        <v>40</v>
      </c>
      <c r="D14" s="1" t="s">
        <v>50</v>
      </c>
      <c r="E14" s="11">
        <v>118.16670000000001</v>
      </c>
      <c r="F14" s="11">
        <v>14180</v>
      </c>
      <c r="G14" s="11">
        <v>14298.1667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B0318-3126-45CF-94D8-1E8EDFBBDE58}">
  <dimension ref="A1:F14"/>
  <sheetViews>
    <sheetView zoomScale="120" zoomScaleNormal="120" workbookViewId="0">
      <selection activeCell="C4" sqref="C4:C14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3" t="s">
        <v>29</v>
      </c>
      <c r="B1" s="4" t="s">
        <v>49</v>
      </c>
    </row>
    <row r="2" spans="1:6" x14ac:dyDescent="0.2">
      <c r="A2" s="1" t="s">
        <v>12</v>
      </c>
      <c r="B2" s="1" t="s">
        <v>25</v>
      </c>
      <c r="C2" s="1" t="s">
        <v>17</v>
      </c>
      <c r="D2" s="1" t="s">
        <v>27</v>
      </c>
      <c r="E2" s="1" t="s">
        <v>26</v>
      </c>
      <c r="F2" s="1" t="s">
        <v>28</v>
      </c>
    </row>
    <row r="3" spans="1:6" x14ac:dyDescent="0.2">
      <c r="A3" s="1">
        <v>20220131</v>
      </c>
      <c r="B3" s="1" t="s">
        <v>41</v>
      </c>
      <c r="C3" s="1" t="s">
        <v>50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0" t="s">
        <v>42</v>
      </c>
      <c r="C4" s="1" t="s">
        <v>50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40</v>
      </c>
      <c r="C5" s="1" t="s">
        <v>50</v>
      </c>
      <c r="D5" s="11">
        <f>O_TransactionActivity2!G3</f>
        <v>15000</v>
      </c>
      <c r="E5" s="11">
        <v>0</v>
      </c>
      <c r="F5" s="11">
        <f t="shared" si="0"/>
        <v>15000</v>
      </c>
    </row>
    <row r="6" spans="1:6" x14ac:dyDescent="0.2">
      <c r="A6" s="1">
        <v>20220228</v>
      </c>
      <c r="B6" s="1" t="s">
        <v>41</v>
      </c>
      <c r="C6" s="1" t="s">
        <v>50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spans="1:6" ht="12.75" customHeight="1" x14ac:dyDescent="0.2">
      <c r="A7" s="1">
        <v>20220228</v>
      </c>
      <c r="B7" s="10" t="s">
        <v>42</v>
      </c>
      <c r="C7" s="1" t="s">
        <v>50</v>
      </c>
      <c r="D7" s="11">
        <f>O_TransactionActivity2!G4</f>
        <v>-166.61699729843735</v>
      </c>
      <c r="E7" s="11">
        <f t="shared" si="1"/>
        <v>0</v>
      </c>
      <c r="F7" s="11">
        <f t="shared" si="0"/>
        <v>-166.61699729843735</v>
      </c>
    </row>
    <row r="8" spans="1:6" ht="12.75" customHeight="1" x14ac:dyDescent="0.2">
      <c r="A8" s="1">
        <v>20220228</v>
      </c>
      <c r="B8" s="1" t="s">
        <v>40</v>
      </c>
      <c r="C8" s="1" t="s">
        <v>50</v>
      </c>
      <c r="D8" s="11">
        <v>0</v>
      </c>
      <c r="E8" s="11">
        <f t="shared" si="1"/>
        <v>15000</v>
      </c>
      <c r="F8" s="11">
        <f t="shared" si="0"/>
        <v>15000</v>
      </c>
    </row>
    <row r="9" spans="1:6" ht="12.75" customHeight="1" x14ac:dyDescent="0.2">
      <c r="A9" s="1">
        <v>20220331</v>
      </c>
      <c r="B9" s="1" t="s">
        <v>41</v>
      </c>
      <c r="C9" s="1" t="s">
        <v>50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spans="1:6" ht="12.75" customHeight="1" x14ac:dyDescent="0.2">
      <c r="A10" s="1">
        <v>20220331</v>
      </c>
      <c r="B10" s="10" t="s">
        <v>42</v>
      </c>
      <c r="C10" s="1" t="s">
        <v>50</v>
      </c>
      <c r="D10" s="11">
        <f>O_TransactionActivity2!G6</f>
        <v>-1407.6016999999999</v>
      </c>
      <c r="E10" s="11">
        <f t="shared" si="1"/>
        <v>-166.61699729843735</v>
      </c>
      <c r="F10" s="11">
        <f t="shared" si="0"/>
        <v>-1574.2186972984373</v>
      </c>
    </row>
    <row r="11" spans="1:6" ht="12.75" customHeight="1" x14ac:dyDescent="0.2">
      <c r="A11" s="1">
        <v>20220331</v>
      </c>
      <c r="B11" s="1" t="s">
        <v>40</v>
      </c>
      <c r="C11" s="1" t="s">
        <v>50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spans="1:6" ht="12.75" customHeight="1" x14ac:dyDescent="0.2">
      <c r="A12" s="1">
        <v>20220430</v>
      </c>
      <c r="B12" s="1" t="s">
        <v>41</v>
      </c>
      <c r="C12" s="1" t="s">
        <v>50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spans="1:6" ht="12.75" customHeight="1" x14ac:dyDescent="0.2">
      <c r="A13" s="1">
        <v>20220430</v>
      </c>
      <c r="B13" s="10" t="s">
        <v>42</v>
      </c>
      <c r="C13" s="1" t="s">
        <v>50</v>
      </c>
      <c r="D13" s="11">
        <f>O_TransactionActivity2!G10</f>
        <v>16954.028999999999</v>
      </c>
      <c r="E13" s="11">
        <f t="shared" si="1"/>
        <v>-1574.2186972984373</v>
      </c>
      <c r="F13" s="11">
        <f t="shared" si="0"/>
        <v>15379.81030270156</v>
      </c>
    </row>
    <row r="14" spans="1:6" ht="12.75" customHeight="1" x14ac:dyDescent="0.2">
      <c r="A14" s="1">
        <v>20220430</v>
      </c>
      <c r="B14" s="1" t="s">
        <v>40</v>
      </c>
      <c r="C14" s="1" t="s">
        <v>50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zoomScale="120" zoomScaleNormal="120" workbookViewId="0">
      <selection activeCell="F8" sqref="F8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3" t="s">
        <v>29</v>
      </c>
      <c r="B1" s="4" t="s">
        <v>39</v>
      </c>
    </row>
    <row r="2" spans="1:6" x14ac:dyDescent="0.2">
      <c r="A2" s="1" t="s">
        <v>12</v>
      </c>
      <c r="B2" s="1" t="s">
        <v>25</v>
      </c>
      <c r="C2" s="1" t="s">
        <v>17</v>
      </c>
      <c r="D2" s="1" t="s">
        <v>27</v>
      </c>
      <c r="E2" s="1" t="s">
        <v>26</v>
      </c>
      <c r="F2" s="1" t="s">
        <v>28</v>
      </c>
    </row>
    <row r="3" spans="1:6" x14ac:dyDescent="0.2">
      <c r="A3" s="1">
        <v>20220131</v>
      </c>
      <c r="B3" s="1" t="s">
        <v>41</v>
      </c>
      <c r="C3" s="1" t="s">
        <v>38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0" t="s">
        <v>42</v>
      </c>
      <c r="C4" s="1" t="s">
        <v>38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40</v>
      </c>
      <c r="C5" s="1" t="s">
        <v>38</v>
      </c>
      <c r="D5" s="11">
        <f>O_TransactionActivity!G3</f>
        <v>12000</v>
      </c>
      <c r="E5" s="11">
        <v>0</v>
      </c>
      <c r="F5" s="11">
        <f t="shared" si="0"/>
        <v>12000</v>
      </c>
    </row>
    <row r="6" spans="1:6" x14ac:dyDescent="0.2">
      <c r="A6" s="1">
        <v>20220228</v>
      </c>
      <c r="B6" s="1" t="s">
        <v>41</v>
      </c>
      <c r="C6" s="1" t="s">
        <v>38</v>
      </c>
      <c r="D6" s="11">
        <f>O_TransactionActivity!G5</f>
        <v>60</v>
      </c>
      <c r="E6" s="11">
        <f t="shared" ref="E6:E14" si="1">F3</f>
        <v>0</v>
      </c>
      <c r="F6" s="11">
        <f t="shared" si="0"/>
        <v>60</v>
      </c>
    </row>
    <row r="7" spans="1:6" ht="12.75" customHeight="1" x14ac:dyDescent="0.2">
      <c r="A7" s="1">
        <v>20220228</v>
      </c>
      <c r="B7" s="10" t="s">
        <v>42</v>
      </c>
      <c r="C7" s="1" t="s">
        <v>38</v>
      </c>
      <c r="D7" s="11">
        <f>O_TransactionActivity!G4</f>
        <v>-3065.4515000000001</v>
      </c>
      <c r="E7" s="11">
        <f t="shared" si="1"/>
        <v>0</v>
      </c>
      <c r="F7" s="11">
        <f t="shared" si="0"/>
        <v>-3065.4515000000001</v>
      </c>
    </row>
    <row r="8" spans="1:6" ht="12.75" customHeight="1" x14ac:dyDescent="0.2">
      <c r="A8" s="1">
        <v>20220228</v>
      </c>
      <c r="B8" s="1" t="s">
        <v>40</v>
      </c>
      <c r="C8" s="1" t="s">
        <v>38</v>
      </c>
      <c r="D8" s="11">
        <v>0</v>
      </c>
      <c r="E8" s="11">
        <f t="shared" si="1"/>
        <v>12000</v>
      </c>
      <c r="F8" s="11">
        <f t="shared" si="0"/>
        <v>12000</v>
      </c>
    </row>
    <row r="9" spans="1:6" ht="12.75" customHeight="1" x14ac:dyDescent="0.2">
      <c r="A9" s="1">
        <v>20220331</v>
      </c>
      <c r="B9" s="1" t="s">
        <v>41</v>
      </c>
      <c r="C9" s="1" t="s">
        <v>38</v>
      </c>
      <c r="D9" s="11">
        <f>O_TransactionActivity!G7+O_TransactionActivity!G8</f>
        <v>-4.8500000000000014</v>
      </c>
      <c r="E9" s="11">
        <f t="shared" si="1"/>
        <v>60</v>
      </c>
      <c r="F9" s="11">
        <f t="shared" si="0"/>
        <v>55.15</v>
      </c>
    </row>
    <row r="10" spans="1:6" ht="12.75" customHeight="1" x14ac:dyDescent="0.2">
      <c r="A10" s="1">
        <v>20220331</v>
      </c>
      <c r="B10" s="10" t="s">
        <v>42</v>
      </c>
      <c r="C10" s="1" t="s">
        <v>38</v>
      </c>
      <c r="D10" s="11">
        <f>O_TransactionActivity!G6</f>
        <v>-283.98700000000002</v>
      </c>
      <c r="E10" s="11">
        <f t="shared" si="1"/>
        <v>-3065.4515000000001</v>
      </c>
      <c r="F10" s="11">
        <f t="shared" si="0"/>
        <v>-3349.4385000000002</v>
      </c>
    </row>
    <row r="11" spans="1:6" ht="12.75" customHeight="1" x14ac:dyDescent="0.2">
      <c r="A11" s="1">
        <v>20220331</v>
      </c>
      <c r="B11" s="1" t="s">
        <v>40</v>
      </c>
      <c r="C11" s="1" t="s">
        <v>38</v>
      </c>
      <c r="D11" s="11">
        <f>O_TransactionActivity!G9</f>
        <v>-970</v>
      </c>
      <c r="E11" s="11">
        <f t="shared" si="1"/>
        <v>12000</v>
      </c>
      <c r="F11" s="11">
        <f t="shared" si="0"/>
        <v>11030</v>
      </c>
    </row>
    <row r="12" spans="1:6" ht="12.75" customHeight="1" x14ac:dyDescent="0.2">
      <c r="A12" s="1">
        <v>20220430</v>
      </c>
      <c r="B12" s="1" t="s">
        <v>41</v>
      </c>
      <c r="C12" s="1" t="s">
        <v>38</v>
      </c>
      <c r="D12" s="11">
        <f>O_TransactionActivity!G11</f>
        <v>55.15</v>
      </c>
      <c r="E12" s="11">
        <f t="shared" si="1"/>
        <v>55.15</v>
      </c>
      <c r="F12" s="11">
        <f t="shared" si="0"/>
        <v>110.3</v>
      </c>
    </row>
    <row r="13" spans="1:6" ht="12.75" customHeight="1" x14ac:dyDescent="0.2">
      <c r="A13" s="1">
        <v>20220430</v>
      </c>
      <c r="B13" s="10" t="s">
        <v>42</v>
      </c>
      <c r="C13" s="1" t="s">
        <v>38</v>
      </c>
      <c r="D13" s="11">
        <f>O_TransactionActivity!G10</f>
        <v>2836.4295999999999</v>
      </c>
      <c r="E13" s="11">
        <f t="shared" si="1"/>
        <v>-3349.4385000000002</v>
      </c>
      <c r="F13" s="11">
        <f t="shared" si="0"/>
        <v>-513.00890000000027</v>
      </c>
    </row>
    <row r="14" spans="1:6" ht="12.75" customHeight="1" x14ac:dyDescent="0.2">
      <c r="A14" s="1">
        <v>20220430</v>
      </c>
      <c r="B14" s="1" t="s">
        <v>40</v>
      </c>
      <c r="C14" s="1" t="s">
        <v>38</v>
      </c>
      <c r="D14" s="11">
        <v>0</v>
      </c>
      <c r="E14" s="11">
        <f t="shared" si="1"/>
        <v>11030</v>
      </c>
      <c r="F14" s="11">
        <f t="shared" si="0"/>
        <v>11030</v>
      </c>
    </row>
  </sheetData>
  <sortState xmlns:xlrd2="http://schemas.microsoft.com/office/spreadsheetml/2017/richdata2" ref="A3:F14">
    <sortCondition ref="A3:A14"/>
    <sortCondition ref="B3:B1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3" t="s">
        <v>30</v>
      </c>
      <c r="B1" s="4" t="s">
        <v>31</v>
      </c>
    </row>
    <row r="2" spans="1:5" x14ac:dyDescent="0.2">
      <c r="A2" s="1" t="s">
        <v>12</v>
      </c>
      <c r="B2" s="1" t="s">
        <v>25</v>
      </c>
      <c r="C2" s="1" t="s">
        <v>27</v>
      </c>
      <c r="D2" s="1" t="s">
        <v>26</v>
      </c>
      <c r="E2" s="1" t="s">
        <v>28</v>
      </c>
    </row>
    <row r="3" spans="1:5" x14ac:dyDescent="0.2">
      <c r="A3" s="1">
        <v>20220131</v>
      </c>
      <c r="B3" s="1" t="s">
        <v>41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 spans="1:5" x14ac:dyDescent="0.2">
      <c r="A4" s="1">
        <v>20220131</v>
      </c>
      <c r="B4" s="10" t="s">
        <v>42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 spans="1:5" x14ac:dyDescent="0.2">
      <c r="A5" s="1">
        <v>20220131</v>
      </c>
      <c r="B5" s="1" t="s">
        <v>40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 spans="1:5" x14ac:dyDescent="0.2">
      <c r="A6" s="1">
        <v>20220228</v>
      </c>
      <c r="B6" s="1" t="s">
        <v>41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spans="1:5" ht="12.75" customHeight="1" x14ac:dyDescent="0.2">
      <c r="A7" s="1">
        <v>20220228</v>
      </c>
      <c r="B7" s="10" t="s">
        <v>42</v>
      </c>
      <c r="C7" s="11">
        <f>O_Instrument2!D7+O_Instrument!D7</f>
        <v>-3232.0684972984373</v>
      </c>
      <c r="D7" s="11">
        <f>O_Instrument2!E7+O_Instrument!E7</f>
        <v>0</v>
      </c>
      <c r="E7" s="11">
        <f>O_Instrument2!F7+O_Instrument!F7</f>
        <v>-3232.0684972984373</v>
      </c>
    </row>
    <row r="8" spans="1:5" ht="12.75" customHeight="1" x14ac:dyDescent="0.2">
      <c r="A8" s="1">
        <v>20220228</v>
      </c>
      <c r="B8" s="1" t="s">
        <v>40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spans="1:5" ht="12.75" customHeight="1" x14ac:dyDescent="0.2">
      <c r="A9" s="1">
        <v>20220331</v>
      </c>
      <c r="B9" s="1" t="s">
        <v>41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spans="1:5" ht="12.75" customHeight="1" x14ac:dyDescent="0.2">
      <c r="A10" s="1">
        <v>20220331</v>
      </c>
      <c r="B10" s="10" t="s">
        <v>42</v>
      </c>
      <c r="C10" s="11">
        <f>O_Instrument2!D10+O_Instrument!D10</f>
        <v>-1691.5887</v>
      </c>
      <c r="D10" s="11">
        <f>O_Instrument2!E10+O_Instrument!E10</f>
        <v>-3232.0684972984373</v>
      </c>
      <c r="E10" s="11">
        <f>O_Instrument2!F10+O_Instrument!F10</f>
        <v>-4923.6571972984375</v>
      </c>
    </row>
    <row r="11" spans="1:5" ht="12.75" customHeight="1" x14ac:dyDescent="0.2">
      <c r="A11" s="1">
        <v>20220331</v>
      </c>
      <c r="B11" s="1" t="s">
        <v>40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spans="1:5" ht="12.75" customHeight="1" x14ac:dyDescent="0.2">
      <c r="A12" s="1">
        <v>20220430</v>
      </c>
      <c r="B12" s="1" t="s">
        <v>41</v>
      </c>
      <c r="C12" s="11">
        <f>O_Instrument2!D12+O_Instrument!D12</f>
        <v>55.15</v>
      </c>
      <c r="D12" s="11">
        <f>O_Instrument2!E12+O_Instrument!E12</f>
        <v>173.3167</v>
      </c>
      <c r="E12" s="11">
        <f>O_Instrument2!F12+O_Instrument!F12</f>
        <v>228.4667</v>
      </c>
    </row>
    <row r="13" spans="1:5" ht="12.75" customHeight="1" x14ac:dyDescent="0.2">
      <c r="A13" s="1">
        <v>20220430</v>
      </c>
      <c r="B13" s="10" t="s">
        <v>42</v>
      </c>
      <c r="C13" s="11">
        <f>O_Instrument2!D13+O_Instrument!D13</f>
        <v>19790.458599999998</v>
      </c>
      <c r="D13" s="11">
        <f>O_Instrument2!E13+O_Instrument!E13</f>
        <v>-4923.6571972984375</v>
      </c>
      <c r="E13" s="11">
        <f>O_Instrument2!F13+O_Instrument!F13</f>
        <v>14866.80140270156</v>
      </c>
    </row>
    <row r="14" spans="1:5" ht="12.75" customHeight="1" x14ac:dyDescent="0.2">
      <c r="A14" s="1">
        <v>20220430</v>
      </c>
      <c r="B14" s="1" t="s">
        <v>40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4847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131</cp:revision>
  <dcterms:created xsi:type="dcterms:W3CDTF">2025-06-10T09:23:35Z</dcterms:created>
  <dcterms:modified xsi:type="dcterms:W3CDTF">2025-12-10T07:10:44Z</dcterms:modified>
  <dc:language>en-US</dc:language>
</cp:coreProperties>
</file>