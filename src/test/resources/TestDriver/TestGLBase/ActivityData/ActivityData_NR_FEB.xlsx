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5860" tabRatio="500" firstSheet="0" activeTab="1" autoFilterDateGrouping="1"/>
  </bookViews>
  <sheets>
    <sheet xmlns:r="http://schemas.openxmlformats.org/officeDocument/2006/relationships" name="InstrumentAttribute" sheetId="1" state="visible" r:id="rId1"/>
    <sheet xmlns:r="http://schemas.openxmlformats.org/officeDocument/2006/relationships" name="TransactionActivity" sheetId="2" state="visible" r:id="rId2"/>
    <sheet xmlns:r="http://schemas.openxmlformats.org/officeDocument/2006/relationships" name="GLRule" sheetId="3" state="hidden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yyyy-mm-dd h:mm:ss"/>
  </numFmts>
  <fonts count="4">
    <font>
      <name val="Calibri"/>
      <charset val="1"/>
      <family val="2"/>
      <color theme="1"/>
      <sz val="11"/>
    </font>
    <font>
      <name val="Calibri"/>
      <charset val="1"/>
      <family val="2"/>
      <b val="1"/>
      <color theme="1"/>
      <sz val="11"/>
    </font>
    <font>
      <name val="Calibri"/>
      <charset val="1"/>
      <family val="2"/>
      <color theme="1"/>
      <sz val="11"/>
    </font>
    <font>
      <name val="Calibri"/>
      <family val="2"/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theme="8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2" fillId="0" borderId="0"/>
    <xf numFmtId="0" fontId="2" fillId="0" borderId="0"/>
  </cellStyleXfs>
  <cellXfs count="18">
    <xf numFmtId="0" fontId="0" fillId="0" borderId="0" pivotButton="0" quotePrefix="0" xfId="0"/>
    <xf numFmtId="0" fontId="1" fillId="2" borderId="1" pivotButton="0" quotePrefix="0" xfId="1"/>
    <xf numFmtId="0" fontId="1" fillId="0" borderId="1" pivotButton="0" quotePrefix="0" xfId="1"/>
    <xf numFmtId="14" fontId="0" fillId="2" borderId="1" pivotButton="0" quotePrefix="0" xfId="1"/>
    <xf numFmtId="0" fontId="0" fillId="0" borderId="1" pivotButton="0" quotePrefix="0" xfId="1"/>
    <xf numFmtId="164" fontId="0" fillId="0" borderId="1" pivotButton="0" quotePrefix="0" xfId="1"/>
    <xf numFmtId="0" fontId="1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1" fillId="0" borderId="0" pivotButton="0" quotePrefix="0" xfId="1"/>
    <xf numFmtId="0" fontId="1" fillId="3" borderId="0" pivotButton="0" quotePrefix="0" xfId="1"/>
    <xf numFmtId="0" fontId="3" fillId="0" borderId="0" pivotButton="0" quotePrefix="0" xfId="1"/>
    <xf numFmtId="14" fontId="0" fillId="2" borderId="0" pivotButton="0" quotePrefix="0" xfId="1"/>
    <xf numFmtId="14" fontId="0" fillId="0" borderId="0" pivotButton="0" quotePrefix="0" xfId="1"/>
    <xf numFmtId="0" fontId="0" fillId="0" borderId="0" pivotButton="0" quotePrefix="0" xfId="1"/>
    <xf numFmtId="0" fontId="0" fillId="4" borderId="0" pivotButton="0" quotePrefix="0" xfId="1"/>
    <xf numFmtId="0" fontId="0" fillId="0" borderId="2" pivotButton="0" quotePrefix="0" xfId="1"/>
    <xf numFmtId="164" fontId="0" fillId="0" borderId="2" pivotButton="0" quotePrefix="0" xfId="1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I3"/>
  <sheetViews>
    <sheetView zoomScale="120" zoomScaleNormal="120" workbookViewId="0">
      <selection activeCell="E3" sqref="E3:E4"/>
    </sheetView>
  </sheetViews>
  <sheetFormatPr baseColWidth="10" defaultColWidth="11.5" defaultRowHeight="15" customHeight="1"/>
  <cols>
    <col width="15.83203125" customWidth="1" min="5" max="5"/>
  </cols>
  <sheetData>
    <row r="1">
      <c r="A1" s="8" t="inlineStr">
        <is>
          <t>PostingDate</t>
        </is>
      </c>
      <c r="B1" s="9" t="inlineStr">
        <is>
          <t>EffectiveDate</t>
        </is>
      </c>
      <c r="C1" s="9" t="inlineStr">
        <is>
          <t>AttributeId</t>
        </is>
      </c>
      <c r="D1" s="9" t="inlineStr">
        <is>
          <t>INSTRUMENTID</t>
        </is>
      </c>
      <c r="E1" s="10" t="inlineStr">
        <is>
          <t>LOAN_AMOUNT</t>
        </is>
      </c>
      <c r="F1" s="10" t="inlineStr">
        <is>
          <t>INTEREST_RATE</t>
        </is>
      </c>
      <c r="G1" s="10" t="inlineStr">
        <is>
          <t>LOAN_TERM</t>
        </is>
      </c>
      <c r="H1" s="10" t="inlineStr">
        <is>
          <t>MATURITY_DATE</t>
        </is>
      </c>
      <c r="I1" s="10" t="inlineStr">
        <is>
          <t>LOAN_STATUS</t>
        </is>
      </c>
    </row>
    <row r="2">
      <c r="A2" s="12" t="n">
        <v>44620</v>
      </c>
      <c r="B2" s="12" t="n">
        <v>44620</v>
      </c>
      <c r="C2" s="14" t="n">
        <v>1</v>
      </c>
      <c r="D2" s="14" t="inlineStr">
        <is>
          <t>LOAN1</t>
        </is>
      </c>
      <c r="E2" s="14" t="n">
        <v>100000</v>
      </c>
      <c r="F2" s="14" t="n">
        <v>10</v>
      </c>
      <c r="G2" s="14" t="n">
        <v>12</v>
      </c>
      <c r="H2" s="13" t="n">
        <v>44957</v>
      </c>
      <c r="I2" s="14" t="inlineStr">
        <is>
          <t>current</t>
        </is>
      </c>
    </row>
    <row r="3" ht="15" customHeight="1">
      <c r="A3" s="12" t="n">
        <v>44620</v>
      </c>
      <c r="B3" s="12" t="n">
        <v>44620</v>
      </c>
      <c r="C3" s="14" t="n">
        <v>1</v>
      </c>
      <c r="D3" s="14" t="inlineStr">
        <is>
          <t>LOAN2</t>
        </is>
      </c>
      <c r="E3" s="14" t="n">
        <v>200000</v>
      </c>
      <c r="F3" s="14" t="n">
        <v>8</v>
      </c>
      <c r="G3" s="14" t="n">
        <v>12</v>
      </c>
      <c r="H3" s="13" t="n">
        <v>44957</v>
      </c>
      <c r="I3" s="14" t="inlineStr">
        <is>
          <t>current</t>
        </is>
      </c>
    </row>
    <row r="4" ht="15" customHeight="1"/>
  </sheetData>
  <pageMargins left="0.7875" right="0.7875" top="1.05277777777778" bottom="1.05277777777778" header="0.7875" footer="0.7875"/>
  <pageSetup orientation="portrait" horizontalDpi="300" verticalDpi="300"/>
  <headerFooter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F7"/>
  <sheetViews>
    <sheetView tabSelected="1" zoomScaleNormal="100" workbookViewId="0">
      <selection activeCell="D4" sqref="D4"/>
    </sheetView>
  </sheetViews>
  <sheetFormatPr baseColWidth="10" defaultColWidth="8.6640625" defaultRowHeight="15" customHeight="1"/>
  <cols>
    <col width="15.5" customWidth="1" min="1" max="1"/>
    <col width="12.5" customWidth="1" min="2" max="2"/>
    <col width="16.5" customWidth="1" min="3" max="3"/>
    <col width="21.5" bestFit="1" customWidth="1" min="4" max="4"/>
    <col width="10.83203125" customWidth="1" min="5" max="5"/>
  </cols>
  <sheetData>
    <row r="1">
      <c r="A1" s="1" t="inlineStr">
        <is>
          <t>Postingdate</t>
        </is>
      </c>
      <c r="B1" s="2" t="inlineStr">
        <is>
          <t>TransactionDate</t>
        </is>
      </c>
      <c r="C1" s="2" t="inlineStr">
        <is>
          <t>InstrumentId</t>
        </is>
      </c>
      <c r="D1" s="2" t="inlineStr">
        <is>
          <t>TransactionName</t>
        </is>
      </c>
      <c r="E1" s="2" t="inlineStr">
        <is>
          <t>Amount</t>
        </is>
      </c>
      <c r="F1" s="2" t="inlineStr">
        <is>
          <t>AtrributeId</t>
        </is>
      </c>
    </row>
    <row r="2">
      <c r="A2" s="3" t="n">
        <v>44620</v>
      </c>
      <c r="B2" s="3" t="n">
        <v>44620</v>
      </c>
      <c r="C2" s="4" t="inlineStr">
        <is>
          <t>LOAN1</t>
        </is>
      </c>
      <c r="D2" s="14" t="inlineStr">
        <is>
          <t>Servicing_Interest_Accrual</t>
        </is>
      </c>
      <c r="E2" s="5" t="n">
        <v>210</v>
      </c>
      <c r="F2" s="4" t="n">
        <v>1</v>
      </c>
    </row>
    <row r="3" ht="15" customHeight="1">
      <c r="A3" s="3" t="n">
        <v>44620</v>
      </c>
      <c r="B3" s="3" t="n">
        <v>44620</v>
      </c>
      <c r="C3" s="4" t="inlineStr">
        <is>
          <t>LOAN2</t>
        </is>
      </c>
      <c r="D3" s="14" t="inlineStr">
        <is>
          <t>Servicing_Interest_Accrual</t>
        </is>
      </c>
      <c r="E3" s="5" t="n">
        <v>310</v>
      </c>
      <c r="F3" s="4" t="n">
        <v>1</v>
      </c>
    </row>
    <row r="4" ht="15" customHeight="1">
      <c r="A4" s="3" t="n">
        <v>44620</v>
      </c>
      <c r="B4" s="3" t="n">
        <v>44620</v>
      </c>
      <c r="C4" s="4" t="inlineStr">
        <is>
          <t>LOAN1</t>
        </is>
      </c>
      <c r="D4" s="14" t="inlineStr">
        <is>
          <t>Payment_UPB</t>
        </is>
      </c>
      <c r="E4" s="5" t="n">
        <v>-5000</v>
      </c>
      <c r="F4" s="4" t="n">
        <v>1</v>
      </c>
    </row>
    <row r="5" ht="15" customHeight="1">
      <c r="A5" s="3" t="n">
        <v>44620</v>
      </c>
      <c r="B5" s="3" t="n">
        <v>44620</v>
      </c>
      <c r="C5" s="4" t="inlineStr">
        <is>
          <t>LOAN2</t>
        </is>
      </c>
      <c r="D5" s="14" t="inlineStr">
        <is>
          <t>Payment_UPB</t>
        </is>
      </c>
      <c r="E5" s="5" t="n">
        <v>-10000</v>
      </c>
      <c r="F5" s="4" t="n">
        <v>1</v>
      </c>
    </row>
    <row r="6">
      <c r="A6" s="3" t="n">
        <v>44620</v>
      </c>
      <c r="B6" s="3" t="n">
        <v>44620</v>
      </c>
      <c r="C6" s="4" t="inlineStr">
        <is>
          <t>LOAN1</t>
        </is>
      </c>
      <c r="D6" s="14" t="inlineStr">
        <is>
          <t>Payment_Interest</t>
        </is>
      </c>
      <c r="E6" s="5" t="n">
        <v>-500</v>
      </c>
      <c r="F6" s="4" t="n">
        <v>1</v>
      </c>
    </row>
    <row r="7">
      <c r="A7" s="3" t="n">
        <v>44620</v>
      </c>
      <c r="B7" s="3" t="n">
        <v>44620</v>
      </c>
      <c r="C7" s="4" t="inlineStr">
        <is>
          <t>LOAN2</t>
        </is>
      </c>
      <c r="D7" s="14" t="inlineStr">
        <is>
          <t>Payment_Interest</t>
        </is>
      </c>
      <c r="E7" s="5" t="n">
        <v>-800</v>
      </c>
      <c r="F7" s="4" t="n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F15"/>
  <sheetViews>
    <sheetView zoomScale="120" zoomScaleNormal="120" workbookViewId="0">
      <selection activeCell="B28" sqref="B28"/>
    </sheetView>
  </sheetViews>
  <sheetFormatPr baseColWidth="10" defaultColWidth="8.6640625" defaultRowHeight="15" customHeight="1"/>
  <cols>
    <col width="57.6640625" customWidth="1" min="1" max="1"/>
    <col width="27" customWidth="1" min="2" max="2"/>
    <col width="29" customWidth="1" min="3" max="3"/>
    <col width="34.6640625" customWidth="1" min="4" max="4"/>
  </cols>
  <sheetData>
    <row r="1" ht="15" customHeight="1">
      <c r="A1" s="6" t="inlineStr">
        <is>
          <t>System Generated</t>
        </is>
      </c>
    </row>
    <row r="2" ht="15" customHeight="1">
      <c r="A2" t="inlineStr">
        <is>
          <t>Helper Column</t>
        </is>
      </c>
      <c r="B2" s="6" t="inlineStr">
        <is>
          <t>ID</t>
        </is>
      </c>
      <c r="C2" s="6" t="inlineStr">
        <is>
          <t>AccountSubType</t>
        </is>
      </c>
      <c r="D2" s="6" t="inlineStr">
        <is>
          <t>Sign</t>
        </is>
      </c>
      <c r="E2" s="6" t="inlineStr">
        <is>
          <t>Rule</t>
        </is>
      </c>
      <c r="F2" s="6" t="inlineStr">
        <is>
          <t>Criteria</t>
        </is>
      </c>
    </row>
    <row r="3" ht="15" customHeight="1">
      <c r="A3">
        <f>CONCATENATE(C3,F3,E3)</f>
        <v/>
      </c>
      <c r="B3" t="n">
        <v>1</v>
      </c>
      <c r="C3" t="inlineStr">
        <is>
          <t>Revenue</t>
        </is>
      </c>
      <c r="D3" t="inlineStr">
        <is>
          <t>Positive</t>
        </is>
      </c>
      <c r="E3" t="inlineStr">
        <is>
          <t>Dr</t>
        </is>
      </c>
      <c r="F3" t="inlineStr">
        <is>
          <t>amount&gt;1</t>
        </is>
      </c>
    </row>
    <row r="4" ht="15" customHeight="1">
      <c r="A4">
        <f>CONCATENATE(C4,F4,E4)</f>
        <v/>
      </c>
      <c r="B4" t="n">
        <v>2</v>
      </c>
      <c r="C4" s="7" t="inlineStr">
        <is>
          <t>Revenue</t>
        </is>
      </c>
      <c r="D4" s="7" t="inlineStr">
        <is>
          <t>Positive</t>
        </is>
      </c>
      <c r="E4" s="7" t="inlineStr">
        <is>
          <t>Cr</t>
        </is>
      </c>
      <c r="F4" t="inlineStr">
        <is>
          <t>amount&gt;1</t>
        </is>
      </c>
    </row>
    <row r="5" ht="15" customHeight="1">
      <c r="A5">
        <f>CONCATENATE(C5,F5,E5)</f>
        <v/>
      </c>
      <c r="B5" t="n">
        <v>3</v>
      </c>
      <c r="C5" s="7" t="inlineStr">
        <is>
          <t>Revenue</t>
        </is>
      </c>
      <c r="D5" s="7" t="inlineStr">
        <is>
          <t>Negative</t>
        </is>
      </c>
      <c r="E5" s="7" t="inlineStr">
        <is>
          <t>Dr</t>
        </is>
      </c>
      <c r="F5" t="inlineStr">
        <is>
          <t>amount&lt;1</t>
        </is>
      </c>
    </row>
    <row r="6" ht="15" customHeight="1">
      <c r="A6">
        <f>CONCATENATE(C6,F6,E6)</f>
        <v/>
      </c>
      <c r="B6" t="n">
        <v>4</v>
      </c>
      <c r="C6" t="inlineStr">
        <is>
          <t>Revenue</t>
        </is>
      </c>
      <c r="D6" t="inlineStr">
        <is>
          <t>Negative</t>
        </is>
      </c>
      <c r="E6" t="inlineStr">
        <is>
          <t>Cr</t>
        </is>
      </c>
      <c r="F6" t="inlineStr">
        <is>
          <t>amount&lt;1</t>
        </is>
      </c>
    </row>
    <row r="7" ht="15" customHeight="1">
      <c r="A7">
        <f>CONCATENATE(C7,F7,E7)</f>
        <v/>
      </c>
      <c r="B7" t="n">
        <v>5</v>
      </c>
      <c r="C7" t="inlineStr">
        <is>
          <t>Deferred Revenue</t>
        </is>
      </c>
      <c r="D7" t="inlineStr">
        <is>
          <t>Positive</t>
        </is>
      </c>
      <c r="E7" t="inlineStr">
        <is>
          <t>Dr</t>
        </is>
      </c>
      <c r="F7" t="inlineStr">
        <is>
          <t>amount&gt;1</t>
        </is>
      </c>
    </row>
    <row r="8" ht="15" customHeight="1">
      <c r="A8">
        <f>CONCATENATE(C8,F8,E8)</f>
        <v/>
      </c>
      <c r="B8" t="n">
        <v>6</v>
      </c>
      <c r="C8" t="inlineStr">
        <is>
          <t>Deferred Revenue</t>
        </is>
      </c>
      <c r="D8" t="inlineStr">
        <is>
          <t>Positive</t>
        </is>
      </c>
      <c r="E8" t="inlineStr">
        <is>
          <t>Cr</t>
        </is>
      </c>
      <c r="F8" t="inlineStr">
        <is>
          <t>amount&gt;1</t>
        </is>
      </c>
    </row>
    <row r="9" ht="15" customHeight="1">
      <c r="A9">
        <f>CONCATENATE(C9,F9,E9)</f>
        <v/>
      </c>
      <c r="B9" t="n">
        <v>7</v>
      </c>
      <c r="C9" t="inlineStr">
        <is>
          <t>Deferred Revenue</t>
        </is>
      </c>
      <c r="D9" t="inlineStr">
        <is>
          <t>Negative</t>
        </is>
      </c>
      <c r="E9" t="inlineStr">
        <is>
          <t>Dr</t>
        </is>
      </c>
      <c r="F9" t="inlineStr">
        <is>
          <t>amount&lt;1</t>
        </is>
      </c>
    </row>
    <row r="10" ht="15" customHeight="1">
      <c r="A10">
        <f>CONCATENATE(C10,F10,E10)</f>
        <v/>
      </c>
      <c r="B10" t="n">
        <v>8</v>
      </c>
      <c r="C10" t="inlineStr">
        <is>
          <t>Deferred Revenue</t>
        </is>
      </c>
      <c r="D10" t="inlineStr">
        <is>
          <t>Negative</t>
        </is>
      </c>
      <c r="E10" t="inlineStr">
        <is>
          <t>Cr</t>
        </is>
      </c>
      <c r="F10" t="inlineStr">
        <is>
          <t>amount&lt;1</t>
        </is>
      </c>
    </row>
    <row r="11" ht="15" customHeight="1">
      <c r="A11">
        <f>CONCATENATE(C11,F11,E11)</f>
        <v/>
      </c>
      <c r="B11" t="n">
        <v>9</v>
      </c>
      <c r="C11" t="inlineStr">
        <is>
          <t>A/R</t>
        </is>
      </c>
      <c r="D11" t="inlineStr">
        <is>
          <t>Positive</t>
        </is>
      </c>
      <c r="E11" t="inlineStr">
        <is>
          <t>Dr</t>
        </is>
      </c>
      <c r="F11" t="inlineStr">
        <is>
          <t>amount&gt;1</t>
        </is>
      </c>
    </row>
    <row r="12" ht="15" customHeight="1">
      <c r="A12">
        <f>CONCATENATE(C12,F12,E12)</f>
        <v/>
      </c>
      <c r="B12" t="n">
        <v>10</v>
      </c>
      <c r="C12" t="inlineStr">
        <is>
          <t>A/R</t>
        </is>
      </c>
      <c r="D12" t="inlineStr">
        <is>
          <t>Positive</t>
        </is>
      </c>
      <c r="E12" t="inlineStr">
        <is>
          <t>Cr</t>
        </is>
      </c>
      <c r="F12" t="inlineStr">
        <is>
          <t>amount&gt;1</t>
        </is>
      </c>
    </row>
    <row r="13" ht="15" customHeight="1">
      <c r="A13">
        <f>CONCATENATE(C13,F13,E13)</f>
        <v/>
      </c>
      <c r="B13" t="n">
        <v>11</v>
      </c>
      <c r="C13" t="inlineStr">
        <is>
          <t>A/R</t>
        </is>
      </c>
      <c r="D13" t="inlineStr">
        <is>
          <t>Negative</t>
        </is>
      </c>
      <c r="E13" t="inlineStr">
        <is>
          <t>Dr</t>
        </is>
      </c>
      <c r="F13" t="inlineStr">
        <is>
          <t>amount&lt;1</t>
        </is>
      </c>
    </row>
    <row r="14" ht="15" customHeight="1">
      <c r="A14">
        <f>CONCATENATE(C14,F14,E14)</f>
        <v/>
      </c>
      <c r="B14" t="n">
        <v>12</v>
      </c>
      <c r="C14" t="inlineStr">
        <is>
          <t>A/R</t>
        </is>
      </c>
      <c r="D14" t="inlineStr">
        <is>
          <t>Negative</t>
        </is>
      </c>
      <c r="E14" t="inlineStr">
        <is>
          <t>Cr</t>
        </is>
      </c>
      <c r="F14" t="inlineStr">
        <is>
          <t>amount&lt;1</t>
        </is>
      </c>
    </row>
    <row r="15" ht="15" customHeight="1">
      <c r="A15">
        <f>CONCATENATE(C15,D15,E15)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Rafay Ahmed</dc:creator>
  <dc:language xmlns:dc="http://purl.org/dc/elements/1.1/">en-US</dc:language>
  <dcterms:created xmlns:dcterms="http://purl.org/dc/terms/" xmlns:xsi="http://www.w3.org/2001/XMLSchema-instance" xsi:type="dcterms:W3CDTF">2024-02-24T05:30:44Z</dcterms:created>
  <dcterms:modified xmlns:dcterms="http://purl.org/dc/terms/" xmlns:xsi="http://www.w3.org/2001/XMLSchema-instance" xsi:type="dcterms:W3CDTF">2026-09-17T17:24:12Z</dcterms:modified>
  <cp:lastModifiedBy>Ali Jaffar</cp:lastModifiedBy>
  <cp:revision>25</cp:revision>
</cp:coreProperties>
</file>