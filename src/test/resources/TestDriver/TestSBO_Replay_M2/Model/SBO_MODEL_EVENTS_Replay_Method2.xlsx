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2\Model\"/>
    </mc:Choice>
  </mc:AlternateContent>
  <xr:revisionPtr revIDLastSave="0" documentId="13_ncr:1_{4EF98AE0-4410-43A0-B98D-F245F9485F02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Scenario" sheetId="30" r:id="rId1"/>
    <sheet name="TRANX" sheetId="27" r:id="rId2"/>
    <sheet name="EOD" sheetId="28" r:id="rId3"/>
    <sheet name="REPLAY" sheetId="33" r:id="rId4"/>
    <sheet name="Sample Data" sheetId="31" r:id="rId5"/>
    <sheet name="EXPECTED" sheetId="35" r:id="rId6"/>
    <sheet name="CALCULATION" sheetId="29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1" i="29" l="1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C16" i="32"/>
  <c r="K15" i="32"/>
  <c r="AB16" i="32" l="1"/>
  <c r="F16" i="32"/>
  <c r="J16" i="32" l="1"/>
  <c r="B27" i="29" l="1"/>
  <c r="B4" i="29"/>
  <c r="B5" i="29" s="1"/>
  <c r="E45" i="30" l="1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1" i="29"/>
  <c r="B3" i="29"/>
  <c r="D27" i="29"/>
  <c r="C27" i="29"/>
  <c r="B6" i="29" s="1"/>
  <c r="B10" i="29" s="1"/>
  <c r="B2" i="29"/>
  <c r="E10" i="29" l="1"/>
  <c r="B11" i="29"/>
  <c r="H10" i="29"/>
  <c r="A2" i="7"/>
  <c r="D41" i="29"/>
  <c r="H6" i="30"/>
  <c r="E5" i="30"/>
  <c r="I5" i="30" s="1"/>
  <c r="F2" i="7"/>
  <c r="C41" i="29"/>
  <c r="C2" i="7" s="1"/>
  <c r="B41" i="29"/>
  <c r="B2" i="7" s="1"/>
  <c r="E27" i="29"/>
  <c r="H11" i="29" l="1"/>
  <c r="C10" i="29"/>
  <c r="D10" i="29" s="1"/>
  <c r="B12" i="29"/>
  <c r="C11" i="29" s="1"/>
  <c r="D11" i="29" s="1"/>
  <c r="H7" i="30"/>
  <c r="E6" i="30"/>
  <c r="I6" i="30" s="1"/>
  <c r="I7" i="30" s="1"/>
  <c r="I8" i="30" s="1"/>
  <c r="I9" i="30" s="1"/>
  <c r="H12" i="29" l="1"/>
  <c r="B13" i="29"/>
  <c r="H8" i="30"/>
  <c r="H9" i="30"/>
  <c r="H10" i="30" s="1"/>
  <c r="C12" i="29" l="1"/>
  <c r="D12" i="29" s="1"/>
  <c r="H13" i="29"/>
  <c r="B14" i="29"/>
  <c r="C13" i="29" s="1"/>
  <c r="H11" i="30"/>
  <c r="H12" i="30" s="1"/>
  <c r="E10" i="30"/>
  <c r="E11" i="30"/>
  <c r="E27" i="30" s="1"/>
  <c r="D13" i="29" l="1"/>
  <c r="H14" i="29"/>
  <c r="C14" i="29"/>
  <c r="D14" i="29"/>
  <c r="B15" i="29"/>
  <c r="E14" i="29"/>
  <c r="I10" i="30"/>
  <c r="I11" i="30" s="1"/>
  <c r="I12" i="30" s="1"/>
  <c r="E22" i="30"/>
  <c r="H15" i="29" l="1"/>
  <c r="D15" i="29"/>
  <c r="C15" i="29"/>
  <c r="B16" i="29"/>
  <c r="E15" i="29"/>
  <c r="E13" i="30"/>
  <c r="I13" i="30"/>
  <c r="E14" i="30"/>
  <c r="E31" i="30" s="1"/>
  <c r="H16" i="29" l="1"/>
  <c r="C16" i="29"/>
  <c r="D16" i="29"/>
  <c r="B17" i="29"/>
  <c r="E16" i="29"/>
  <c r="I14" i="30"/>
  <c r="E30" i="30"/>
  <c r="H13" i="30"/>
  <c r="H14" i="30" s="1"/>
  <c r="H15" i="30" s="1"/>
  <c r="H17" i="29" l="1"/>
  <c r="D17" i="29"/>
  <c r="C17" i="29"/>
  <c r="B18" i="29"/>
  <c r="E17" i="29"/>
  <c r="H16" i="30"/>
  <c r="E15" i="30"/>
  <c r="H18" i="29" l="1"/>
  <c r="D18" i="29"/>
  <c r="C18" i="29"/>
  <c r="B19" i="29"/>
  <c r="E18" i="29"/>
  <c r="I15" i="30"/>
  <c r="I16" i="30" s="1"/>
  <c r="E28" i="30"/>
  <c r="H19" i="29" l="1"/>
  <c r="D19" i="29"/>
  <c r="C19" i="29"/>
  <c r="B20" i="29"/>
  <c r="E19" i="29"/>
  <c r="E18" i="30"/>
  <c r="E17" i="30"/>
  <c r="I17" i="30"/>
  <c r="H20" i="29" l="1"/>
  <c r="D20" i="29"/>
  <c r="C20" i="29"/>
  <c r="B21" i="29"/>
  <c r="E20" i="29"/>
  <c r="E34" i="30"/>
  <c r="H17" i="30"/>
  <c r="H18" i="30" s="1"/>
  <c r="H19" i="30" s="1"/>
  <c r="E35" i="30"/>
  <c r="I18" i="30"/>
  <c r="C21" i="29" l="1"/>
  <c r="D21" i="29"/>
  <c r="D22" i="29" s="1"/>
  <c r="B7" i="29" s="1"/>
  <c r="F10" i="29" s="1"/>
  <c r="E21" i="29"/>
  <c r="H21" i="29"/>
  <c r="H20" i="30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G11" i="29" l="1"/>
  <c r="G12" i="29" l="1"/>
  <c r="G13" i="29" l="1"/>
  <c r="M14" i="29"/>
  <c r="L14" i="29"/>
  <c r="K14" i="29"/>
  <c r="I14" i="29"/>
  <c r="N14" i="29" s="1"/>
  <c r="F14" i="29"/>
  <c r="J14" i="29"/>
  <c r="G14" i="29"/>
  <c r="G15" i="29" l="1"/>
  <c r="F15" i="29"/>
  <c r="I15" i="29" s="1"/>
  <c r="N15" i="29" s="1"/>
  <c r="J15" i="29" l="1"/>
  <c r="K15" i="29"/>
  <c r="L15" i="29" s="1"/>
  <c r="M15" i="29" s="1"/>
  <c r="F16" i="29" s="1"/>
  <c r="G16" i="29"/>
  <c r="O17" i="29"/>
  <c r="I16" i="29" l="1"/>
  <c r="M17" i="29"/>
  <c r="L17" i="29"/>
  <c r="K17" i="29"/>
  <c r="I17" i="29"/>
  <c r="N17" i="29" s="1"/>
  <c r="G17" i="29"/>
  <c r="O18" i="29"/>
  <c r="F17" i="29"/>
  <c r="J17" i="29"/>
  <c r="J16" i="29" l="1"/>
  <c r="K16" i="29" s="1"/>
  <c r="L16" i="29" s="1"/>
  <c r="N16" i="29"/>
  <c r="M16" i="29"/>
  <c r="M18" i="29"/>
  <c r="L18" i="29"/>
  <c r="K18" i="29"/>
  <c r="G18" i="29"/>
  <c r="F18" i="29"/>
  <c r="O19" i="29"/>
  <c r="I18" i="29"/>
  <c r="N18" i="29" s="1"/>
  <c r="J18" i="29"/>
  <c r="M19" i="29" l="1"/>
  <c r="L19" i="29"/>
  <c r="K19" i="29"/>
  <c r="O20" i="29"/>
  <c r="G19" i="29"/>
  <c r="J19" i="29"/>
  <c r="I19" i="29"/>
  <c r="N19" i="29" s="1"/>
  <c r="F19" i="29"/>
  <c r="M20" i="29" l="1"/>
  <c r="L20" i="29"/>
  <c r="K20" i="29"/>
  <c r="I20" i="29"/>
  <c r="N20" i="29" s="1"/>
  <c r="J20" i="29"/>
  <c r="F20" i="29"/>
  <c r="G20" i="29"/>
  <c r="O21" i="29"/>
  <c r="M21" i="29" l="1"/>
  <c r="L21" i="29"/>
  <c r="K21" i="29"/>
  <c r="F21" i="29"/>
  <c r="J21" i="29"/>
  <c r="I21" i="29"/>
  <c r="N21" i="29" s="1"/>
  <c r="G21" i="29"/>
  <c r="G10" i="29"/>
  <c r="I10" i="29" l="1"/>
  <c r="N10" i="29" s="1"/>
  <c r="J10" i="29" l="1"/>
  <c r="K10" i="29" s="1"/>
  <c r="E11" i="29" s="1"/>
  <c r="L10" i="29" l="1"/>
  <c r="M10" i="29" s="1"/>
  <c r="F11" i="29" l="1"/>
  <c r="I11" i="29" l="1"/>
  <c r="J11" i="29" l="1"/>
  <c r="K11" i="29" s="1"/>
  <c r="N11" i="29"/>
  <c r="L11" i="29" l="1"/>
  <c r="M11" i="29" s="1"/>
  <c r="F12" i="29" s="1"/>
  <c r="I12" i="29" s="1"/>
  <c r="E12" i="29"/>
  <c r="J12" i="29" l="1"/>
  <c r="K12" i="29" s="1"/>
  <c r="N12" i="29"/>
  <c r="L12" i="29" l="1"/>
  <c r="M12" i="29" s="1"/>
  <c r="F13" i="29" s="1"/>
  <c r="E13" i="29"/>
  <c r="P19" i="29" l="1"/>
  <c r="P17" i="29"/>
  <c r="P20" i="29"/>
  <c r="P18" i="29"/>
  <c r="P21" i="29"/>
  <c r="I13" i="29"/>
  <c r="N13" i="29" s="1"/>
  <c r="I22" i="29" l="1"/>
  <c r="J13" i="29"/>
  <c r="K13" i="29" s="1"/>
  <c r="L13" i="29" s="1"/>
  <c r="M13" i="29" s="1"/>
  <c r="M22" i="29" s="1"/>
  <c r="K22" i="29" l="1"/>
  <c r="J22" i="29"/>
  <c r="B32" i="29"/>
  <c r="A43" i="29" s="1"/>
  <c r="G27" i="29"/>
  <c r="E43" i="29" l="1"/>
  <c r="E4" i="7" s="1"/>
  <c r="F43" i="29"/>
  <c r="F4" i="7" s="1"/>
  <c r="H27" i="29"/>
  <c r="I27" i="29" s="1"/>
  <c r="J27" i="29" s="1"/>
  <c r="B36" i="29"/>
  <c r="A44" i="29" s="1"/>
  <c r="B43" i="29"/>
  <c r="B4" i="7" s="1"/>
  <c r="C43" i="29"/>
  <c r="C4" i="7" s="1"/>
  <c r="A4" i="7"/>
  <c r="D43" i="29"/>
  <c r="D4" i="7" s="1"/>
  <c r="E44" i="29" l="1"/>
  <c r="E5" i="7" s="1"/>
  <c r="F44" i="29"/>
  <c r="B37" i="29"/>
  <c r="A45" i="29" s="1"/>
  <c r="F5" i="7"/>
  <c r="B44" i="29"/>
  <c r="B5" i="7" s="1"/>
  <c r="D44" i="29"/>
  <c r="D5" i="7" s="1"/>
  <c r="C44" i="29"/>
  <c r="C5" i="7" s="1"/>
  <c r="A5" i="7"/>
  <c r="K27" i="29"/>
  <c r="B31" i="29" s="1"/>
  <c r="B30" i="29"/>
  <c r="E41" i="29" s="1"/>
  <c r="E45" i="29" l="1"/>
  <c r="E6" i="7" s="1"/>
  <c r="F45" i="29"/>
  <c r="F6" i="7" s="1"/>
  <c r="A42" i="29"/>
  <c r="F42" i="29" s="1"/>
  <c r="B45" i="29"/>
  <c r="B6" i="7" s="1"/>
  <c r="D45" i="29"/>
  <c r="D6" i="7" s="1"/>
  <c r="A6" i="7"/>
  <c r="C45" i="29"/>
  <c r="C6" i="7" s="1"/>
  <c r="D2" i="7" l="1"/>
  <c r="E2" i="7"/>
  <c r="E42" i="29"/>
  <c r="E3" i="7" s="1"/>
  <c r="F3" i="7"/>
  <c r="C42" i="29"/>
  <c r="C3" i="7" s="1"/>
  <c r="A3" i="7"/>
  <c r="D42" i="29"/>
  <c r="D3" i="7" s="1"/>
  <c r="B42" i="29"/>
  <c r="B3" i="7" s="1"/>
</calcChain>
</file>

<file path=xl/sharedStrings.xml><?xml version="1.0" encoding="utf-8"?>
<sst xmlns="http://schemas.openxmlformats.org/spreadsheetml/2006/main" count="671" uniqueCount="110">
  <si>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</si>
  <si>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</si>
  <si>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</si>
  <si>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</si>
  <si>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</si>
  <si>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</si>
  <si>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</si>
  <si>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</si>
  <si>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</si>
  <si>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</si>
  <si>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</si>
  <si>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</si>
  <si>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</si>
  <si>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</si>
  <si>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</si>
  <si>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</si>
  <si>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</si>
  <si>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</si>
  <si>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</si>
  <si>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</si>
  <si>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</si>
  <si>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</si>
  <si>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</si>
  <si>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</si>
  <si>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</si>
  <si>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</si>
  <si>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</si>
  <si>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</si>
  <si>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</si>
  <si>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</si>
  <si>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</si>
  <si>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</si>
  <si>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</si>
  <si>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</si>
  <si>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</si>
  <si>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</si>
  <si>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</si>
  <si>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</si>
  <si>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</si>
  <si>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</si>
  <si>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</si>
  <si>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</si>
  <si>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</si>
  <si>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</si>
  <si>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</si>
  <si>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</si>
  <si>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</si>
  <si>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</si>
  <si>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</si>
  <si>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</si>
  <si>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</si>
  <si>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</si>
  <si>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</si>
  <si>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</si>
  <si>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</si>
  <si>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</si>
  <si>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</si>
  <si>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</si>
  <si>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</si>
  <si>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</si>
  <si>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</si>
  <si>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</si>
  <si>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</si>
  <si>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</si>
  <si>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</si>
  <si>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</si>
  <si>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</si>
  <si>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</si>
  <si>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</si>
  <si>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</si>
  <si>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</si>
  <si>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</si>
  <si>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</si>
  <si>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</si>
  <si>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</si>
  <si>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</si>
  <si>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Attribute</t>
  </si>
  <si>
    <t>NoteRate</t>
  </si>
  <si>
    <t>Current</t>
  </si>
  <si>
    <t>Trigger Source</t>
  </si>
  <si>
    <t>ON TRANSACTION POST</t>
  </si>
  <si>
    <t>ON REPLAY</t>
  </si>
  <si>
    <t>BALANCES.BEGINNINGBALANCE.Servicing_Interest_Accrual</t>
  </si>
  <si>
    <t>Beg Interest Calc</t>
  </si>
  <si>
    <t>Beginning UPB Calc Replay</t>
  </si>
  <si>
    <t>Beginning AIR Calc Replay</t>
  </si>
  <si>
    <t>UPB,AIR,ACCRUAL</t>
  </si>
  <si>
    <t>Remit, Payment-UPB,Servicing-Accrued-Interest</t>
  </si>
  <si>
    <t>DAY1</t>
  </si>
  <si>
    <t>INTACC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</si>
  <si>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</si>
  <si>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</si>
  <si>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</si>
  <si>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</si>
  <si>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</si>
  <si>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</si>
  <si>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</si>
  <si>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</si>
  <si>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</si>
  <si>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TRANSACTIONS.AMOUNT.Payment_UPB</t>
  </si>
  <si>
    <t>TRANSACTIONS.AMOUNT.Servicing_Interest_Accrual</t>
  </si>
  <si>
    <t>TRANSACTIONS_AMOUNT_Payment_UPB</t>
  </si>
  <si>
    <t>TRANSACTIONS_AMOUNT_REMIT</t>
  </si>
  <si>
    <t>TRANSACTIONS_AMOUNT_Servicing_Interest_Accrual</t>
  </si>
  <si>
    <t>Helper Column</t>
  </si>
  <si>
    <t>ATTRIBUTE_INTEREST_RATE_CURRENT</t>
  </si>
  <si>
    <t>TransactionName</t>
  </si>
  <si>
    <t>BALANCES_BEGINNINGBALANCE_Unpaid_Principal_Balance</t>
  </si>
  <si>
    <t>BALANCES_BEGINNINGBALANCE_Accrued_Interest_Receivable</t>
  </si>
  <si>
    <t>BALANCES_BEGINNINGBALANCE_Servicing_Interest_Accrual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</si>
</sst>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_);[Red]\(0.00000\)"/>
    <numFmt numFmtId="170" formatCode="0.00000000"/>
    <numFmt numFmtId="171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10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166" fontId="0" fillId="0" borderId="2" xfId="0" applyNumberFormat="1" applyBorder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166" fontId="0" fillId="7" borderId="2" xfId="0" applyNumberFormat="1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6" fontId="0" fillId="2" borderId="2" xfId="0" applyNumberFormat="1" applyFill="1" applyBorder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9" fontId="0" fillId="0" borderId="2" xfId="0" applyNumberFormat="1" applyBorder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70" fontId="0" fillId="0" borderId="0" xfId="0" applyNumberFormat="1"/>
    <xf numFmtId="171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4" fillId="2" borderId="0" xfId="1" applyFont="1" applyFill="1"/>
    <xf numFmtId="2" fontId="0" fillId="0" borderId="2" xfId="0" applyNumberFormat="1" applyBorder="1" applyAlignment="1">
      <alignment horizontal="left"/>
    </xf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0" fontId="0" fillId="0" borderId="0" xfId="0"/>
    <xf numFmtId="165" fontId="0" fillId="0" borderId="2" xfId="0" applyNumberFormat="1" applyBorder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8" borderId="3" xfId="1" applyFont="1" applyFill="1" applyBorder="1"/>
    <xf numFmtId="0" fontId="1" fillId="0" borderId="1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13" sqref="E13:E17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10.28515625" style="11" customWidth="1"/>
    <col min="6" max="6" width="8.5703125" style="11" customWidth="1"/>
    <col min="7" max="7" width="8.7109375" style="11"/>
    <col min="8" max="8" width="10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7" t="s">
        <v>0</v>
      </c>
      <c r="B1" s="97"/>
      <c r="C1" s="97"/>
      <c r="D1" s="97"/>
      <c r="E1" s="97"/>
      <c r="F1" s="97"/>
      <c r="H1" s="97" t="s">
        <v>34</v>
      </c>
      <c r="I1" s="97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1">
        <v>100000</v>
      </c>
      <c r="F3" s="8" t="s">
        <v>45</v>
      </c>
      <c r="H3" s="52">
        <f>E3</f>
        <v>100000</v>
      </c>
      <c r="I3" s="52">
        <v>0</v>
      </c>
    </row>
    <row r="4" spans="1:18" hidden="1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1">
        <v>100</v>
      </c>
      <c r="F4" s="8" t="s">
        <v>45</v>
      </c>
      <c r="H4" s="52">
        <f>E3</f>
        <v>100000</v>
      </c>
      <c r="I4" s="52">
        <f>E4</f>
        <v>100</v>
      </c>
    </row>
    <row r="5" spans="1:18" hidden="1" x14ac:dyDescent="0.25">
      <c r="A5" s="1">
        <v>44593</v>
      </c>
      <c r="B5" s="1">
        <v>44593</v>
      </c>
      <c r="C5" s="8" t="s">
        <v>47</v>
      </c>
      <c r="D5" s="8" t="s">
        <v>46</v>
      </c>
      <c r="E5" s="56">
        <f>H5*$N$2</f>
        <v>27.777777777777779</v>
      </c>
      <c r="F5" s="8" t="s">
        <v>45</v>
      </c>
      <c r="G5" s="53"/>
      <c r="H5" s="52">
        <f>H4</f>
        <v>100000</v>
      </c>
      <c r="I5" s="52">
        <f>I4+E5</f>
        <v>127.77777777777777</v>
      </c>
    </row>
    <row r="6" spans="1:18" hidden="1" x14ac:dyDescent="0.25">
      <c r="A6" s="1">
        <v>44594</v>
      </c>
      <c r="B6" s="1">
        <v>44594</v>
      </c>
      <c r="C6" s="8" t="s">
        <v>47</v>
      </c>
      <c r="D6" s="8" t="s">
        <v>46</v>
      </c>
      <c r="E6" s="51">
        <f>H6*$N$2</f>
        <v>27.777777777777779</v>
      </c>
      <c r="F6" s="8" t="s">
        <v>45</v>
      </c>
      <c r="G6" s="53"/>
      <c r="H6" s="52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1">
        <v>80</v>
      </c>
      <c r="F7" s="8" t="s">
        <v>45</v>
      </c>
      <c r="G7" s="53"/>
      <c r="H7" s="52">
        <f>H6</f>
        <v>100000</v>
      </c>
      <c r="I7" s="54">
        <f>I6</f>
        <v>155.55555555555554</v>
      </c>
      <c r="N7" s="52"/>
    </row>
    <row r="8" spans="1:18" x14ac:dyDescent="0.25">
      <c r="A8" s="1">
        <v>44595</v>
      </c>
      <c r="B8" s="1">
        <v>44595</v>
      </c>
      <c r="C8" s="8" t="s">
        <v>49</v>
      </c>
      <c r="D8" s="8" t="s">
        <v>41</v>
      </c>
      <c r="E8" s="51">
        <v>0</v>
      </c>
      <c r="F8" s="8" t="s">
        <v>45</v>
      </c>
      <c r="H8" s="52">
        <f>H7+E8</f>
        <v>100000</v>
      </c>
      <c r="I8" s="52">
        <f>I7</f>
        <v>155.55555555555554</v>
      </c>
      <c r="J8" s="55"/>
    </row>
    <row r="9" spans="1:18" hidden="1" x14ac:dyDescent="0.25">
      <c r="A9" s="1">
        <v>44595</v>
      </c>
      <c r="B9" s="1">
        <v>44595</v>
      </c>
      <c r="C9" s="8" t="s">
        <v>49</v>
      </c>
      <c r="D9" s="8" t="s">
        <v>46</v>
      </c>
      <c r="E9" s="51">
        <f>-E7</f>
        <v>-80</v>
      </c>
      <c r="F9" s="8" t="s">
        <v>45</v>
      </c>
      <c r="G9" s="53"/>
      <c r="H9" s="52">
        <f>H7+E8</f>
        <v>100000</v>
      </c>
      <c r="I9" s="52">
        <f>I8+E9</f>
        <v>75.555555555555543</v>
      </c>
    </row>
    <row r="10" spans="1:18" hidden="1" x14ac:dyDescent="0.25">
      <c r="A10" s="1">
        <v>44595</v>
      </c>
      <c r="B10" s="1">
        <v>44595</v>
      </c>
      <c r="C10" s="8" t="s">
        <v>47</v>
      </c>
      <c r="D10" s="8" t="s">
        <v>46</v>
      </c>
      <c r="E10" s="70">
        <f>H10*$N$2</f>
        <v>27.777777777777779</v>
      </c>
      <c r="F10" s="8" t="s">
        <v>45</v>
      </c>
      <c r="G10" s="53"/>
      <c r="H10" s="52">
        <f>H9</f>
        <v>100000</v>
      </c>
      <c r="I10" s="52">
        <f>E10+I9</f>
        <v>103.33333333333331</v>
      </c>
    </row>
    <row r="11" spans="1:18" hidden="1" x14ac:dyDescent="0.25">
      <c r="A11" s="1">
        <v>44596</v>
      </c>
      <c r="B11" s="1">
        <v>44596</v>
      </c>
      <c r="C11" s="8" t="s">
        <v>47</v>
      </c>
      <c r="D11" s="8" t="s">
        <v>46</v>
      </c>
      <c r="E11" s="56">
        <f>ROUND(H10*N2,4)</f>
        <v>27.777799999999999</v>
      </c>
      <c r="F11" s="8" t="s">
        <v>45</v>
      </c>
      <c r="G11" s="53"/>
      <c r="H11" s="52">
        <f>H10</f>
        <v>100000</v>
      </c>
      <c r="I11" s="52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1">
        <v>275</v>
      </c>
      <c r="F12" s="8" t="s">
        <v>45</v>
      </c>
      <c r="G12" s="53"/>
      <c r="H12" s="52">
        <f>H11</f>
        <v>100000</v>
      </c>
      <c r="I12" s="52">
        <f>I11</f>
        <v>131.11113333333333</v>
      </c>
    </row>
    <row r="13" spans="1:18" x14ac:dyDescent="0.25">
      <c r="A13" s="1">
        <v>44597</v>
      </c>
      <c r="B13" s="1">
        <v>44597</v>
      </c>
      <c r="C13" s="8" t="s">
        <v>49</v>
      </c>
      <c r="D13" s="8" t="s">
        <v>41</v>
      </c>
      <c r="E13" s="56">
        <f>-(E12-I12)</f>
        <v>-143.88886666666667</v>
      </c>
      <c r="F13" s="8" t="s">
        <v>45</v>
      </c>
      <c r="H13" s="52">
        <f>H12+E13</f>
        <v>99856.111133333339</v>
      </c>
      <c r="I13" s="52">
        <f>I12</f>
        <v>131.11113333333333</v>
      </c>
      <c r="J13" s="55"/>
    </row>
    <row r="14" spans="1:18" hidden="1" x14ac:dyDescent="0.25">
      <c r="A14" s="1">
        <v>44597</v>
      </c>
      <c r="B14" s="1">
        <v>44597</v>
      </c>
      <c r="C14" s="8" t="s">
        <v>49</v>
      </c>
      <c r="D14" s="8" t="s">
        <v>46</v>
      </c>
      <c r="E14" s="56">
        <f>-I12</f>
        <v>-131.11113333333333</v>
      </c>
      <c r="F14" s="8" t="s">
        <v>45</v>
      </c>
      <c r="H14" s="52">
        <f>H13</f>
        <v>99856.111133333339</v>
      </c>
      <c r="I14" s="52">
        <f>I13+E14</f>
        <v>0</v>
      </c>
    </row>
    <row r="15" spans="1:18" hidden="1" x14ac:dyDescent="0.25">
      <c r="A15" s="1">
        <v>44597</v>
      </c>
      <c r="B15" s="1">
        <v>44597</v>
      </c>
      <c r="C15" s="8" t="s">
        <v>47</v>
      </c>
      <c r="D15" s="8" t="s">
        <v>46</v>
      </c>
      <c r="E15" s="51">
        <f>H15*$N$2</f>
        <v>27.73780864814815</v>
      </c>
      <c r="F15" s="8" t="s">
        <v>45</v>
      </c>
      <c r="H15" s="52">
        <f>H14</f>
        <v>99856.111133333339</v>
      </c>
      <c r="I15" s="52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1">
        <v>350</v>
      </c>
      <c r="F16" s="8" t="s">
        <v>45</v>
      </c>
      <c r="G16" s="53"/>
      <c r="H16" s="52">
        <f>H15</f>
        <v>99856.111133333339</v>
      </c>
      <c r="I16" s="52">
        <f>I15</f>
        <v>27.73780864814815</v>
      </c>
    </row>
    <row r="17" spans="1:12" x14ac:dyDescent="0.25">
      <c r="A17" s="1">
        <v>44598</v>
      </c>
      <c r="B17" s="1">
        <v>44598</v>
      </c>
      <c r="C17" s="8" t="s">
        <v>49</v>
      </c>
      <c r="D17" s="8" t="s">
        <v>41</v>
      </c>
      <c r="E17" s="51">
        <f>-(E16-I16)</f>
        <v>-322.26219135185187</v>
      </c>
      <c r="F17" s="8" t="s">
        <v>45</v>
      </c>
      <c r="H17" s="52">
        <f>H16+E17</f>
        <v>99533.848941981487</v>
      </c>
      <c r="I17" s="52">
        <f>I16</f>
        <v>27.73780864814815</v>
      </c>
      <c r="J17" s="55"/>
      <c r="K17" s="55"/>
      <c r="L17" s="52"/>
    </row>
    <row r="18" spans="1:12" hidden="1" x14ac:dyDescent="0.25">
      <c r="A18" s="1">
        <v>44598</v>
      </c>
      <c r="B18" s="1">
        <v>44598</v>
      </c>
      <c r="C18" s="8" t="s">
        <v>49</v>
      </c>
      <c r="D18" s="8" t="s">
        <v>46</v>
      </c>
      <c r="E18" s="51">
        <f>-I16</f>
        <v>-27.73780864814815</v>
      </c>
      <c r="F18" s="8" t="s">
        <v>45</v>
      </c>
      <c r="H18" s="52">
        <f>H17</f>
        <v>99533.848941981487</v>
      </c>
      <c r="I18" s="52">
        <f>E18+I17</f>
        <v>0</v>
      </c>
    </row>
    <row r="19" spans="1:12" hidden="1" x14ac:dyDescent="0.25">
      <c r="A19" s="1">
        <v>44598</v>
      </c>
      <c r="B19" s="1">
        <v>44598</v>
      </c>
      <c r="C19" s="8" t="s">
        <v>47</v>
      </c>
      <c r="D19" s="8" t="s">
        <v>46</v>
      </c>
      <c r="E19" s="51">
        <f>H19*$N$2</f>
        <v>27.648291372772636</v>
      </c>
      <c r="F19" s="8" t="s">
        <v>45</v>
      </c>
      <c r="H19" s="52">
        <f>H18</f>
        <v>99533.848941981487</v>
      </c>
      <c r="I19" s="52">
        <f>E19</f>
        <v>27.648291372772636</v>
      </c>
    </row>
    <row r="20" spans="1:12" hidden="1" x14ac:dyDescent="0.25">
      <c r="A20" s="1">
        <v>44599</v>
      </c>
      <c r="B20" s="1">
        <v>44599</v>
      </c>
      <c r="C20" s="8" t="s">
        <v>47</v>
      </c>
      <c r="D20" s="8" t="s">
        <v>46</v>
      </c>
      <c r="E20" s="51">
        <f>ROUND(H19*N2,4)</f>
        <v>27.648299999999999</v>
      </c>
      <c r="F20" s="8" t="s">
        <v>45</v>
      </c>
      <c r="G20" s="53"/>
      <c r="H20" s="52">
        <f>H19</f>
        <v>99533.848941981487</v>
      </c>
      <c r="I20" s="52">
        <f>I19+E20</f>
        <v>55.296591372772639</v>
      </c>
    </row>
    <row r="21" spans="1:12" hidden="1" x14ac:dyDescent="0.25">
      <c r="A21" s="1">
        <v>44600</v>
      </c>
      <c r="B21" s="1">
        <v>44600</v>
      </c>
      <c r="C21" s="8" t="s">
        <v>47</v>
      </c>
      <c r="D21" s="8" t="s">
        <v>46</v>
      </c>
      <c r="E21" s="51">
        <f>E20</f>
        <v>27.648299999999999</v>
      </c>
      <c r="F21" s="8" t="s">
        <v>45</v>
      </c>
      <c r="G21" s="53"/>
      <c r="H21" s="57">
        <f>H20</f>
        <v>99533.848941981487</v>
      </c>
      <c r="I21" s="52">
        <f>I20+E21</f>
        <v>82.944891372772645</v>
      </c>
    </row>
    <row r="22" spans="1:12" hidden="1" x14ac:dyDescent="0.25">
      <c r="A22" s="58">
        <v>44601</v>
      </c>
      <c r="B22" s="58">
        <v>44595</v>
      </c>
      <c r="C22" s="59" t="s">
        <v>47</v>
      </c>
      <c r="D22" s="59" t="s">
        <v>46</v>
      </c>
      <c r="E22" s="60">
        <f>-E10</f>
        <v>-27.777777777777779</v>
      </c>
      <c r="F22" s="59" t="s">
        <v>50</v>
      </c>
      <c r="H22" s="52"/>
      <c r="I22" s="52"/>
    </row>
    <row r="23" spans="1:12" hidden="1" x14ac:dyDescent="0.25">
      <c r="A23" s="58">
        <v>44601</v>
      </c>
      <c r="B23" s="58">
        <v>44595</v>
      </c>
      <c r="C23" s="59" t="s">
        <v>48</v>
      </c>
      <c r="D23" s="59"/>
      <c r="E23" s="60">
        <f>-E7</f>
        <v>-80</v>
      </c>
      <c r="F23" s="59" t="s">
        <v>50</v>
      </c>
      <c r="H23" s="52"/>
      <c r="I23" s="52"/>
      <c r="L23" s="52"/>
    </row>
    <row r="24" spans="1:12" hidden="1" x14ac:dyDescent="0.25">
      <c r="A24" s="58">
        <v>44601</v>
      </c>
      <c r="B24" s="58">
        <v>44595</v>
      </c>
      <c r="C24" s="59" t="s">
        <v>51</v>
      </c>
      <c r="D24" s="59"/>
      <c r="E24" s="60">
        <v>30</v>
      </c>
      <c r="F24" s="61" t="s">
        <v>45</v>
      </c>
      <c r="H24" s="52"/>
      <c r="I24" s="52"/>
    </row>
    <row r="25" spans="1:12" x14ac:dyDescent="0.25">
      <c r="A25" s="58">
        <v>44601</v>
      </c>
      <c r="B25" s="58">
        <v>44595</v>
      </c>
      <c r="C25" s="59" t="s">
        <v>49</v>
      </c>
      <c r="D25" s="59" t="s">
        <v>41</v>
      </c>
      <c r="E25" s="60">
        <f>-E8</f>
        <v>0</v>
      </c>
      <c r="F25" s="59" t="s">
        <v>50</v>
      </c>
      <c r="H25" s="52"/>
      <c r="I25" s="52"/>
    </row>
    <row r="26" spans="1:12" hidden="1" x14ac:dyDescent="0.25">
      <c r="A26" s="58">
        <v>44601</v>
      </c>
      <c r="B26" s="58">
        <v>44595</v>
      </c>
      <c r="C26" s="59" t="s">
        <v>49</v>
      </c>
      <c r="D26" s="59" t="s">
        <v>46</v>
      </c>
      <c r="E26" s="60">
        <f>-E9</f>
        <v>80</v>
      </c>
      <c r="F26" s="59" t="s">
        <v>50</v>
      </c>
      <c r="H26" s="52"/>
      <c r="I26" s="52"/>
    </row>
    <row r="27" spans="1:12" hidden="1" x14ac:dyDescent="0.25">
      <c r="A27" s="58">
        <v>44601</v>
      </c>
      <c r="B27" s="58">
        <v>44596</v>
      </c>
      <c r="C27" s="59" t="s">
        <v>47</v>
      </c>
      <c r="D27" s="59" t="s">
        <v>46</v>
      </c>
      <c r="E27" s="60">
        <f>-E11</f>
        <v>-27.777799999999999</v>
      </c>
      <c r="F27" s="59" t="s">
        <v>50</v>
      </c>
      <c r="H27" s="52"/>
      <c r="I27" s="52"/>
    </row>
    <row r="28" spans="1:12" hidden="1" x14ac:dyDescent="0.25">
      <c r="A28" s="58">
        <v>44601</v>
      </c>
      <c r="B28" s="58">
        <v>44597</v>
      </c>
      <c r="C28" s="59" t="s">
        <v>47</v>
      </c>
      <c r="D28" s="59" t="s">
        <v>46</v>
      </c>
      <c r="E28" s="60">
        <f>-E15</f>
        <v>-27.73780864814815</v>
      </c>
      <c r="F28" s="59" t="s">
        <v>50</v>
      </c>
      <c r="H28" s="52"/>
      <c r="I28" s="52"/>
    </row>
    <row r="29" spans="1:12" hidden="1" x14ac:dyDescent="0.25">
      <c r="A29" s="58">
        <f>A28</f>
        <v>44601</v>
      </c>
      <c r="B29" s="58">
        <v>44597</v>
      </c>
      <c r="C29" s="59" t="s">
        <v>48</v>
      </c>
      <c r="D29" s="59"/>
      <c r="E29" s="60">
        <f>-E12</f>
        <v>-275</v>
      </c>
      <c r="F29" s="59" t="s">
        <v>50</v>
      </c>
      <c r="H29" s="52"/>
      <c r="I29" s="52"/>
    </row>
    <row r="30" spans="1:12" x14ac:dyDescent="0.25">
      <c r="A30" s="58">
        <f>A29</f>
        <v>44601</v>
      </c>
      <c r="B30" s="58">
        <v>44597</v>
      </c>
      <c r="C30" s="59" t="s">
        <v>49</v>
      </c>
      <c r="D30" s="59" t="s">
        <v>41</v>
      </c>
      <c r="E30" s="60">
        <f>-E13</f>
        <v>143.88886666666667</v>
      </c>
      <c r="F30" s="59" t="s">
        <v>50</v>
      </c>
      <c r="H30" s="52"/>
      <c r="I30" s="52"/>
    </row>
    <row r="31" spans="1:12" hidden="1" x14ac:dyDescent="0.25">
      <c r="A31" s="58">
        <f>A30</f>
        <v>44601</v>
      </c>
      <c r="B31" s="58">
        <v>44597</v>
      </c>
      <c r="C31" s="59" t="s">
        <v>49</v>
      </c>
      <c r="D31" s="59" t="s">
        <v>46</v>
      </c>
      <c r="E31" s="60">
        <f>-E14</f>
        <v>131.11113333333333</v>
      </c>
      <c r="F31" s="59" t="s">
        <v>50</v>
      </c>
      <c r="H31" s="52"/>
      <c r="I31" s="52"/>
    </row>
    <row r="32" spans="1:12" hidden="1" x14ac:dyDescent="0.25">
      <c r="A32" s="58">
        <v>44601</v>
      </c>
      <c r="B32" s="58">
        <v>44598</v>
      </c>
      <c r="C32" s="59" t="s">
        <v>47</v>
      </c>
      <c r="D32" s="59" t="s">
        <v>46</v>
      </c>
      <c r="E32" s="60">
        <f>-E19</f>
        <v>-27.648291372772636</v>
      </c>
      <c r="F32" s="59" t="s">
        <v>50</v>
      </c>
      <c r="H32" s="52"/>
      <c r="I32" s="52"/>
    </row>
    <row r="33" spans="1:9" hidden="1" x14ac:dyDescent="0.25">
      <c r="A33" s="58">
        <v>44601</v>
      </c>
      <c r="B33" s="58">
        <v>44598</v>
      </c>
      <c r="C33" s="59" t="s">
        <v>48</v>
      </c>
      <c r="D33" s="59"/>
      <c r="E33" s="60">
        <f>-E16</f>
        <v>-350</v>
      </c>
      <c r="F33" s="59" t="s">
        <v>50</v>
      </c>
      <c r="H33" s="52"/>
      <c r="I33" s="52"/>
    </row>
    <row r="34" spans="1:9" x14ac:dyDescent="0.25">
      <c r="A34" s="58">
        <v>44601</v>
      </c>
      <c r="B34" s="58">
        <v>44598</v>
      </c>
      <c r="C34" s="59" t="s">
        <v>49</v>
      </c>
      <c r="D34" s="59" t="s">
        <v>41</v>
      </c>
      <c r="E34" s="60">
        <f>-E17</f>
        <v>322.26219135185187</v>
      </c>
      <c r="F34" s="59" t="s">
        <v>50</v>
      </c>
      <c r="H34" s="52"/>
      <c r="I34" s="52"/>
    </row>
    <row r="35" spans="1:9" hidden="1" x14ac:dyDescent="0.25">
      <c r="A35" s="58">
        <v>44601</v>
      </c>
      <c r="B35" s="58">
        <v>44598</v>
      </c>
      <c r="C35" s="59" t="s">
        <v>49</v>
      </c>
      <c r="D35" s="59" t="s">
        <v>46</v>
      </c>
      <c r="E35" s="60">
        <f>-E18</f>
        <v>27.73780864814815</v>
      </c>
      <c r="F35" s="59" t="s">
        <v>50</v>
      </c>
      <c r="H35" s="52"/>
      <c r="I35" s="52"/>
    </row>
    <row r="36" spans="1:9" hidden="1" x14ac:dyDescent="0.25">
      <c r="A36" s="58">
        <v>44601</v>
      </c>
      <c r="B36" s="58">
        <v>44599</v>
      </c>
      <c r="C36" s="59" t="s">
        <v>47</v>
      </c>
      <c r="D36" s="59" t="s">
        <v>46</v>
      </c>
      <c r="E36" s="60">
        <f t="shared" ref="E36:E37" si="0">-E20</f>
        <v>-27.648299999999999</v>
      </c>
      <c r="F36" s="59" t="s">
        <v>50</v>
      </c>
      <c r="H36" s="52"/>
      <c r="I36" s="52"/>
    </row>
    <row r="37" spans="1:9" hidden="1" x14ac:dyDescent="0.25">
      <c r="A37" s="58">
        <v>44601</v>
      </c>
      <c r="B37" s="58">
        <v>44600</v>
      </c>
      <c r="C37" s="59" t="s">
        <v>47</v>
      </c>
      <c r="D37" s="59" t="s">
        <v>46</v>
      </c>
      <c r="E37" s="60">
        <f t="shared" si="0"/>
        <v>-27.648299999999999</v>
      </c>
      <c r="F37" s="59" t="s">
        <v>50</v>
      </c>
      <c r="H37" s="52">
        <f>H21+E25+E34+E30</f>
        <v>100000</v>
      </c>
      <c r="I37" s="54">
        <f>I21+E26+E27+E28+E32+E35+E36+E37+E31+E22</f>
        <v>155.55555555555554</v>
      </c>
    </row>
    <row r="38" spans="1:9" hidden="1" x14ac:dyDescent="0.25">
      <c r="A38" s="62">
        <v>44601</v>
      </c>
      <c r="B38" s="62">
        <v>44595</v>
      </c>
      <c r="C38" s="61" t="s">
        <v>49</v>
      </c>
      <c r="D38" s="61" t="s">
        <v>46</v>
      </c>
      <c r="E38" s="63">
        <v>-50</v>
      </c>
      <c r="F38" s="61" t="s">
        <v>52</v>
      </c>
      <c r="H38" s="52">
        <f>H37</f>
        <v>100000</v>
      </c>
      <c r="I38" s="54">
        <f>I37+E38</f>
        <v>105.55555555555554</v>
      </c>
    </row>
    <row r="39" spans="1:9" hidden="1" x14ac:dyDescent="0.25">
      <c r="A39" s="62">
        <v>44601</v>
      </c>
      <c r="B39" s="62">
        <v>44595</v>
      </c>
      <c r="C39" s="61" t="s">
        <v>47</v>
      </c>
      <c r="D39" s="61" t="s">
        <v>46</v>
      </c>
      <c r="E39" s="64">
        <f>E40</f>
        <v>27.777777777777779</v>
      </c>
      <c r="F39" s="61" t="s">
        <v>52</v>
      </c>
      <c r="H39" s="52">
        <f>H37</f>
        <v>100000</v>
      </c>
      <c r="I39" s="54">
        <f>I38+E39</f>
        <v>133.33333333333331</v>
      </c>
    </row>
    <row r="40" spans="1:9" hidden="1" x14ac:dyDescent="0.25">
      <c r="A40" s="62">
        <v>44601</v>
      </c>
      <c r="B40" s="62">
        <v>44596</v>
      </c>
      <c r="C40" s="61" t="s">
        <v>47</v>
      </c>
      <c r="D40" s="61" t="s">
        <v>46</v>
      </c>
      <c r="E40" s="64">
        <f>H37*N2</f>
        <v>27.777777777777779</v>
      </c>
      <c r="F40" s="61" t="s">
        <v>52</v>
      </c>
      <c r="H40" s="52">
        <f>H39</f>
        <v>100000</v>
      </c>
      <c r="I40" s="54">
        <f>I39+E40</f>
        <v>161.11111111111109</v>
      </c>
    </row>
    <row r="41" spans="1:9" hidden="1" x14ac:dyDescent="0.25">
      <c r="A41" s="62">
        <f>A44</f>
        <v>44601</v>
      </c>
      <c r="B41" s="62">
        <v>44597</v>
      </c>
      <c r="C41" s="61" t="s">
        <v>48</v>
      </c>
      <c r="D41" s="61"/>
      <c r="E41" s="64">
        <v>275</v>
      </c>
      <c r="F41" s="61" t="s">
        <v>52</v>
      </c>
      <c r="H41" s="52"/>
      <c r="I41" s="52"/>
    </row>
    <row r="42" spans="1:9" x14ac:dyDescent="0.25">
      <c r="A42" s="62">
        <f>A41</f>
        <v>44601</v>
      </c>
      <c r="B42" s="62">
        <v>44597</v>
      </c>
      <c r="C42" s="61" t="s">
        <v>49</v>
      </c>
      <c r="D42" s="61" t="s">
        <v>41</v>
      </c>
      <c r="E42" s="64">
        <f>-E41-E43</f>
        <v>-113.88888888888891</v>
      </c>
      <c r="F42" s="61" t="s">
        <v>52</v>
      </c>
      <c r="H42" s="52">
        <f>H40+E42</f>
        <v>99886.111111111109</v>
      </c>
      <c r="I42" s="52">
        <f>I40</f>
        <v>161.11111111111109</v>
      </c>
    </row>
    <row r="43" spans="1:9" hidden="1" x14ac:dyDescent="0.25">
      <c r="A43" s="62">
        <f>A42</f>
        <v>44601</v>
      </c>
      <c r="B43" s="62">
        <v>44597</v>
      </c>
      <c r="C43" s="61" t="s">
        <v>49</v>
      </c>
      <c r="D43" s="61" t="s">
        <v>46</v>
      </c>
      <c r="E43" s="64">
        <f>-I40</f>
        <v>-161.11111111111109</v>
      </c>
      <c r="F43" s="61" t="s">
        <v>52</v>
      </c>
      <c r="H43" s="52">
        <f>H42</f>
        <v>99886.111111111109</v>
      </c>
      <c r="I43" s="52">
        <f>I42+E43</f>
        <v>0</v>
      </c>
    </row>
    <row r="44" spans="1:9" hidden="1" x14ac:dyDescent="0.25">
      <c r="A44" s="62">
        <v>44601</v>
      </c>
      <c r="B44" s="62">
        <v>44597</v>
      </c>
      <c r="C44" s="61" t="s">
        <v>47</v>
      </c>
      <c r="D44" s="61" t="s">
        <v>46</v>
      </c>
      <c r="E44" s="65">
        <f>ROUND(H44*$N$2,4)</f>
        <v>27.746099999999998</v>
      </c>
      <c r="F44" s="61" t="s">
        <v>52</v>
      </c>
      <c r="H44" s="52">
        <f>H43</f>
        <v>99886.111111111109</v>
      </c>
      <c r="I44" s="52">
        <f>E44</f>
        <v>27.746099999999998</v>
      </c>
    </row>
    <row r="45" spans="1:9" hidden="1" x14ac:dyDescent="0.25">
      <c r="A45" s="62">
        <v>44601</v>
      </c>
      <c r="B45" s="62">
        <v>44598</v>
      </c>
      <c r="C45" s="61" t="s">
        <v>48</v>
      </c>
      <c r="D45" s="61"/>
      <c r="E45" s="64">
        <f>E16</f>
        <v>350</v>
      </c>
      <c r="F45" s="61" t="s">
        <v>52</v>
      </c>
      <c r="H45" s="52"/>
      <c r="I45" s="52"/>
    </row>
    <row r="46" spans="1:9" x14ac:dyDescent="0.25">
      <c r="A46" s="62">
        <v>44601</v>
      </c>
      <c r="B46" s="62">
        <v>44598</v>
      </c>
      <c r="C46" s="61" t="s">
        <v>49</v>
      </c>
      <c r="D46" s="61" t="s">
        <v>41</v>
      </c>
      <c r="E46" s="64">
        <f>-E45-E47</f>
        <v>-322.25389999999999</v>
      </c>
      <c r="F46" s="61" t="s">
        <v>52</v>
      </c>
      <c r="H46" s="52">
        <f>H44+E46</f>
        <v>99563.857211111113</v>
      </c>
      <c r="I46" s="52">
        <f>I44</f>
        <v>27.746099999999998</v>
      </c>
    </row>
    <row r="47" spans="1:9" hidden="1" x14ac:dyDescent="0.25">
      <c r="A47" s="62">
        <v>44601</v>
      </c>
      <c r="B47" s="62">
        <v>44598</v>
      </c>
      <c r="C47" s="61" t="s">
        <v>49</v>
      </c>
      <c r="D47" s="61" t="s">
        <v>46</v>
      </c>
      <c r="E47" s="64">
        <f>-I44</f>
        <v>-27.746099999999998</v>
      </c>
      <c r="F47" s="61" t="s">
        <v>52</v>
      </c>
      <c r="H47" s="52">
        <f>H46</f>
        <v>99563.857211111113</v>
      </c>
      <c r="I47" s="52">
        <f>I44+E47</f>
        <v>0</v>
      </c>
    </row>
    <row r="48" spans="1:9" hidden="1" x14ac:dyDescent="0.25">
      <c r="A48" s="62">
        <v>44601</v>
      </c>
      <c r="B48" s="62">
        <v>44598</v>
      </c>
      <c r="C48" s="61" t="s">
        <v>47</v>
      </c>
      <c r="D48" s="61" t="s">
        <v>46</v>
      </c>
      <c r="E48" s="65">
        <f>ROUND(H48*$N$2,4)</f>
        <v>27.656600000000001</v>
      </c>
      <c r="F48" s="61" t="s">
        <v>52</v>
      </c>
      <c r="H48" s="52">
        <f>H47</f>
        <v>99563.857211111113</v>
      </c>
      <c r="I48" s="52">
        <f>I47+E49</f>
        <v>27.65662700308642</v>
      </c>
    </row>
    <row r="49" spans="1:9" hidden="1" x14ac:dyDescent="0.25">
      <c r="A49" s="62">
        <v>44601</v>
      </c>
      <c r="B49" s="62">
        <v>44599</v>
      </c>
      <c r="C49" s="61" t="s">
        <v>47</v>
      </c>
      <c r="D49" s="61" t="s">
        <v>46</v>
      </c>
      <c r="E49" s="64">
        <f>H48*N2</f>
        <v>27.65662700308642</v>
      </c>
      <c r="F49" s="61" t="s">
        <v>52</v>
      </c>
      <c r="H49" s="52">
        <f>H48</f>
        <v>99563.857211111113</v>
      </c>
      <c r="I49" s="52">
        <f>I48+E50</f>
        <v>55.313254006172841</v>
      </c>
    </row>
    <row r="50" spans="1:9" hidden="1" x14ac:dyDescent="0.25">
      <c r="A50" s="62">
        <v>44601</v>
      </c>
      <c r="B50" s="62">
        <v>44600</v>
      </c>
      <c r="C50" s="61" t="s">
        <v>47</v>
      </c>
      <c r="D50" s="61" t="s">
        <v>46</v>
      </c>
      <c r="E50" s="65">
        <f>E49</f>
        <v>27.65662700308642</v>
      </c>
      <c r="F50" s="61" t="s">
        <v>52</v>
      </c>
      <c r="H50" s="52">
        <f>H49</f>
        <v>99563.857211111113</v>
      </c>
      <c r="I50" s="52">
        <f>I49+E51</f>
        <v>82.969881009259268</v>
      </c>
    </row>
    <row r="51" spans="1:9" hidden="1" x14ac:dyDescent="0.25">
      <c r="A51" s="62">
        <v>44601</v>
      </c>
      <c r="B51" s="62">
        <v>44601</v>
      </c>
      <c r="C51" s="61" t="s">
        <v>47</v>
      </c>
      <c r="D51" s="61" t="s">
        <v>46</v>
      </c>
      <c r="E51" s="64">
        <f>E50</f>
        <v>27.65662700308642</v>
      </c>
      <c r="F51" s="61" t="s">
        <v>52</v>
      </c>
      <c r="H51" s="52">
        <f>H50</f>
        <v>99563.857211111113</v>
      </c>
      <c r="I51" s="52">
        <f>I50</f>
        <v>82.969881009259268</v>
      </c>
    </row>
    <row r="52" spans="1:9" x14ac:dyDescent="0.25">
      <c r="H52" s="52"/>
      <c r="I52" s="52"/>
    </row>
    <row r="53" spans="1:9" x14ac:dyDescent="0.25">
      <c r="H53" s="52"/>
      <c r="I53" s="52"/>
    </row>
    <row r="54" spans="1:9" x14ac:dyDescent="0.25"/>
    <row r="55" spans="1:9" x14ac:dyDescent="0.25">
      <c r="H55" s="55"/>
    </row>
    <row r="56" spans="1:9" x14ac:dyDescent="0.25">
      <c r="H56" s="52"/>
    </row>
    <row r="58" spans="1:9" x14ac:dyDescent="0.25">
      <c r="H58" s="52"/>
    </row>
  </sheetData>
  <autoFilter ref="A2:F51" xr:uid="{E92EE4E5-F77B-435C-B4F0-0B154E18B0F7}">
    <filterColumn colId="3">
      <filters>
        <filter val="UPB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16" t="s">
        <v>102</v>
      </c>
    </row>
    <row r="2" spans="1:7" x14ac:dyDescent="0.25">
      <c r="A2" s="66"/>
      <c r="B2" s="27"/>
      <c r="C2" s="8"/>
      <c r="D2" s="8"/>
      <c r="E2" s="9"/>
      <c r="F2" s="74"/>
      <c r="G2" s="74"/>
    </row>
    <row r="3" spans="1:7" x14ac:dyDescent="0.25">
      <c r="A3" s="27"/>
      <c r="B3" s="27"/>
      <c r="C3" s="8"/>
      <c r="D3" s="8"/>
      <c r="E3" s="9"/>
      <c r="F3" s="66"/>
      <c r="G3" s="11"/>
    </row>
    <row r="4" spans="1:7" x14ac:dyDescent="0.25">
      <c r="A4" s="27"/>
      <c r="B4" s="27"/>
      <c r="C4" s="8"/>
      <c r="D4" s="8"/>
      <c r="E4" s="9"/>
      <c r="F4" s="66"/>
    </row>
    <row r="5" spans="1:7" x14ac:dyDescent="0.25">
      <c r="A5" s="27"/>
      <c r="B5" s="27"/>
      <c r="C5" s="8"/>
      <c r="D5" s="8"/>
      <c r="E5" s="9"/>
      <c r="F5" s="66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H2"/>
  <sheetViews>
    <sheetView workbookViewId="0">
      <selection activeCell="G1" sqref="A1:R58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8" max="8" width="61" customWidth="1"/>
  </cols>
  <sheetData>
    <row r="1" spans="1:8" x14ac:dyDescent="0.25">
      <c r="A1" s="15" t="s">
        <v>3</v>
      </c>
      <c r="B1" s="10" t="s">
        <v>7</v>
      </c>
      <c r="C1" s="14" t="s">
        <v>5</v>
      </c>
      <c r="D1" s="14" t="s">
        <v>6</v>
      </c>
      <c r="E1" s="4" t="s">
        <v>105</v>
      </c>
      <c r="F1" s="4" t="s">
        <v>107</v>
      </c>
      <c r="G1" s="17" t="s">
        <v>108</v>
      </c>
      <c r="H1" s="17" t="s">
        <v>109</v>
      </c>
    </row>
    <row r="2" spans="1:8" x14ac:dyDescent="0.25">
      <c r="A2" s="66"/>
      <c r="B2" s="66"/>
      <c r="C2" s="8"/>
      <c r="D2" s="8"/>
      <c r="E2" s="91"/>
      <c r="F2" s="9"/>
      <c r="G2" s="9"/>
      <c r="H2" s="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7"/>
  <sheetViews>
    <sheetView tabSelected="1" workbookViewId="0">
      <selection activeCell="E27" sqref="E27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73" t="s">
        <v>7</v>
      </c>
      <c r="C1" s="14" t="s">
        <v>5</v>
      </c>
      <c r="D1" s="14" t="s">
        <v>6</v>
      </c>
      <c r="E1" s="16" t="s">
        <v>102</v>
      </c>
      <c r="F1" s="86" t="s">
        <v>101</v>
      </c>
      <c r="G1" s="16" t="s">
        <v>103</v>
      </c>
    </row>
    <row r="2" spans="1:7" x14ac:dyDescent="0.25">
      <c r="A2" s="66"/>
      <c r="B2" s="27"/>
      <c r="C2" s="8"/>
      <c r="D2" s="8"/>
      <c r="E2" s="9"/>
      <c r="F2" s="9"/>
      <c r="G2" s="9"/>
    </row>
    <row r="3" spans="1:7" x14ac:dyDescent="0.25">
      <c r="A3" s="66"/>
      <c r="B3" s="27"/>
      <c r="C3" s="8"/>
      <c r="D3" s="8"/>
      <c r="E3" s="9"/>
      <c r="F3" s="9"/>
      <c r="G3" s="9"/>
    </row>
    <row r="4" spans="1:7" x14ac:dyDescent="0.25">
      <c r="A4" s="66"/>
      <c r="B4" s="27"/>
      <c r="C4" s="8"/>
      <c r="D4" s="8"/>
      <c r="E4" s="9"/>
      <c r="F4" s="9"/>
      <c r="G4" s="9"/>
    </row>
    <row r="5" spans="1:7" x14ac:dyDescent="0.25">
      <c r="A5" s="66"/>
      <c r="B5" s="27"/>
      <c r="C5" s="8"/>
      <c r="D5" s="8"/>
      <c r="E5" s="9"/>
      <c r="F5" s="9"/>
      <c r="G5" s="9"/>
    </row>
    <row r="7" spans="1:7" x14ac:dyDescent="0.25">
      <c r="F7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10" sqref="H10"/>
    </sheetView>
  </sheetViews>
  <sheetFormatPr defaultRowHeight="15" x14ac:dyDescent="0.25"/>
  <cols>
    <col min="6" max="6" width="19.42578125" customWidth="1"/>
    <col min="10" max="10" width="11.7109375" style="66" bestFit="1" customWidth="1"/>
    <col min="11" max="11" width="15.42578125" style="66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4" customFormat="1" x14ac:dyDescent="0.25">
      <c r="A1" s="98" t="s">
        <v>62</v>
      </c>
      <c r="B1" s="98"/>
      <c r="C1" s="98"/>
      <c r="D1" s="98"/>
      <c r="E1" s="98"/>
      <c r="F1" s="98"/>
      <c r="G1" s="98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4" customFormat="1" x14ac:dyDescent="0.25">
      <c r="A2" s="73" t="s">
        <v>61</v>
      </c>
      <c r="J2" s="66"/>
      <c r="K2" s="66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0</v>
      </c>
      <c r="G3" s="9">
        <v>27.777777777777779</v>
      </c>
      <c r="J3" s="66">
        <v>45697</v>
      </c>
      <c r="K3" s="66">
        <v>45697</v>
      </c>
      <c r="L3" t="s">
        <v>12</v>
      </c>
      <c r="M3" t="s">
        <v>64</v>
      </c>
      <c r="N3">
        <v>27.648299999999999</v>
      </c>
      <c r="O3" t="s">
        <v>65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-143.88888888888891</v>
      </c>
      <c r="G4" s="9">
        <v>27.73780864197531</v>
      </c>
      <c r="J4" s="66">
        <v>45697</v>
      </c>
      <c r="K4" s="66">
        <v>45697</v>
      </c>
      <c r="L4" t="s">
        <v>12</v>
      </c>
      <c r="M4" t="s">
        <v>66</v>
      </c>
      <c r="N4">
        <v>3.3300000000000003E-2</v>
      </c>
      <c r="O4" t="s">
        <v>65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-322.26219135802467</v>
      </c>
      <c r="G5" s="9">
        <v>27.64829136659808</v>
      </c>
      <c r="J5" s="66">
        <v>45697</v>
      </c>
      <c r="K5" s="66">
        <v>45697</v>
      </c>
      <c r="L5" t="s">
        <v>12</v>
      </c>
      <c r="M5" t="s">
        <v>68</v>
      </c>
      <c r="N5">
        <v>30.008299999999998</v>
      </c>
      <c r="O5" t="s">
        <v>65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0</v>
      </c>
      <c r="G6" s="9">
        <v>27.64829136659808</v>
      </c>
      <c r="J6" s="66" t="s">
        <v>67</v>
      </c>
      <c r="K6" s="66" t="s">
        <v>67</v>
      </c>
      <c r="L6" t="s">
        <v>67</v>
      </c>
      <c r="M6" t="s">
        <v>67</v>
      </c>
      <c r="N6" t="s">
        <v>67</v>
      </c>
      <c r="O6" t="s">
        <v>67</v>
      </c>
    </row>
    <row r="9" spans="1:15" x14ac:dyDescent="0.25">
      <c r="A9" s="73" t="s">
        <v>59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  <c r="H10" s="9">
        <v>321.79379385288064</v>
      </c>
    </row>
    <row r="13" spans="1:15" x14ac:dyDescent="0.25">
      <c r="A13" s="73" t="s">
        <v>60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98" t="s">
        <v>63</v>
      </c>
      <c r="B16" s="98"/>
      <c r="C16" s="98"/>
      <c r="D16" s="98"/>
      <c r="E16" s="98"/>
      <c r="F16" s="98"/>
      <c r="G16" s="98"/>
    </row>
    <row r="17" spans="1:15" x14ac:dyDescent="0.25">
      <c r="A17" s="73" t="s">
        <v>61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0</v>
      </c>
      <c r="G18" s="9">
        <v>27.777777777777779</v>
      </c>
      <c r="J18" s="66">
        <v>45697</v>
      </c>
      <c r="K18" s="66">
        <v>45697</v>
      </c>
      <c r="L18" t="s">
        <v>12</v>
      </c>
      <c r="M18" t="s">
        <v>64</v>
      </c>
      <c r="N18">
        <v>27.777799999999999</v>
      </c>
      <c r="O18" t="s">
        <v>65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0</v>
      </c>
      <c r="G19" s="9">
        <v>27.777777777777779</v>
      </c>
      <c r="J19" s="66">
        <v>45697</v>
      </c>
      <c r="K19" s="66">
        <v>45697</v>
      </c>
      <c r="L19" t="s">
        <v>12</v>
      </c>
      <c r="M19" t="s">
        <v>66</v>
      </c>
      <c r="N19">
        <v>-50</v>
      </c>
      <c r="O19" t="s">
        <v>65</v>
      </c>
    </row>
    <row r="22" spans="1:15" x14ac:dyDescent="0.25">
      <c r="A22" s="73" t="s">
        <v>59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  <c r="H23" s="9">
        <v>322.22222222222217</v>
      </c>
    </row>
    <row r="26" spans="1:15" x14ac:dyDescent="0.25">
      <c r="A26" s="73" t="s">
        <v>60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98" t="s">
        <v>69</v>
      </c>
      <c r="B30" s="98"/>
      <c r="C30" s="98"/>
      <c r="D30" s="98"/>
      <c r="E30" s="98"/>
      <c r="F30" s="98"/>
      <c r="G30" s="98"/>
    </row>
    <row r="33" spans="1:15" x14ac:dyDescent="0.25">
      <c r="A33" s="73" t="s">
        <v>59</v>
      </c>
      <c r="B33" s="74"/>
      <c r="C33" s="74"/>
      <c r="D33" s="74"/>
      <c r="E33" s="74"/>
      <c r="F33" s="74"/>
      <c r="G33" s="74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H34" s="9">
        <v>322.22222222222217</v>
      </c>
      <c r="J34" s="66">
        <v>45697</v>
      </c>
      <c r="K34" s="66">
        <v>45697</v>
      </c>
      <c r="L34" t="s">
        <v>12</v>
      </c>
      <c r="M34" t="s">
        <v>64</v>
      </c>
      <c r="N34">
        <v>27.7562</v>
      </c>
      <c r="O34" t="s">
        <v>65</v>
      </c>
    </row>
    <row r="35" spans="1:15" x14ac:dyDescent="0.25">
      <c r="J35" s="66" t="s">
        <v>67</v>
      </c>
      <c r="K35" s="66" t="s">
        <v>67</v>
      </c>
      <c r="L35" t="s">
        <v>67</v>
      </c>
      <c r="M35" t="s">
        <v>67</v>
      </c>
      <c r="N35" t="s">
        <v>67</v>
      </c>
      <c r="O35" t="s">
        <v>67</v>
      </c>
    </row>
    <row r="36" spans="1:15" x14ac:dyDescent="0.25">
      <c r="J36" s="66">
        <v>45697</v>
      </c>
      <c r="K36" s="66">
        <v>45697</v>
      </c>
      <c r="L36" t="s">
        <v>12</v>
      </c>
      <c r="M36" t="s">
        <v>70</v>
      </c>
      <c r="N36">
        <v>-322.22219999999999</v>
      </c>
      <c r="O36" t="s">
        <v>65</v>
      </c>
    </row>
    <row r="37" spans="1:15" x14ac:dyDescent="0.25">
      <c r="A37" s="73" t="s">
        <v>60</v>
      </c>
      <c r="B37" s="74"/>
      <c r="C37" s="74"/>
      <c r="D37" s="74"/>
      <c r="E37" s="74"/>
      <c r="J37" s="66">
        <v>45697</v>
      </c>
      <c r="K37" s="66">
        <v>45697</v>
      </c>
      <c r="L37" t="s">
        <v>12</v>
      </c>
      <c r="M37" t="s">
        <v>71</v>
      </c>
      <c r="N37">
        <v>-77.777799999999999</v>
      </c>
      <c r="O37" t="s">
        <v>65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3F72-FD19-4D5D-A389-5D5E1F656C68}">
  <sheetPr>
    <tabColor rgb="FFFFC000"/>
  </sheetPr>
  <dimension ref="A1:O98"/>
  <sheetViews>
    <sheetView topLeftCell="A60" workbookViewId="0">
      <selection activeCell="A73" sqref="A73:H73"/>
    </sheetView>
  </sheetViews>
  <sheetFormatPr defaultRowHeight="15" x14ac:dyDescent="0.25"/>
  <cols>
    <col min="1" max="1" width="11.7109375" style="85" bestFit="1" customWidth="1"/>
    <col min="2" max="2" width="13.140625" style="85" bestFit="1" customWidth="1"/>
    <col min="3" max="3" width="12.5703125" style="85" bestFit="1" customWidth="1"/>
    <col min="4" max="4" width="10.85546875" style="85" bestFit="1" customWidth="1"/>
    <col min="5" max="5" width="35.140625" style="85" bestFit="1" customWidth="1"/>
    <col min="6" max="6" width="53.85546875" style="85" bestFit="1" customWidth="1"/>
    <col min="7" max="7" width="57" style="85" bestFit="1" customWidth="1"/>
    <col min="8" max="8" width="54.5703125" style="85" bestFit="1" customWidth="1"/>
    <col min="9" max="9" width="9.140625" style="85"/>
    <col min="10" max="11" width="9.7109375" style="85" bestFit="1" customWidth="1"/>
    <col min="12" max="12" width="9.140625" style="85"/>
    <col min="13" max="13" width="25" style="85" customWidth="1"/>
    <col min="14" max="16384" width="9.140625" style="85"/>
  </cols>
  <sheetData>
    <row r="1" spans="1:15" ht="15.75" thickBot="1" x14ac:dyDescent="0.3">
      <c r="A1" s="99" t="s">
        <v>88</v>
      </c>
      <c r="B1" s="100"/>
      <c r="C1" s="100"/>
      <c r="D1" s="100"/>
      <c r="E1" s="100"/>
      <c r="F1" s="100"/>
      <c r="G1" s="101"/>
    </row>
    <row r="3" spans="1:15" x14ac:dyDescent="0.25">
      <c r="A3" s="84" t="s">
        <v>89</v>
      </c>
    </row>
    <row r="4" spans="1:15" x14ac:dyDescent="0.25">
      <c r="A4" s="88" t="s">
        <v>3</v>
      </c>
      <c r="B4" s="12" t="s">
        <v>7</v>
      </c>
      <c r="C4" s="88" t="s">
        <v>5</v>
      </c>
      <c r="D4" s="88" t="s">
        <v>6</v>
      </c>
      <c r="E4" s="89" t="s">
        <v>23</v>
      </c>
      <c r="F4" s="89" t="s">
        <v>25</v>
      </c>
      <c r="G4" s="90" t="s">
        <v>26</v>
      </c>
      <c r="H4" s="17" t="s">
        <v>82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91">
        <v>10</v>
      </c>
      <c r="F5" s="9">
        <v>100000</v>
      </c>
      <c r="G5" s="9">
        <v>100</v>
      </c>
      <c r="H5" s="69">
        <v>100</v>
      </c>
      <c r="J5" s="66"/>
      <c r="K5" s="66"/>
    </row>
    <row r="7" spans="1:15" ht="15.75" thickBot="1" x14ac:dyDescent="0.3"/>
    <row r="8" spans="1:15" ht="15.75" thickBot="1" x14ac:dyDescent="0.3">
      <c r="A8" s="99" t="s">
        <v>90</v>
      </c>
      <c r="B8" s="100"/>
      <c r="C8" s="100"/>
      <c r="D8" s="100"/>
      <c r="E8" s="100"/>
      <c r="F8" s="100"/>
      <c r="G8" s="101"/>
    </row>
    <row r="10" spans="1:15" x14ac:dyDescent="0.25">
      <c r="A10" s="84" t="s">
        <v>89</v>
      </c>
    </row>
    <row r="11" spans="1:15" x14ac:dyDescent="0.25">
      <c r="A11" s="88" t="s">
        <v>3</v>
      </c>
      <c r="B11" s="12" t="s">
        <v>7</v>
      </c>
      <c r="C11" s="88" t="s">
        <v>5</v>
      </c>
      <c r="D11" s="88" t="s">
        <v>6</v>
      </c>
      <c r="E11" s="89" t="s">
        <v>23</v>
      </c>
      <c r="F11" s="89" t="s">
        <v>25</v>
      </c>
      <c r="G11" s="90" t="s">
        <v>26</v>
      </c>
      <c r="H11" s="17" t="s">
        <v>82</v>
      </c>
      <c r="J11" s="85" t="s">
        <v>3</v>
      </c>
      <c r="K11" s="85" t="s">
        <v>4</v>
      </c>
      <c r="L11" s="85" t="s">
        <v>5</v>
      </c>
      <c r="M11" s="85" t="s">
        <v>10</v>
      </c>
      <c r="N11" s="85" t="s">
        <v>1</v>
      </c>
      <c r="O11" s="85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91">
        <v>10</v>
      </c>
      <c r="F12" s="9">
        <v>100000</v>
      </c>
      <c r="G12" s="9">
        <v>100</v>
      </c>
      <c r="H12" s="69">
        <v>100</v>
      </c>
      <c r="J12" s="66">
        <v>44593</v>
      </c>
      <c r="K12" s="66">
        <v>44593</v>
      </c>
      <c r="L12" s="85" t="s">
        <v>12</v>
      </c>
      <c r="M12" s="85" t="s">
        <v>64</v>
      </c>
      <c r="N12" s="85">
        <v>27.777799999999999</v>
      </c>
      <c r="O12" s="85" t="s">
        <v>65</v>
      </c>
    </row>
    <row r="14" spans="1:15" ht="15.75" thickBot="1" x14ac:dyDescent="0.3"/>
    <row r="15" spans="1:15" ht="15.75" thickBot="1" x14ac:dyDescent="0.3">
      <c r="A15" s="99" t="s">
        <v>91</v>
      </c>
      <c r="B15" s="100"/>
      <c r="C15" s="100"/>
      <c r="D15" s="100"/>
      <c r="E15" s="100"/>
      <c r="F15" s="100"/>
      <c r="G15" s="101"/>
    </row>
    <row r="17" spans="1:15" x14ac:dyDescent="0.25">
      <c r="A17" s="84" t="s">
        <v>89</v>
      </c>
    </row>
    <row r="18" spans="1:15" x14ac:dyDescent="0.25">
      <c r="A18" s="88" t="s">
        <v>3</v>
      </c>
      <c r="B18" s="12" t="s">
        <v>7</v>
      </c>
      <c r="C18" s="88" t="s">
        <v>5</v>
      </c>
      <c r="D18" s="88" t="s">
        <v>6</v>
      </c>
      <c r="E18" s="89" t="s">
        <v>23</v>
      </c>
      <c r="F18" s="89" t="s">
        <v>25</v>
      </c>
      <c r="G18" s="90" t="s">
        <v>26</v>
      </c>
      <c r="H18" s="17" t="s">
        <v>82</v>
      </c>
      <c r="J18" s="85" t="s">
        <v>3</v>
      </c>
      <c r="K18" s="85" t="s">
        <v>4</v>
      </c>
      <c r="L18" s="85" t="s">
        <v>5</v>
      </c>
      <c r="M18" s="85" t="s">
        <v>10</v>
      </c>
      <c r="N18" s="85" t="s">
        <v>1</v>
      </c>
      <c r="O18" s="85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91">
        <v>10</v>
      </c>
      <c r="F19" s="9">
        <v>100000</v>
      </c>
      <c r="G19" s="9">
        <v>127.7778</v>
      </c>
      <c r="H19" s="69">
        <v>127.7778</v>
      </c>
      <c r="J19" s="66">
        <v>44594</v>
      </c>
      <c r="K19" s="66">
        <v>44594</v>
      </c>
      <c r="L19" s="85" t="s">
        <v>12</v>
      </c>
      <c r="M19" s="85" t="s">
        <v>64</v>
      </c>
      <c r="N19" s="85">
        <v>27.777799999999999</v>
      </c>
      <c r="O19" s="85" t="s">
        <v>65</v>
      </c>
    </row>
    <row r="21" spans="1:15" ht="15.75" thickBot="1" x14ac:dyDescent="0.3"/>
    <row r="22" spans="1:15" ht="15.75" thickBot="1" x14ac:dyDescent="0.3">
      <c r="A22" s="99" t="s">
        <v>92</v>
      </c>
      <c r="B22" s="100"/>
      <c r="C22" s="100"/>
      <c r="D22" s="100"/>
      <c r="E22" s="100"/>
      <c r="F22" s="100"/>
      <c r="G22" s="101"/>
    </row>
    <row r="24" spans="1:15" x14ac:dyDescent="0.25">
      <c r="A24" s="84" t="s">
        <v>89</v>
      </c>
    </row>
    <row r="25" spans="1:15" x14ac:dyDescent="0.25">
      <c r="A25" s="88" t="s">
        <v>3</v>
      </c>
      <c r="B25" s="12" t="s">
        <v>7</v>
      </c>
      <c r="C25" s="88" t="s">
        <v>5</v>
      </c>
      <c r="D25" s="88" t="s">
        <v>6</v>
      </c>
      <c r="E25" s="89" t="s">
        <v>23</v>
      </c>
      <c r="F25" s="89" t="s">
        <v>25</v>
      </c>
      <c r="G25" s="90" t="s">
        <v>26</v>
      </c>
      <c r="H25" s="17" t="s">
        <v>82</v>
      </c>
      <c r="J25" s="85" t="s">
        <v>3</v>
      </c>
      <c r="K25" s="85" t="s">
        <v>4</v>
      </c>
      <c r="L25" s="85" t="s">
        <v>5</v>
      </c>
      <c r="M25" s="85" t="s">
        <v>10</v>
      </c>
      <c r="N25" s="85" t="s">
        <v>1</v>
      </c>
      <c r="O25" s="8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91">
        <v>10</v>
      </c>
      <c r="F26" s="9">
        <v>100000</v>
      </c>
      <c r="G26" s="9">
        <v>155.5556</v>
      </c>
      <c r="H26" s="85">
        <v>155.5556</v>
      </c>
      <c r="J26" s="66">
        <v>44595</v>
      </c>
      <c r="K26" s="66">
        <v>44595</v>
      </c>
      <c r="L26" s="85" t="s">
        <v>12</v>
      </c>
      <c r="M26" s="85" t="s">
        <v>64</v>
      </c>
      <c r="N26" s="85">
        <v>27.777799999999999</v>
      </c>
      <c r="O26" s="85" t="s">
        <v>65</v>
      </c>
    </row>
    <row r="27" spans="1:15" x14ac:dyDescent="0.25">
      <c r="J27" s="66">
        <v>44595</v>
      </c>
      <c r="K27" s="66">
        <v>44595</v>
      </c>
      <c r="L27" s="85" t="s">
        <v>12</v>
      </c>
      <c r="M27" s="85" t="s">
        <v>70</v>
      </c>
      <c r="N27" s="85">
        <v>-80</v>
      </c>
      <c r="O27" s="85" t="s">
        <v>65</v>
      </c>
    </row>
    <row r="28" spans="1:15" x14ac:dyDescent="0.25">
      <c r="A28" s="84" t="s">
        <v>60</v>
      </c>
    </row>
    <row r="29" spans="1:15" x14ac:dyDescent="0.25">
      <c r="A29" s="14" t="s">
        <v>3</v>
      </c>
      <c r="B29" s="84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91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9" t="s">
        <v>93</v>
      </c>
      <c r="B33" s="100"/>
      <c r="C33" s="100"/>
      <c r="D33" s="100"/>
      <c r="E33" s="100"/>
      <c r="F33" s="100"/>
      <c r="G33" s="101"/>
    </row>
    <row r="35" spans="1:15" x14ac:dyDescent="0.25">
      <c r="A35" s="84" t="s">
        <v>89</v>
      </c>
    </row>
    <row r="36" spans="1:15" x14ac:dyDescent="0.25">
      <c r="A36" s="88" t="s">
        <v>3</v>
      </c>
      <c r="B36" s="12" t="s">
        <v>7</v>
      </c>
      <c r="C36" s="88" t="s">
        <v>5</v>
      </c>
      <c r="D36" s="88" t="s">
        <v>6</v>
      </c>
      <c r="E36" s="89" t="s">
        <v>23</v>
      </c>
      <c r="F36" s="89" t="s">
        <v>25</v>
      </c>
      <c r="G36" s="90" t="s">
        <v>26</v>
      </c>
      <c r="H36" s="17" t="s">
        <v>82</v>
      </c>
      <c r="J36" s="85" t="s">
        <v>3</v>
      </c>
      <c r="K36" s="85" t="s">
        <v>4</v>
      </c>
      <c r="L36" s="85" t="s">
        <v>5</v>
      </c>
      <c r="M36" s="85" t="s">
        <v>10</v>
      </c>
      <c r="N36" s="85" t="s">
        <v>1</v>
      </c>
      <c r="O36" s="85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91">
        <v>10</v>
      </c>
      <c r="F37" s="9">
        <v>100000</v>
      </c>
      <c r="G37" s="9">
        <v>103.33339999999998</v>
      </c>
      <c r="H37" s="85">
        <v>183.33339999999998</v>
      </c>
      <c r="J37" s="66">
        <v>44596</v>
      </c>
      <c r="K37" s="66">
        <v>44596</v>
      </c>
      <c r="L37" s="85" t="s">
        <v>12</v>
      </c>
      <c r="M37" s="85" t="s">
        <v>64</v>
      </c>
      <c r="N37" s="85">
        <v>27.777799999999999</v>
      </c>
      <c r="O37" s="85" t="s">
        <v>65</v>
      </c>
    </row>
    <row r="39" spans="1:15" ht="15.75" thickBot="1" x14ac:dyDescent="0.3"/>
    <row r="40" spans="1:15" ht="15.75" thickBot="1" x14ac:dyDescent="0.3">
      <c r="A40" s="99" t="s">
        <v>93</v>
      </c>
      <c r="B40" s="100"/>
      <c r="C40" s="100"/>
      <c r="D40" s="100"/>
      <c r="E40" s="100"/>
      <c r="F40" s="100"/>
      <c r="G40" s="101"/>
    </row>
    <row r="42" spans="1:15" x14ac:dyDescent="0.25">
      <c r="A42" s="84" t="s">
        <v>89</v>
      </c>
    </row>
    <row r="43" spans="1:15" x14ac:dyDescent="0.25">
      <c r="A43" s="88" t="s">
        <v>3</v>
      </c>
      <c r="B43" s="12" t="s">
        <v>7</v>
      </c>
      <c r="C43" s="88" t="s">
        <v>5</v>
      </c>
      <c r="D43" s="88" t="s">
        <v>6</v>
      </c>
      <c r="E43" s="89" t="s">
        <v>23</v>
      </c>
      <c r="F43" s="89" t="s">
        <v>25</v>
      </c>
      <c r="G43" s="90" t="s">
        <v>26</v>
      </c>
      <c r="H43" s="17" t="s">
        <v>82</v>
      </c>
      <c r="J43" s="85" t="s">
        <v>3</v>
      </c>
      <c r="K43" s="85" t="s">
        <v>4</v>
      </c>
      <c r="L43" s="85" t="s">
        <v>5</v>
      </c>
      <c r="M43" s="85" t="s">
        <v>10</v>
      </c>
      <c r="N43" s="85" t="s">
        <v>1</v>
      </c>
      <c r="O43" s="85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91">
        <v>10</v>
      </c>
      <c r="F44" s="9">
        <v>100000</v>
      </c>
      <c r="G44" s="9">
        <v>131.1112</v>
      </c>
      <c r="H44" s="85">
        <v>211.1112</v>
      </c>
      <c r="J44" s="66">
        <v>44597</v>
      </c>
      <c r="K44" s="66">
        <v>44597</v>
      </c>
      <c r="L44" s="85" t="s">
        <v>12</v>
      </c>
      <c r="M44" s="85" t="s">
        <v>64</v>
      </c>
      <c r="N44" s="85">
        <v>27.7378</v>
      </c>
      <c r="O44" s="85" t="s">
        <v>65</v>
      </c>
    </row>
    <row r="45" spans="1:15" x14ac:dyDescent="0.25">
      <c r="J45" s="66">
        <v>44597</v>
      </c>
      <c r="K45" s="66">
        <v>44597</v>
      </c>
      <c r="L45" s="85" t="s">
        <v>12</v>
      </c>
      <c r="M45" s="85" t="s">
        <v>70</v>
      </c>
      <c r="N45" s="85">
        <v>-131.1112</v>
      </c>
      <c r="O45" s="85" t="s">
        <v>65</v>
      </c>
    </row>
    <row r="46" spans="1:15" x14ac:dyDescent="0.25">
      <c r="A46" s="84" t="s">
        <v>60</v>
      </c>
      <c r="J46" s="66">
        <v>44597</v>
      </c>
      <c r="K46" s="66">
        <v>44597</v>
      </c>
      <c r="L46" s="85" t="s">
        <v>12</v>
      </c>
      <c r="M46" s="85" t="s">
        <v>71</v>
      </c>
      <c r="N46" s="85">
        <v>-143.8888</v>
      </c>
      <c r="O46" s="85" t="s">
        <v>65</v>
      </c>
    </row>
    <row r="47" spans="1:15" x14ac:dyDescent="0.25">
      <c r="A47" s="14" t="s">
        <v>3</v>
      </c>
      <c r="B47" s="84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91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9" t="s">
        <v>94</v>
      </c>
      <c r="B51" s="100"/>
      <c r="C51" s="100"/>
      <c r="D51" s="100"/>
      <c r="E51" s="100"/>
      <c r="F51" s="100"/>
      <c r="G51" s="101"/>
    </row>
    <row r="53" spans="1:15" x14ac:dyDescent="0.25">
      <c r="A53" s="84" t="s">
        <v>89</v>
      </c>
    </row>
    <row r="54" spans="1:15" x14ac:dyDescent="0.25">
      <c r="A54" s="88" t="s">
        <v>3</v>
      </c>
      <c r="B54" s="12" t="s">
        <v>7</v>
      </c>
      <c r="C54" s="88" t="s">
        <v>5</v>
      </c>
      <c r="D54" s="88" t="s">
        <v>6</v>
      </c>
      <c r="E54" s="89" t="s">
        <v>23</v>
      </c>
      <c r="F54" s="89" t="s">
        <v>25</v>
      </c>
      <c r="G54" s="90" t="s">
        <v>26</v>
      </c>
      <c r="H54" s="17" t="s">
        <v>82</v>
      </c>
      <c r="J54" s="85" t="s">
        <v>3</v>
      </c>
      <c r="K54" s="85" t="s">
        <v>4</v>
      </c>
      <c r="L54" s="85" t="s">
        <v>5</v>
      </c>
      <c r="M54" s="85" t="s">
        <v>10</v>
      </c>
      <c r="N54" s="85" t="s">
        <v>1</v>
      </c>
      <c r="O54" s="85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91">
        <v>10</v>
      </c>
      <c r="F55" s="9">
        <v>99856.111199999999</v>
      </c>
      <c r="G55" s="9">
        <v>27.737799999999993</v>
      </c>
      <c r="H55" s="85">
        <v>238.84899999999999</v>
      </c>
      <c r="J55" s="66">
        <v>44598</v>
      </c>
      <c r="K55" s="66">
        <v>44598</v>
      </c>
      <c r="L55" s="85" t="s">
        <v>12</v>
      </c>
      <c r="M55" s="85" t="s">
        <v>64</v>
      </c>
      <c r="N55" s="85">
        <v>27.648299999999999</v>
      </c>
      <c r="O55" s="85" t="s">
        <v>65</v>
      </c>
    </row>
    <row r="56" spans="1:15" x14ac:dyDescent="0.25">
      <c r="J56" s="66">
        <v>44598</v>
      </c>
      <c r="K56" s="66">
        <v>44598</v>
      </c>
      <c r="L56" s="85" t="s">
        <v>12</v>
      </c>
      <c r="M56" s="85" t="s">
        <v>71</v>
      </c>
      <c r="N56" s="85">
        <v>-322.26220000000001</v>
      </c>
      <c r="O56" s="85" t="s">
        <v>65</v>
      </c>
    </row>
    <row r="57" spans="1:15" x14ac:dyDescent="0.25">
      <c r="A57" s="84" t="s">
        <v>60</v>
      </c>
      <c r="J57" s="66">
        <v>44598</v>
      </c>
      <c r="K57" s="66">
        <v>44598</v>
      </c>
      <c r="L57" s="85" t="s">
        <v>12</v>
      </c>
      <c r="M57" s="85" t="s">
        <v>70</v>
      </c>
      <c r="N57" s="85">
        <v>-27.7378</v>
      </c>
      <c r="O57" s="85" t="s">
        <v>65</v>
      </c>
    </row>
    <row r="58" spans="1:15" x14ac:dyDescent="0.25">
      <c r="A58" s="14" t="s">
        <v>3</v>
      </c>
      <c r="B58" s="84" t="s">
        <v>7</v>
      </c>
      <c r="C58" s="14" t="s">
        <v>5</v>
      </c>
      <c r="D58" s="14" t="s">
        <v>6</v>
      </c>
      <c r="E58" s="16" t="s">
        <v>24</v>
      </c>
    </row>
    <row r="59" spans="1:15" x14ac:dyDescent="0.25">
      <c r="A59" s="27">
        <v>44598</v>
      </c>
      <c r="B59" s="27">
        <v>44598</v>
      </c>
      <c r="C59" s="91" t="s">
        <v>12</v>
      </c>
      <c r="D59" s="8">
        <v>1</v>
      </c>
      <c r="E59" s="9">
        <v>350</v>
      </c>
      <c r="J59" s="85" t="s">
        <v>67</v>
      </c>
      <c r="K59" s="85" t="s">
        <v>67</v>
      </c>
      <c r="L59" s="85" t="s">
        <v>67</v>
      </c>
      <c r="M59" s="85" t="s">
        <v>67</v>
      </c>
      <c r="N59" s="85" t="s">
        <v>67</v>
      </c>
      <c r="O59" s="85" t="s">
        <v>67</v>
      </c>
    </row>
    <row r="61" spans="1:15" ht="15.75" thickBot="1" x14ac:dyDescent="0.3"/>
    <row r="62" spans="1:15" ht="15.75" thickBot="1" x14ac:dyDescent="0.3">
      <c r="A62" s="99" t="s">
        <v>95</v>
      </c>
      <c r="B62" s="100"/>
      <c r="C62" s="100"/>
      <c r="D62" s="100"/>
      <c r="E62" s="100"/>
      <c r="F62" s="100"/>
      <c r="G62" s="101"/>
    </row>
    <row r="64" spans="1:15" x14ac:dyDescent="0.25">
      <c r="A64" s="84" t="s">
        <v>89</v>
      </c>
    </row>
    <row r="65" spans="1:15" x14ac:dyDescent="0.25">
      <c r="A65" s="88" t="s">
        <v>3</v>
      </c>
      <c r="B65" s="12" t="s">
        <v>7</v>
      </c>
      <c r="C65" s="88" t="s">
        <v>5</v>
      </c>
      <c r="D65" s="88" t="s">
        <v>6</v>
      </c>
      <c r="E65" s="89" t="s">
        <v>23</v>
      </c>
      <c r="F65" s="89" t="s">
        <v>25</v>
      </c>
      <c r="G65" s="90" t="s">
        <v>26</v>
      </c>
      <c r="H65" s="17" t="s">
        <v>82</v>
      </c>
      <c r="J65" s="85" t="s">
        <v>3</v>
      </c>
      <c r="K65" s="85" t="s">
        <v>4</v>
      </c>
      <c r="L65" s="85" t="s">
        <v>5</v>
      </c>
      <c r="M65" s="85" t="s">
        <v>10</v>
      </c>
      <c r="N65" s="85" t="s">
        <v>1</v>
      </c>
      <c r="O65" s="8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91">
        <v>10</v>
      </c>
      <c r="F66" s="9">
        <v>99533.849000000002</v>
      </c>
      <c r="G66" s="9">
        <v>27.648299999999992</v>
      </c>
      <c r="H66" s="85">
        <v>266.4973</v>
      </c>
      <c r="J66" s="66">
        <v>44599</v>
      </c>
      <c r="K66" s="66">
        <v>44599</v>
      </c>
      <c r="L66" s="85" t="s">
        <v>12</v>
      </c>
      <c r="M66" s="85" t="s">
        <v>64</v>
      </c>
      <c r="N66" s="85">
        <v>27.648299999999999</v>
      </c>
      <c r="O66" s="85" t="s">
        <v>65</v>
      </c>
    </row>
    <row r="67" spans="1:15" x14ac:dyDescent="0.25">
      <c r="J67" s="85" t="s">
        <v>67</v>
      </c>
      <c r="K67" s="85" t="s">
        <v>67</v>
      </c>
      <c r="L67" s="85" t="s">
        <v>67</v>
      </c>
      <c r="M67" s="85" t="s">
        <v>67</v>
      </c>
      <c r="N67" s="85" t="s">
        <v>67</v>
      </c>
      <c r="O67" s="85" t="s">
        <v>67</v>
      </c>
    </row>
    <row r="68" spans="1:15" ht="15.75" thickBot="1" x14ac:dyDescent="0.3">
      <c r="J68" s="85" t="s">
        <v>67</v>
      </c>
      <c r="K68" s="85" t="s">
        <v>67</v>
      </c>
      <c r="L68" s="85" t="s">
        <v>67</v>
      </c>
      <c r="M68" s="85" t="s">
        <v>67</v>
      </c>
      <c r="N68" s="85" t="s">
        <v>67</v>
      </c>
      <c r="O68" s="85" t="s">
        <v>67</v>
      </c>
    </row>
    <row r="69" spans="1:15" ht="15.75" thickBot="1" x14ac:dyDescent="0.3">
      <c r="A69" s="99" t="s">
        <v>96</v>
      </c>
      <c r="B69" s="100"/>
      <c r="C69" s="100"/>
      <c r="D69" s="100"/>
      <c r="E69" s="100"/>
      <c r="F69" s="100"/>
      <c r="G69" s="101"/>
    </row>
    <row r="71" spans="1:15" x14ac:dyDescent="0.25">
      <c r="A71" s="84" t="s">
        <v>89</v>
      </c>
    </row>
    <row r="72" spans="1:15" x14ac:dyDescent="0.25">
      <c r="A72" s="88" t="s">
        <v>3</v>
      </c>
      <c r="B72" s="12" t="s">
        <v>7</v>
      </c>
      <c r="C72" s="88" t="s">
        <v>5</v>
      </c>
      <c r="D72" s="88" t="s">
        <v>6</v>
      </c>
      <c r="E72" s="89" t="s">
        <v>23</v>
      </c>
      <c r="F72" s="89" t="s">
        <v>25</v>
      </c>
      <c r="G72" s="90" t="s">
        <v>26</v>
      </c>
      <c r="H72" s="17" t="s">
        <v>82</v>
      </c>
      <c r="J72" s="85" t="s">
        <v>3</v>
      </c>
      <c r="K72" s="85" t="s">
        <v>4</v>
      </c>
      <c r="L72" s="85" t="s">
        <v>5</v>
      </c>
      <c r="M72" s="85" t="s">
        <v>10</v>
      </c>
      <c r="N72" s="85" t="s">
        <v>1</v>
      </c>
      <c r="O72" s="85" t="s">
        <v>6</v>
      </c>
    </row>
    <row r="73" spans="1:15" x14ac:dyDescent="0.25">
      <c r="A73" s="66">
        <v>44600</v>
      </c>
      <c r="B73" s="66">
        <v>44600</v>
      </c>
      <c r="C73" s="8" t="s">
        <v>12</v>
      </c>
      <c r="D73" s="8">
        <v>1</v>
      </c>
      <c r="E73" s="91">
        <v>10</v>
      </c>
      <c r="F73" s="9">
        <v>99533.849000000002</v>
      </c>
      <c r="G73" s="9">
        <v>55.296599999999991</v>
      </c>
      <c r="H73" s="85">
        <v>294.1456</v>
      </c>
      <c r="J73" s="66">
        <v>44600</v>
      </c>
      <c r="K73" s="66">
        <v>44600</v>
      </c>
      <c r="L73" s="85" t="s">
        <v>12</v>
      </c>
      <c r="M73" s="85" t="s">
        <v>64</v>
      </c>
      <c r="N73" s="85">
        <v>27.648299999999999</v>
      </c>
      <c r="O73" s="85" t="s">
        <v>65</v>
      </c>
    </row>
    <row r="75" spans="1:15" ht="15.75" thickBot="1" x14ac:dyDescent="0.3"/>
    <row r="76" spans="1:15" ht="15.75" thickBot="1" x14ac:dyDescent="0.3">
      <c r="A76" s="99" t="s">
        <v>97</v>
      </c>
      <c r="B76" s="100"/>
      <c r="C76" s="100"/>
      <c r="D76" s="100"/>
      <c r="E76" s="100"/>
      <c r="F76" s="100"/>
      <c r="G76" s="101"/>
    </row>
    <row r="78" spans="1:15" x14ac:dyDescent="0.25">
      <c r="A78" s="84" t="s">
        <v>89</v>
      </c>
    </row>
    <row r="79" spans="1:15" x14ac:dyDescent="0.25">
      <c r="A79" s="88" t="s">
        <v>3</v>
      </c>
      <c r="B79" s="12" t="s">
        <v>7</v>
      </c>
      <c r="C79" s="88" t="s">
        <v>5</v>
      </c>
      <c r="D79" s="88" t="s">
        <v>6</v>
      </c>
      <c r="E79" s="89" t="s">
        <v>23</v>
      </c>
      <c r="F79" s="89" t="s">
        <v>25</v>
      </c>
      <c r="G79" s="90" t="s">
        <v>26</v>
      </c>
      <c r="H79" s="17" t="s">
        <v>82</v>
      </c>
      <c r="J79" s="85" t="s">
        <v>3</v>
      </c>
      <c r="K79" s="85" t="s">
        <v>4</v>
      </c>
      <c r="L79" s="85" t="s">
        <v>5</v>
      </c>
      <c r="M79" s="85" t="s">
        <v>10</v>
      </c>
      <c r="N79" s="85" t="s">
        <v>1</v>
      </c>
      <c r="O79" s="85" t="s">
        <v>6</v>
      </c>
    </row>
    <row r="80" spans="1:15" x14ac:dyDescent="0.25">
      <c r="A80" s="66">
        <v>44601</v>
      </c>
      <c r="B80" s="66">
        <v>44601</v>
      </c>
      <c r="C80" s="8" t="s">
        <v>12</v>
      </c>
      <c r="D80" s="8">
        <v>1</v>
      </c>
      <c r="E80" s="91">
        <v>10</v>
      </c>
      <c r="F80" s="9">
        <v>99533.849000000002</v>
      </c>
      <c r="G80" s="9">
        <v>82.94489999999999</v>
      </c>
      <c r="H80" s="85">
        <v>321.79390000000001</v>
      </c>
      <c r="J80" s="66">
        <v>45697</v>
      </c>
      <c r="K80" s="66">
        <v>45697</v>
      </c>
      <c r="L80" s="85" t="s">
        <v>12</v>
      </c>
      <c r="M80" s="85" t="s">
        <v>64</v>
      </c>
      <c r="N80" s="85">
        <v>27.648299999999999</v>
      </c>
      <c r="O80" s="85" t="s">
        <v>65</v>
      </c>
    </row>
    <row r="81" spans="1:15" x14ac:dyDescent="0.25">
      <c r="J81" s="66">
        <v>45697</v>
      </c>
      <c r="K81" s="66">
        <v>45697</v>
      </c>
      <c r="L81" s="85" t="s">
        <v>12</v>
      </c>
      <c r="M81" s="85" t="s">
        <v>66</v>
      </c>
      <c r="N81" s="85">
        <v>3.3300000000000003E-2</v>
      </c>
      <c r="O81" s="85" t="s">
        <v>65</v>
      </c>
    </row>
    <row r="82" spans="1:15" x14ac:dyDescent="0.25">
      <c r="A82" s="84" t="s">
        <v>60</v>
      </c>
      <c r="J82" s="66">
        <v>45697</v>
      </c>
      <c r="K82" s="66">
        <v>45697</v>
      </c>
      <c r="L82" s="85" t="s">
        <v>12</v>
      </c>
      <c r="M82" s="85" t="s">
        <v>68</v>
      </c>
      <c r="N82" s="85">
        <v>30.008299999999998</v>
      </c>
      <c r="O82" s="85" t="s">
        <v>65</v>
      </c>
    </row>
    <row r="83" spans="1:15" x14ac:dyDescent="0.25">
      <c r="A83" s="14" t="s">
        <v>3</v>
      </c>
      <c r="B83" s="84" t="s">
        <v>7</v>
      </c>
      <c r="C83" s="14" t="s">
        <v>5</v>
      </c>
      <c r="D83" s="14" t="s">
        <v>6</v>
      </c>
      <c r="E83" s="16" t="s">
        <v>24</v>
      </c>
      <c r="J83" s="85" t="s">
        <v>67</v>
      </c>
      <c r="K83" s="85" t="s">
        <v>67</v>
      </c>
      <c r="L83" s="85" t="s">
        <v>67</v>
      </c>
      <c r="M83" s="85" t="s">
        <v>67</v>
      </c>
      <c r="N83" s="85" t="s">
        <v>67</v>
      </c>
      <c r="O83" s="85" t="s">
        <v>67</v>
      </c>
    </row>
    <row r="84" spans="1:15" x14ac:dyDescent="0.25">
      <c r="A84" s="66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84" t="s">
        <v>61</v>
      </c>
    </row>
    <row r="87" spans="1:15" x14ac:dyDescent="0.25">
      <c r="A87" s="14" t="s">
        <v>3</v>
      </c>
      <c r="B87" s="84" t="s">
        <v>7</v>
      </c>
      <c r="C87" s="14" t="s">
        <v>5</v>
      </c>
      <c r="D87" s="14" t="s">
        <v>6</v>
      </c>
      <c r="E87" s="16" t="s">
        <v>24</v>
      </c>
      <c r="F87" s="86" t="s">
        <v>99</v>
      </c>
      <c r="G87" s="16" t="s">
        <v>100</v>
      </c>
    </row>
    <row r="88" spans="1:15" x14ac:dyDescent="0.25">
      <c r="A88" s="66">
        <v>44601</v>
      </c>
      <c r="B88" s="27">
        <v>44595</v>
      </c>
      <c r="C88" s="8" t="s">
        <v>12</v>
      </c>
      <c r="D88" s="8">
        <v>1</v>
      </c>
      <c r="E88" s="9">
        <v>50</v>
      </c>
      <c r="F88" s="9"/>
      <c r="G88" s="9">
        <v>27.777777777777779</v>
      </c>
    </row>
    <row r="89" spans="1:15" x14ac:dyDescent="0.25">
      <c r="A89" s="66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-143.88888888888891</v>
      </c>
      <c r="G89" s="9">
        <v>27.73780864197531</v>
      </c>
    </row>
    <row r="90" spans="1:15" x14ac:dyDescent="0.25">
      <c r="A90" s="66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-322.26219135802467</v>
      </c>
      <c r="G90" s="9">
        <v>27.64829136659808</v>
      </c>
    </row>
    <row r="91" spans="1:15" x14ac:dyDescent="0.25">
      <c r="A91" s="66">
        <v>44601</v>
      </c>
      <c r="B91" s="27">
        <v>44601</v>
      </c>
      <c r="C91" s="8" t="s">
        <v>12</v>
      </c>
      <c r="D91" s="8">
        <v>1</v>
      </c>
      <c r="E91" s="9"/>
      <c r="F91" s="9"/>
      <c r="G91" s="9">
        <v>27.64829136659808</v>
      </c>
    </row>
    <row r="93" spans="1:15" ht="15.75" thickBot="1" x14ac:dyDescent="0.3"/>
    <row r="94" spans="1:15" ht="15.75" thickBot="1" x14ac:dyDescent="0.3">
      <c r="A94" s="99" t="s">
        <v>98</v>
      </c>
      <c r="B94" s="100"/>
      <c r="C94" s="100"/>
      <c r="D94" s="100"/>
      <c r="E94" s="100"/>
      <c r="F94" s="100"/>
      <c r="G94" s="101"/>
    </row>
    <row r="96" spans="1:15" x14ac:dyDescent="0.25">
      <c r="A96" s="84" t="s">
        <v>89</v>
      </c>
    </row>
    <row r="97" spans="1:8" x14ac:dyDescent="0.25">
      <c r="A97" s="88" t="s">
        <v>3</v>
      </c>
      <c r="B97" s="12" t="s">
        <v>7</v>
      </c>
      <c r="C97" s="88" t="s">
        <v>5</v>
      </c>
      <c r="D97" s="88" t="s">
        <v>6</v>
      </c>
      <c r="E97" s="89" t="s">
        <v>23</v>
      </c>
      <c r="F97" s="89" t="s">
        <v>25</v>
      </c>
      <c r="G97" s="90" t="s">
        <v>26</v>
      </c>
      <c r="H97" s="17" t="s">
        <v>82</v>
      </c>
    </row>
    <row r="98" spans="1:8" x14ac:dyDescent="0.25">
      <c r="A98" s="66">
        <v>44601</v>
      </c>
      <c r="B98" s="66">
        <v>44601</v>
      </c>
      <c r="C98" s="8" t="s">
        <v>12</v>
      </c>
      <c r="D98" s="8">
        <v>1</v>
      </c>
      <c r="E98" s="91">
        <v>10</v>
      </c>
      <c r="F98" s="9">
        <v>99563.857300000003</v>
      </c>
      <c r="G98" s="9">
        <v>110.62649999999999</v>
      </c>
      <c r="H98" s="85">
        <v>349.44220000000001</v>
      </c>
    </row>
  </sheetData>
  <mergeCells count="11">
    <mergeCell ref="A51:G51"/>
    <mergeCell ref="A62:G62"/>
    <mergeCell ref="A69:G69"/>
    <mergeCell ref="A76:G76"/>
    <mergeCell ref="A94:G94"/>
    <mergeCell ref="A40:G40"/>
    <mergeCell ref="A1:G1"/>
    <mergeCell ref="A8:G8"/>
    <mergeCell ref="A15:G15"/>
    <mergeCell ref="A22:G22"/>
    <mergeCell ref="A33:G3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P45"/>
  <sheetViews>
    <sheetView topLeftCell="A27" workbookViewId="0">
      <selection activeCell="F42" sqref="F4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.75" thickBot="1" x14ac:dyDescent="0.3">
      <c r="A1" s="102" t="s">
        <v>29</v>
      </c>
      <c r="B1" s="103"/>
      <c r="C1" s="103"/>
      <c r="D1" s="103"/>
      <c r="E1" s="103"/>
      <c r="F1" s="103"/>
      <c r="G1" s="103"/>
      <c r="H1" s="103"/>
      <c r="I1" s="103"/>
      <c r="J1" s="103"/>
      <c r="K1" s="104"/>
    </row>
    <row r="2" spans="1:16" x14ac:dyDescent="0.25">
      <c r="A2" s="28" t="s">
        <v>14</v>
      </c>
      <c r="B2" s="29">
        <f>EOD!E2/100</f>
        <v>0</v>
      </c>
    </row>
    <row r="3" spans="1:16" s="11" customFormat="1" x14ac:dyDescent="0.25">
      <c r="A3" s="12" t="s">
        <v>5</v>
      </c>
      <c r="B3" s="30">
        <f>EOD!C2</f>
        <v>0</v>
      </c>
    </row>
    <row r="4" spans="1:16" s="11" customFormat="1" x14ac:dyDescent="0.25">
      <c r="A4" s="12" t="s">
        <v>3</v>
      </c>
      <c r="B4" s="31" t="str">
        <f>IF(EOD!A2="","",EOD!A2)</f>
        <v/>
      </c>
      <c r="D4" s="66"/>
    </row>
    <row r="5" spans="1:16" s="74" customFormat="1" x14ac:dyDescent="0.25">
      <c r="A5" s="12" t="s">
        <v>58</v>
      </c>
      <c r="B5" s="31" t="str">
        <f>IF(OR(MIN(TRANX!$B$2:$B$13)=B4,MIN(TRANX!$B$2:$B$13)=0),"",MIN(TRANX!$B$2:$B$13))</f>
        <v/>
      </c>
      <c r="D5" s="66"/>
    </row>
    <row r="6" spans="1:16" s="11" customFormat="1" x14ac:dyDescent="0.25">
      <c r="A6" s="12" t="s">
        <v>84</v>
      </c>
      <c r="B6" s="68" t="str">
        <f>IF(B5&lt;&gt;"",C27-SUM(REPLAY!$F$2:$F$13),"")</f>
        <v/>
      </c>
      <c r="C6" s="67"/>
      <c r="D6" s="66"/>
    </row>
    <row r="7" spans="1:16" s="83" customFormat="1" x14ac:dyDescent="0.25">
      <c r="A7" s="12" t="s">
        <v>85</v>
      </c>
      <c r="B7" s="68" t="str">
        <f>IF(B5&lt;&gt;"",EOD!$H$2-CALCULATION!D22,"")</f>
        <v/>
      </c>
      <c r="C7" s="67"/>
      <c r="D7" s="66"/>
    </row>
    <row r="8" spans="1:16" x14ac:dyDescent="0.25">
      <c r="D8" s="66"/>
    </row>
    <row r="9" spans="1:16" ht="30" x14ac:dyDescent="0.25">
      <c r="A9" s="13" t="s">
        <v>27</v>
      </c>
      <c r="B9" s="13" t="s">
        <v>28</v>
      </c>
      <c r="C9" s="13" t="s">
        <v>16</v>
      </c>
      <c r="D9" s="13" t="s">
        <v>83</v>
      </c>
      <c r="E9" s="13" t="s">
        <v>17</v>
      </c>
      <c r="F9" s="13" t="s">
        <v>18</v>
      </c>
      <c r="G9" s="13" t="s">
        <v>16</v>
      </c>
      <c r="H9" s="13" t="s">
        <v>15</v>
      </c>
      <c r="I9" s="13" t="s">
        <v>19</v>
      </c>
      <c r="J9" s="13" t="s">
        <v>20</v>
      </c>
      <c r="K9" s="13" t="s">
        <v>22</v>
      </c>
      <c r="L9" s="13" t="s">
        <v>2</v>
      </c>
      <c r="M9" s="13" t="s">
        <v>21</v>
      </c>
      <c r="N9" s="13" t="s">
        <v>104</v>
      </c>
    </row>
    <row r="10" spans="1:16" x14ac:dyDescent="0.25">
      <c r="A10" s="8">
        <v>1</v>
      </c>
      <c r="B10" s="33" t="str">
        <f>IFERROR(IF(AND(A10=$B$6,B9&lt;&gt;$B$4),$B$4,IF(MATCH(TRANX!B2,TRANX!B$2:'TRANX'!B$100,0)=ROW(TRANX!B2)-ROW(TRANX!B$2)+1,TRANX!B2,"")),"")</f>
        <v/>
      </c>
      <c r="C10" s="87" t="str">
        <f t="shared" ref="C10:C21" si="0">IF(B10="","",IF(B10=$B$4,0,B11-B10))</f>
        <v/>
      </c>
      <c r="D10" s="87" t="str">
        <f>IF(B10="","",VLOOKUP(B10,REPLAY!$B$2:$G$13,6,FALSE)*C10)</f>
        <v/>
      </c>
      <c r="E10" s="34" t="str">
        <f>IFERROR(IF(B10="","",IF(B5="",VLOOKUP(B10,EOD!$B$2:$G$5,5,FALSE),$B$6)),"")</f>
        <v/>
      </c>
      <c r="F10" s="34" t="str">
        <f>IFERROR(IF(B10="","",IF(B5="",VLOOKUP(B10,EOD!$B$2:$G$5,6,FALSE),$B$7)),"")</f>
        <v/>
      </c>
      <c r="G10" s="34" t="str">
        <f t="shared" ref="G10:G21" si="1">IF(B10="","",IF(B11="",0,(B11-B10)-1))</f>
        <v/>
      </c>
      <c r="H10" s="34" t="str">
        <f>IF(B10="","",IF($B$5="",SUMIF(TRANX!$B$2:$E$13,CALCULATION!B10,TRANX!$E$2:$E$13),SUMIF(REPLAY!$B$2:$E$10,CALCULATION!B10,REPLAY!$E$2:$E$10)))</f>
        <v/>
      </c>
      <c r="I10" s="34" t="str">
        <f t="shared" ref="I10:I21" si="2">IF(B10="","",IF(H10&lt;F10,H10,F10))</f>
        <v/>
      </c>
      <c r="J10" s="35" t="str">
        <f t="shared" ref="J10:J21" si="3">IF(B10="","",H10-I10)</f>
        <v/>
      </c>
      <c r="K10" s="36" t="str">
        <f t="shared" ref="K10:K21" si="4">IFERROR(IF(B10="","",E10-J10),0)</f>
        <v/>
      </c>
      <c r="L10" s="37" t="str">
        <f t="shared" ref="L10:L21" si="5">IFERROR(IF(B10="","",(K10*$B$2)/360),0)</f>
        <v/>
      </c>
      <c r="M10" s="35" t="str">
        <f t="shared" ref="M10:M21" si="6">IFERROR(IF(B10="","",F10-I10+L10),0)</f>
        <v/>
      </c>
      <c r="N10" s="93">
        <f>IF(I10&lt;&gt;"",ROW(),0)</f>
        <v>0</v>
      </c>
      <c r="O10" s="69"/>
      <c r="P10" s="66"/>
    </row>
    <row r="11" spans="1:16" x14ac:dyDescent="0.25">
      <c r="A11" s="8">
        <v>2</v>
      </c>
      <c r="B11" s="33" t="str">
        <f>IFERROR(IF(AND(A11=$B$6,B10&lt;&gt;$B$4),$B$4,IF(MATCH(REPLAY!B3,REPLAY!B$2:'REPLAY'!B$97,0)=ROW(REPLAY!B3)-ROW(REPLAY!B$2)+1,REPLAY!B3,"")),"")</f>
        <v/>
      </c>
      <c r="C11" s="87" t="str">
        <f t="shared" si="0"/>
        <v/>
      </c>
      <c r="D11" s="87" t="str">
        <f>IF(B11="","",VLOOKUP(B11,REPLAY!$B$2:$G$13,6,FALSE)*C11)</f>
        <v/>
      </c>
      <c r="E11" s="34" t="str">
        <f t="shared" ref="E11:E21" si="7">IF(B11="","",K10)</f>
        <v/>
      </c>
      <c r="F11" s="37" t="str">
        <f t="shared" ref="F11:F21" si="8">IF(B11="","",M10+(L10*G10))</f>
        <v/>
      </c>
      <c r="G11" s="34" t="str">
        <f t="shared" si="1"/>
        <v/>
      </c>
      <c r="H11" s="34" t="str">
        <f>IF(B11="","",IF($B$5="",SUMIF(TRANX!$B$2:$E$13,CALCULATION!B11,TRANX!$E$2:$E$13),SUMIF(REPLAY!$B$2:$E$10,CALCULATION!B11,REPLAY!$E$2:$E$10)))</f>
        <v/>
      </c>
      <c r="I11" s="34" t="str">
        <f t="shared" si="2"/>
        <v/>
      </c>
      <c r="J11" s="35" t="str">
        <f t="shared" si="3"/>
        <v/>
      </c>
      <c r="K11" s="36" t="str">
        <f t="shared" si="4"/>
        <v/>
      </c>
      <c r="L11" s="37" t="str">
        <f t="shared" si="5"/>
        <v/>
      </c>
      <c r="M11" s="35" t="str">
        <f t="shared" si="6"/>
        <v/>
      </c>
      <c r="N11" s="93">
        <f t="shared" ref="N11:N21" si="9">IF(I11&lt;&gt;"",ROW(),0)</f>
        <v>0</v>
      </c>
      <c r="O11" s="69"/>
      <c r="P11" s="66"/>
    </row>
    <row r="12" spans="1:16" x14ac:dyDescent="0.25">
      <c r="A12" s="8">
        <v>3</v>
      </c>
      <c r="B12" s="33" t="str">
        <f>IFERROR(IF(AND(A12=$B$6,B11&lt;&gt;$B$4),$B$4,IF(MATCH(REPLAY!B4,REPLAY!B$2:'REPLAY'!B$97,0)=ROW(REPLAY!B4)-ROW(REPLAY!B$2)+1,REPLAY!B4,"")),"")</f>
        <v/>
      </c>
      <c r="C12" s="87" t="str">
        <f t="shared" si="0"/>
        <v/>
      </c>
      <c r="D12" s="87" t="str">
        <f>IF(B12="","",VLOOKUP(B12,REPLAY!$B$2:$G$13,6,FALSE)*C12)</f>
        <v/>
      </c>
      <c r="E12" s="34" t="str">
        <f t="shared" si="7"/>
        <v/>
      </c>
      <c r="F12" s="37" t="str">
        <f t="shared" si="8"/>
        <v/>
      </c>
      <c r="G12" s="34" t="str">
        <f t="shared" si="1"/>
        <v/>
      </c>
      <c r="H12" s="34" t="str">
        <f>IF(B12="","",IF($B$5="",SUMIF(TRANX!$B$2:$E$13,CALCULATION!B12,TRANX!$E$2:$E$13),SUMIF(REPLAY!$B$2:$E$10,CALCULATION!B12,REPLAY!$E$2:$E$10)))</f>
        <v/>
      </c>
      <c r="I12" s="34" t="str">
        <f t="shared" si="2"/>
        <v/>
      </c>
      <c r="J12" s="35" t="str">
        <f t="shared" si="3"/>
        <v/>
      </c>
      <c r="K12" s="36" t="str">
        <f t="shared" si="4"/>
        <v/>
      </c>
      <c r="L12" s="37" t="str">
        <f t="shared" si="5"/>
        <v/>
      </c>
      <c r="M12" s="35" t="str">
        <f t="shared" si="6"/>
        <v/>
      </c>
      <c r="N12" s="93">
        <f t="shared" si="9"/>
        <v>0</v>
      </c>
      <c r="O12" s="69"/>
      <c r="P12" s="66"/>
    </row>
    <row r="13" spans="1:16" x14ac:dyDescent="0.25">
      <c r="A13" s="8">
        <v>4</v>
      </c>
      <c r="B13" s="33" t="str">
        <f>IFERROR(IF(AND(A13=$B$6,B12&lt;&gt;$B$4),$B$4,IF(MATCH(REPLAY!B5,REPLAY!B$2:'REPLAY'!B$97,0)=ROW(REPLAY!B5)-ROW(REPLAY!B$2)+1,REPLAY!B5,"")),"")</f>
        <v/>
      </c>
      <c r="C13" s="87" t="str">
        <f t="shared" si="0"/>
        <v/>
      </c>
      <c r="D13" s="87" t="str">
        <f>IF(B13="","",VLOOKUP(B13,REPLAY!$B$2:$G$13,6,FALSE)*C13)</f>
        <v/>
      </c>
      <c r="E13" s="34" t="str">
        <f t="shared" si="7"/>
        <v/>
      </c>
      <c r="F13" s="37" t="str">
        <f t="shared" si="8"/>
        <v/>
      </c>
      <c r="G13" s="34" t="str">
        <f t="shared" si="1"/>
        <v/>
      </c>
      <c r="H13" s="34" t="str">
        <f>IF(B13="","",IF($B$5="",SUMIF(TRANX!$B$2:$E$13,CALCULATION!B13,TRANX!$E$2:$E$13),SUMIF(REPLAY!$B$2:$E$10,CALCULATION!B13,REPLAY!$E$2:$E$10)))</f>
        <v/>
      </c>
      <c r="I13" s="34" t="str">
        <f t="shared" si="2"/>
        <v/>
      </c>
      <c r="J13" s="35" t="str">
        <f t="shared" si="3"/>
        <v/>
      </c>
      <c r="K13" s="36" t="str">
        <f t="shared" si="4"/>
        <v/>
      </c>
      <c r="L13" s="37" t="str">
        <f t="shared" si="5"/>
        <v/>
      </c>
      <c r="M13" s="35" t="str">
        <f t="shared" si="6"/>
        <v/>
      </c>
      <c r="N13" s="93">
        <f t="shared" si="9"/>
        <v>0</v>
      </c>
      <c r="O13" s="69"/>
      <c r="P13" s="66"/>
    </row>
    <row r="14" spans="1:16" x14ac:dyDescent="0.25">
      <c r="A14" s="8">
        <v>5</v>
      </c>
      <c r="B14" s="33" t="str">
        <f>IFERROR(IF(AND(A14=$B$6,B13&lt;&gt;$B$4),$B$4,IF(MATCH(REPLAY!B6,REPLAY!B$2:'REPLAY'!B$97,0)=ROW(REPLAY!B6)-ROW(REPLAY!B$2)+1,REPLAY!B6,"")),"")</f>
        <v/>
      </c>
      <c r="C14" s="87" t="str">
        <f t="shared" si="0"/>
        <v/>
      </c>
      <c r="D14" s="87" t="str">
        <f>IF(B14="","",VLOOKUP(B14,REPLAY!$B$2:$G$13,6,FALSE)*C14)</f>
        <v/>
      </c>
      <c r="E14" s="38" t="str">
        <f t="shared" si="7"/>
        <v/>
      </c>
      <c r="F14" s="39" t="str">
        <f t="shared" si="8"/>
        <v/>
      </c>
      <c r="G14" s="34" t="str">
        <f t="shared" si="1"/>
        <v/>
      </c>
      <c r="H14" s="34" t="str">
        <f>IF(B14="","",IF($B$5="",SUMIF(TRANX!$B$2:$E$13,CALCULATION!B14,TRANX!$E$2:$E$13),SUMIF(REPLAY!$B$2:$E$10,CALCULATION!B14,REPLAY!$E$2:$E$10)))</f>
        <v/>
      </c>
      <c r="I14" s="38" t="str">
        <f t="shared" si="2"/>
        <v/>
      </c>
      <c r="J14" s="40" t="str">
        <f t="shared" si="3"/>
        <v/>
      </c>
      <c r="K14" s="36" t="str">
        <f t="shared" si="4"/>
        <v/>
      </c>
      <c r="L14" s="37" t="str">
        <f t="shared" si="5"/>
        <v/>
      </c>
      <c r="M14" s="35" t="str">
        <f t="shared" si="6"/>
        <v/>
      </c>
      <c r="N14" s="93">
        <f t="shared" si="9"/>
        <v>0</v>
      </c>
      <c r="O14" s="67"/>
      <c r="P14" s="66"/>
    </row>
    <row r="15" spans="1:16" x14ac:dyDescent="0.25">
      <c r="A15" s="8">
        <v>6</v>
      </c>
      <c r="B15" s="33" t="str">
        <f>IFERROR(IF(AND(A15=$B$6,B14&lt;&gt;$B$4),$B$4,IF(MATCH(REPLAY!B7,REPLAY!B$2:'REPLAY'!B$97,0)=ROW(REPLAY!B7)-ROW(REPLAY!B$2)+1,REPLAY!B7,"")),"")</f>
        <v/>
      </c>
      <c r="C15" s="87" t="str">
        <f t="shared" si="0"/>
        <v/>
      </c>
      <c r="D15" s="87" t="str">
        <f>IF(B15="","",VLOOKUP(B15,REPLAY!$B$2:$G$13,6,FALSE)*C15)</f>
        <v/>
      </c>
      <c r="E15" s="38" t="str">
        <f t="shared" si="7"/>
        <v/>
      </c>
      <c r="F15" s="39" t="str">
        <f t="shared" si="8"/>
        <v/>
      </c>
      <c r="G15" s="34" t="str">
        <f t="shared" si="1"/>
        <v/>
      </c>
      <c r="H15" s="34" t="str">
        <f>IF(B15="","",IF($B$5="",SUMIF(TRANX!$B$2:$E$13,CALCULATION!B15,TRANX!$E$2:$E$13),SUMIF(REPLAY!$B$2:$E$10,CALCULATION!B15,REPLAY!$E$2:$E$10)))</f>
        <v/>
      </c>
      <c r="I15" s="38" t="str">
        <f t="shared" si="2"/>
        <v/>
      </c>
      <c r="J15" s="40" t="str">
        <f t="shared" si="3"/>
        <v/>
      </c>
      <c r="K15" s="36" t="str">
        <f t="shared" si="4"/>
        <v/>
      </c>
      <c r="L15" s="37" t="str">
        <f t="shared" si="5"/>
        <v/>
      </c>
      <c r="M15" s="35" t="str">
        <f t="shared" si="6"/>
        <v/>
      </c>
      <c r="N15" s="93">
        <f t="shared" si="9"/>
        <v>0</v>
      </c>
      <c r="O15" s="66"/>
      <c r="P15" s="66"/>
    </row>
    <row r="16" spans="1:16" x14ac:dyDescent="0.25">
      <c r="A16" s="8">
        <v>7</v>
      </c>
      <c r="B16" s="33" t="str">
        <f>IFERROR(IF(AND(A16=$B$6,B15&lt;&gt;$B$4),$B$4,IF(MATCH(REPLAY!B8,REPLAY!B$2:'REPLAY'!B$97,0)=ROW(REPLAY!B8)-ROW(REPLAY!B$2)+1,REPLAY!B8,"")),"")</f>
        <v/>
      </c>
      <c r="C16" s="87" t="str">
        <f t="shared" si="0"/>
        <v/>
      </c>
      <c r="D16" s="87" t="str">
        <f>IF(B16="","",VLOOKUP(B16,REPLAY!$B$2:$G$13,6,FALSE)*C16)</f>
        <v/>
      </c>
      <c r="E16" s="38" t="str">
        <f t="shared" si="7"/>
        <v/>
      </c>
      <c r="F16" s="39" t="str">
        <f t="shared" si="8"/>
        <v/>
      </c>
      <c r="G16" s="34" t="str">
        <f t="shared" si="1"/>
        <v/>
      </c>
      <c r="H16" s="34" t="str">
        <f>IF(B16="","",IF($B$5="",SUMIF(TRANX!$B$2:$E$13,CALCULATION!B16,TRANX!$E$2:$E$13),SUMIF(REPLAY!$B$2:$E$10,CALCULATION!B16,REPLAY!$E$2:$E$10)))</f>
        <v/>
      </c>
      <c r="I16" s="38" t="str">
        <f t="shared" si="2"/>
        <v/>
      </c>
      <c r="J16" s="40" t="str">
        <f t="shared" si="3"/>
        <v/>
      </c>
      <c r="K16" s="36" t="str">
        <f t="shared" si="4"/>
        <v/>
      </c>
      <c r="L16" s="37" t="str">
        <f t="shared" si="5"/>
        <v/>
      </c>
      <c r="M16" s="35" t="str">
        <f t="shared" si="6"/>
        <v/>
      </c>
      <c r="N16" s="93">
        <f t="shared" si="9"/>
        <v>0</v>
      </c>
      <c r="O16" s="66"/>
      <c r="P16" s="66"/>
    </row>
    <row r="17" spans="1:16" x14ac:dyDescent="0.25">
      <c r="A17" s="8">
        <v>8</v>
      </c>
      <c r="B17" s="33" t="str">
        <f>IFERROR(IF(AND(A17=$B$6,B16&lt;&gt;$B$4),$B$4,IF(MATCH(REPLAY!B9,REPLAY!B$2:'REPLAY'!B$97,0)=ROW(REPLAY!B9)-ROW(REPLAY!B$2)+1,REPLAY!B9,"")),"")</f>
        <v/>
      </c>
      <c r="C17" s="87" t="str">
        <f t="shared" si="0"/>
        <v/>
      </c>
      <c r="D17" s="87" t="str">
        <f>IF(B17="","",VLOOKUP(B17,REPLAY!$B$2:$G$13,6,FALSE)*C17)</f>
        <v/>
      </c>
      <c r="E17" s="38" t="str">
        <f t="shared" si="7"/>
        <v/>
      </c>
      <c r="F17" s="39" t="str">
        <f t="shared" si="8"/>
        <v/>
      </c>
      <c r="G17" s="34" t="str">
        <f t="shared" si="1"/>
        <v/>
      </c>
      <c r="H17" s="34" t="str">
        <f>IF(B17="","",IF($B$5="",SUMIF(TRANX!$B$2:$E$13,CALCULATION!B17,TRANX!$E$2:$E$13),SUMIF(REPLAY!$B$2:$E$10,CALCULATION!B17,REPLAY!$E$2:$E$10)))</f>
        <v/>
      </c>
      <c r="I17" s="38" t="str">
        <f t="shared" si="2"/>
        <v/>
      </c>
      <c r="J17" s="40" t="str">
        <f t="shared" si="3"/>
        <v/>
      </c>
      <c r="K17" s="36" t="str">
        <f t="shared" si="4"/>
        <v/>
      </c>
      <c r="L17" s="37" t="str">
        <f t="shared" si="5"/>
        <v/>
      </c>
      <c r="M17" s="35" t="str">
        <f t="shared" si="6"/>
        <v/>
      </c>
      <c r="N17" s="93">
        <f t="shared" si="9"/>
        <v>0</v>
      </c>
      <c r="O17" s="66" t="str">
        <f>IFERROR(IF(AND(A17=$B$6,B16&lt;&gt;$B$4),$B$4,IF(MATCH(TRANX!B9,TRANX!B$2:'TRANX'!B$100,0)=ROW(TRANX!B9)-ROW(TRANX!B$2)+1,TRANX!B9,"")),"")</f>
        <v/>
      </c>
      <c r="P17" s="66" t="str">
        <f>IFERROR(SMALL($O$10:$O$13,A17),"")</f>
        <v/>
      </c>
    </row>
    <row r="18" spans="1:16" x14ac:dyDescent="0.25">
      <c r="A18" s="8">
        <v>9</v>
      </c>
      <c r="B18" s="33" t="str">
        <f>IFERROR(IF(AND(A18=$B$6,B17&lt;&gt;$B$4),$B$4,IF(MATCH(REPLAY!B10,REPLAY!B$2:'REPLAY'!B$97,0)=ROW(REPLAY!B10)-ROW(REPLAY!B$2)+1,REPLAY!B10,"")),"")</f>
        <v/>
      </c>
      <c r="C18" s="87" t="str">
        <f t="shared" si="0"/>
        <v/>
      </c>
      <c r="D18" s="87" t="str">
        <f>IF(B18="","",VLOOKUP(B18,REPLAY!$B$2:$G$13,6,FALSE)*C18)</f>
        <v/>
      </c>
      <c r="E18" s="38" t="str">
        <f t="shared" si="7"/>
        <v/>
      </c>
      <c r="F18" s="39" t="str">
        <f t="shared" si="8"/>
        <v/>
      </c>
      <c r="G18" s="34" t="str">
        <f t="shared" si="1"/>
        <v/>
      </c>
      <c r="H18" s="34" t="str">
        <f>IF(B18="","",IF($B$5="",SUMIF(TRANX!$B$2:$E$13,CALCULATION!B18,TRANX!$E$2:$E$13),SUMIF(REPLAY!$B$2:$E$10,CALCULATION!B18,REPLAY!$E$2:$E$10)))</f>
        <v/>
      </c>
      <c r="I18" s="38" t="str">
        <f t="shared" si="2"/>
        <v/>
      </c>
      <c r="J18" s="40" t="str">
        <f t="shared" si="3"/>
        <v/>
      </c>
      <c r="K18" s="36" t="str">
        <f t="shared" si="4"/>
        <v/>
      </c>
      <c r="L18" s="37" t="str">
        <f t="shared" si="5"/>
        <v/>
      </c>
      <c r="M18" s="35" t="str">
        <f t="shared" si="6"/>
        <v/>
      </c>
      <c r="N18" s="93">
        <f t="shared" si="9"/>
        <v>0</v>
      </c>
      <c r="O18" s="66" t="str">
        <f>IFERROR(IF(AND(A18=$B$6,B17&lt;&gt;$B$4),$B$4,IF(MATCH(TRANX!B10,TRANX!B$2:'TRANX'!B$100,0)=ROW(TRANX!B10)-ROW(TRANX!B$2)+1,TRANX!B10,"")),"")</f>
        <v/>
      </c>
      <c r="P18" s="66" t="str">
        <f>IFERROR(SMALL($O$10:$O$13,A18),"")</f>
        <v/>
      </c>
    </row>
    <row r="19" spans="1:16" x14ac:dyDescent="0.25">
      <c r="A19" s="8">
        <v>10</v>
      </c>
      <c r="B19" s="33" t="str">
        <f>IFERROR(IF(AND(A19=$B$6,B18&lt;&gt;$B$4),$B$4,IF(MATCH(REPLAY!B11,REPLAY!B$2:'REPLAY'!B$97,0)=ROW(REPLAY!B11)-ROW(REPLAY!B$2)+1,REPLAY!B11,"")),"")</f>
        <v/>
      </c>
      <c r="C19" s="87" t="str">
        <f t="shared" si="0"/>
        <v/>
      </c>
      <c r="D19" s="87" t="str">
        <f>IF(B19="","",VLOOKUP(B19,REPLAY!$B$2:$G$13,6,FALSE)*C19)</f>
        <v/>
      </c>
      <c r="E19" s="38" t="str">
        <f t="shared" si="7"/>
        <v/>
      </c>
      <c r="F19" s="39" t="str">
        <f t="shared" si="8"/>
        <v/>
      </c>
      <c r="G19" s="34" t="str">
        <f t="shared" si="1"/>
        <v/>
      </c>
      <c r="H19" s="34" t="str">
        <f>IF(B19="","",IF($B$5="",SUMIF(TRANX!$B$2:$E$13,CALCULATION!B19,TRANX!$E$2:$E$13),SUMIF(REPLAY!$B$2:$E$10,CALCULATION!B19,REPLAY!$E$2:$E$10)))</f>
        <v/>
      </c>
      <c r="I19" s="38" t="str">
        <f t="shared" si="2"/>
        <v/>
      </c>
      <c r="J19" s="40" t="str">
        <f t="shared" si="3"/>
        <v/>
      </c>
      <c r="K19" s="36" t="str">
        <f t="shared" si="4"/>
        <v/>
      </c>
      <c r="L19" s="37" t="str">
        <f t="shared" si="5"/>
        <v/>
      </c>
      <c r="M19" s="35" t="str">
        <f t="shared" si="6"/>
        <v/>
      </c>
      <c r="N19" s="93">
        <f t="shared" si="9"/>
        <v>0</v>
      </c>
      <c r="O19" s="66" t="str">
        <f>IFERROR(IF(AND(A19=$B$6,B18&lt;&gt;$B$4),$B$4,IF(MATCH(TRANX!B11,TRANX!B$2:'TRANX'!B$100,0)=ROW(TRANX!B11)-ROW(TRANX!B$2)+1,TRANX!B11,"")),"")</f>
        <v/>
      </c>
      <c r="P19" s="66" t="str">
        <f>IFERROR(SMALL($O$10:$O$13,A19),"")</f>
        <v/>
      </c>
    </row>
    <row r="20" spans="1:16" x14ac:dyDescent="0.25">
      <c r="A20" s="8">
        <v>11</v>
      </c>
      <c r="B20" s="33" t="str">
        <f>IFERROR(IF(AND(A20=$B$6,B19&lt;&gt;$B$4),$B$4,IF(MATCH(REPLAY!B12,REPLAY!B$2:'REPLAY'!B$97,0)=ROW(REPLAY!B12)-ROW(REPLAY!B$2)+1,REPLAY!B12,"")),"")</f>
        <v/>
      </c>
      <c r="C20" s="87" t="str">
        <f t="shared" si="0"/>
        <v/>
      </c>
      <c r="D20" s="87" t="str">
        <f>IF(B20="","",VLOOKUP(B20,REPLAY!$B$2:$G$13,6,FALSE)*C20)</f>
        <v/>
      </c>
      <c r="E20" s="38" t="str">
        <f t="shared" si="7"/>
        <v/>
      </c>
      <c r="F20" s="39" t="str">
        <f t="shared" si="8"/>
        <v/>
      </c>
      <c r="G20" s="34" t="str">
        <f t="shared" si="1"/>
        <v/>
      </c>
      <c r="H20" s="34" t="str">
        <f>IF(B20="","",IF($B$5="",SUMIF(TRANX!$B$2:$E$13,CALCULATION!B20,TRANX!$E$2:$E$13),SUMIF(REPLAY!$B$2:$E$10,CALCULATION!B20,REPLAY!$E$2:$E$10)))</f>
        <v/>
      </c>
      <c r="I20" s="38" t="str">
        <f t="shared" si="2"/>
        <v/>
      </c>
      <c r="J20" s="40" t="str">
        <f t="shared" si="3"/>
        <v/>
      </c>
      <c r="K20" s="36" t="str">
        <f t="shared" si="4"/>
        <v/>
      </c>
      <c r="L20" s="37" t="str">
        <f t="shared" si="5"/>
        <v/>
      </c>
      <c r="M20" s="35" t="str">
        <f t="shared" si="6"/>
        <v/>
      </c>
      <c r="N20" s="93">
        <f t="shared" si="9"/>
        <v>0</v>
      </c>
      <c r="O20" s="66" t="str">
        <f>IFERROR(IF(AND(A20=$B$6,B19&lt;&gt;$B$4),$B$4,IF(MATCH(TRANX!B12,TRANX!B$2:'TRANX'!B$100,0)=ROW(TRANX!B12)-ROW(TRANX!B$2)+1,TRANX!B12,"")),"")</f>
        <v/>
      </c>
      <c r="P20" s="66" t="str">
        <f>IFERROR(SMALL($O$10:$O$13,A20),"")</f>
        <v/>
      </c>
    </row>
    <row r="21" spans="1:16" ht="15.75" thickBot="1" x14ac:dyDescent="0.3">
      <c r="A21" s="8">
        <v>12</v>
      </c>
      <c r="B21" s="33" t="str">
        <f>IFERROR(IF(AND(A21=$B$6,B20&lt;&gt;$B$4),$B$4,IF(MATCH(REPLAY!B13,REPLAY!B$2:'REPLAY'!B$97,0)=ROW(REPLAY!B13)-ROW(REPLAY!B$2)+1,REPLAY!B13,"")),"")</f>
        <v/>
      </c>
      <c r="C21" s="87" t="str">
        <f t="shared" si="0"/>
        <v/>
      </c>
      <c r="D21" s="87" t="str">
        <f>IF(B21="","",VLOOKUP(B21,REPLAY!$B$2:$G$13,6,FALSE)*C21)</f>
        <v/>
      </c>
      <c r="E21" s="38" t="str">
        <f t="shared" si="7"/>
        <v/>
      </c>
      <c r="F21" s="39" t="str">
        <f t="shared" si="8"/>
        <v/>
      </c>
      <c r="G21" s="34" t="str">
        <f t="shared" si="1"/>
        <v/>
      </c>
      <c r="H21" s="34" t="str">
        <f>IF(B21="","",IF($B$5="",SUMIF(TRANX!$B$2:$E$13,CALCULATION!B21,TRANX!$E$2:$E$13),SUMIF(REPLAY!$B$2:$E$10,CALCULATION!B21,REPLAY!$E$2:$E$10)))</f>
        <v/>
      </c>
      <c r="I21" s="38" t="str">
        <f t="shared" si="2"/>
        <v/>
      </c>
      <c r="J21" s="40" t="str">
        <f t="shared" si="3"/>
        <v/>
      </c>
      <c r="K21" s="36" t="str">
        <f t="shared" si="4"/>
        <v/>
      </c>
      <c r="L21" s="37" t="str">
        <f t="shared" si="5"/>
        <v/>
      </c>
      <c r="M21" s="35" t="str">
        <f t="shared" si="6"/>
        <v/>
      </c>
      <c r="N21" s="93">
        <f t="shared" si="9"/>
        <v>0</v>
      </c>
      <c r="O21" s="66" t="str">
        <f>IFERROR(IF(AND(A21=$B$6,B20&lt;&gt;$B$4),$B$4,IF(MATCH(TRANX!B13,TRANX!B$2:'TRANX'!B$100,0)=ROW(TRANX!B13)-ROW(TRANX!B$2)+1,TRANX!B13,"")),"")</f>
        <v/>
      </c>
      <c r="P21" s="66" t="str">
        <f>IFERROR(SMALL($O$10:$O$13,A21),"")</f>
        <v/>
      </c>
    </row>
    <row r="22" spans="1:16" s="11" customFormat="1" ht="15.75" thickBot="1" x14ac:dyDescent="0.3">
      <c r="A22" s="5"/>
      <c r="B22" s="19"/>
      <c r="C22" s="19"/>
      <c r="D22" s="41">
        <f>IFERROR(SUM(D10:D21),"")</f>
        <v>0</v>
      </c>
      <c r="E22" s="21"/>
      <c r="F22" s="20"/>
      <c r="G22" s="20"/>
      <c r="I22" s="41">
        <f>IF(
  MAX(N10:N21)=0,
  0,
  INDEX(I10:I21, MATCH(MAX(N10:N21), N10:N21, 0))
)</f>
        <v>0</v>
      </c>
      <c r="J22" s="41">
        <f>IF(
  MAX(N10:N21) = 0,
  0,
  INDEX(J10:J21, MATCH(MAX(N10:N21), N10:N21, 0))
)</f>
        <v>0</v>
      </c>
      <c r="K22" s="41">
        <f>IF(
  MAX(N10:N21) = 0,
  0,
  INDEX(K10:K21, MATCH(MAX(N10:N21), N10:N21, 0))
)</f>
        <v>0</v>
      </c>
      <c r="L22" s="42"/>
      <c r="M22" s="41">
        <f>IF(
  MAX(N10:N21) = 0,
  0,
  INDEX(M10:M21, MATCH(MAX(N10:N21), N10:N21, 0))
)</f>
        <v>0</v>
      </c>
    </row>
    <row r="23" spans="1:16" s="11" customFormat="1" x14ac:dyDescent="0.25">
      <c r="A23" s="5"/>
      <c r="B23" s="19"/>
      <c r="C23" s="20"/>
      <c r="D23" s="21"/>
      <c r="E23" s="20"/>
      <c r="F23" s="20"/>
      <c r="G23" s="20"/>
      <c r="H23" s="22"/>
      <c r="I23" s="23"/>
      <c r="J23" s="21"/>
      <c r="K23" s="22"/>
    </row>
    <row r="24" spans="1:16" ht="15.75" thickBot="1" x14ac:dyDescent="0.3"/>
    <row r="25" spans="1:16" ht="15.75" thickBot="1" x14ac:dyDescent="0.3">
      <c r="A25" s="105" t="s">
        <v>30</v>
      </c>
      <c r="B25" s="106"/>
      <c r="C25" s="106"/>
      <c r="D25" s="106"/>
      <c r="E25" s="106"/>
      <c r="F25" s="106"/>
      <c r="G25" s="106"/>
      <c r="H25" s="106"/>
      <c r="I25" s="106"/>
      <c r="J25" s="106"/>
      <c r="K25" s="107"/>
    </row>
    <row r="26" spans="1:16" ht="15.75" thickBot="1" x14ac:dyDescent="0.3">
      <c r="A26" s="13" t="s">
        <v>27</v>
      </c>
      <c r="B26" s="13" t="s">
        <v>28</v>
      </c>
      <c r="C26" s="13" t="s">
        <v>17</v>
      </c>
      <c r="D26" s="13" t="s">
        <v>18</v>
      </c>
      <c r="E26" s="13" t="s">
        <v>16</v>
      </c>
      <c r="F26" s="13" t="s">
        <v>15</v>
      </c>
      <c r="G26" s="13" t="s">
        <v>19</v>
      </c>
      <c r="H26" s="13" t="s">
        <v>20</v>
      </c>
      <c r="I26" s="13" t="s">
        <v>22</v>
      </c>
      <c r="J26" s="24" t="s">
        <v>2</v>
      </c>
      <c r="K26" s="24" t="s">
        <v>21</v>
      </c>
    </row>
    <row r="27" spans="1:16" ht="15.75" thickBot="1" x14ac:dyDescent="0.3">
      <c r="A27" s="43">
        <v>1</v>
      </c>
      <c r="B27" s="33" t="str">
        <f>IF(EOD!B2="","",EOD!B2)</f>
        <v/>
      </c>
      <c r="C27" s="43">
        <f>EOD!F2</f>
        <v>0</v>
      </c>
      <c r="D27" s="43">
        <f>EOD!G2</f>
        <v>0</v>
      </c>
      <c r="E27" s="34" t="str">
        <f>IF(B27="","",IF(B28="",0,(B28-B27)-1))</f>
        <v/>
      </c>
      <c r="F27" s="34">
        <v>0</v>
      </c>
      <c r="G27" s="34">
        <f>I22</f>
        <v>0</v>
      </c>
      <c r="H27" s="34">
        <f>J22</f>
        <v>0</v>
      </c>
      <c r="I27" s="44">
        <f>C27-H27</f>
        <v>0</v>
      </c>
      <c r="J27" s="45">
        <f>IF(B27="",0,(I27*$B$2)/360)</f>
        <v>0</v>
      </c>
      <c r="K27" s="46">
        <f>D27+J27-G27</f>
        <v>0</v>
      </c>
    </row>
    <row r="28" spans="1:16" ht="15.75" thickBot="1" x14ac:dyDescent="0.3">
      <c r="K28" s="18"/>
    </row>
    <row r="29" spans="1:16" ht="15.75" thickBot="1" x14ac:dyDescent="0.3">
      <c r="A29" s="105" t="s">
        <v>32</v>
      </c>
      <c r="B29" s="107"/>
    </row>
    <row r="30" spans="1:16" x14ac:dyDescent="0.25">
      <c r="A30" s="25" t="s">
        <v>11</v>
      </c>
      <c r="B30" s="47">
        <f>J27</f>
        <v>0</v>
      </c>
    </row>
    <row r="31" spans="1:16" x14ac:dyDescent="0.25">
      <c r="A31" s="8" t="s">
        <v>13</v>
      </c>
      <c r="B31" s="72">
        <f>IF(E10="",0,M22-K27)</f>
        <v>0</v>
      </c>
    </row>
    <row r="32" spans="1:16" x14ac:dyDescent="0.25">
      <c r="A32" s="8" t="s">
        <v>8</v>
      </c>
      <c r="B32" s="38">
        <f>I22</f>
        <v>0</v>
      </c>
      <c r="D32" s="18"/>
    </row>
    <row r="34" spans="1:6" ht="15.75" thickBot="1" x14ac:dyDescent="0.3"/>
    <row r="35" spans="1:6" ht="15.75" thickBot="1" x14ac:dyDescent="0.3">
      <c r="A35" s="105" t="s">
        <v>33</v>
      </c>
      <c r="B35" s="107"/>
    </row>
    <row r="36" spans="1:6" x14ac:dyDescent="0.25">
      <c r="A36" s="25" t="s">
        <v>9</v>
      </c>
      <c r="B36" s="48">
        <f>J22</f>
        <v>0</v>
      </c>
    </row>
    <row r="37" spans="1:6" x14ac:dyDescent="0.25">
      <c r="A37" s="8" t="s">
        <v>31</v>
      </c>
      <c r="B37" s="71">
        <f>IF(E10="",0,K22-I27)</f>
        <v>0</v>
      </c>
    </row>
    <row r="38" spans="1:6" ht="15.75" thickBot="1" x14ac:dyDescent="0.3"/>
    <row r="39" spans="1:6" ht="15.75" thickBot="1" x14ac:dyDescent="0.3">
      <c r="A39" s="102" t="s">
        <v>0</v>
      </c>
      <c r="B39" s="103"/>
      <c r="C39" s="103"/>
      <c r="D39" s="103"/>
      <c r="E39" s="103"/>
      <c r="F39" s="104"/>
    </row>
    <row r="40" spans="1:6" x14ac:dyDescent="0.25">
      <c r="A40" s="26" t="s">
        <v>3</v>
      </c>
      <c r="B40" s="26" t="s">
        <v>4</v>
      </c>
      <c r="C40" s="26" t="s">
        <v>5</v>
      </c>
      <c r="D40" s="26" t="s">
        <v>10</v>
      </c>
      <c r="E40" s="26" t="s">
        <v>1</v>
      </c>
      <c r="F40" s="26" t="s">
        <v>6</v>
      </c>
    </row>
    <row r="41" spans="1:6" x14ac:dyDescent="0.25">
      <c r="A41" s="1" t="str">
        <f>B4</f>
        <v/>
      </c>
      <c r="B41" s="1" t="str">
        <f>A41</f>
        <v/>
      </c>
      <c r="C41" s="8" t="str">
        <f>IF(A41="","",$B$3)</f>
        <v/>
      </c>
      <c r="D41" s="8" t="str">
        <f>IF(A41="","","Servicing_Interest_Accrual")</f>
        <v/>
      </c>
      <c r="E41" s="32" t="str">
        <f>IF(A41="","",ROUND(B30,4))</f>
        <v/>
      </c>
      <c r="F41" s="8" t="str">
        <f>IF(A41="","",EOD!$D$2)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ref="C42:C44" si="10">IF(A42="","",$B$3)</f>
        <v/>
      </c>
      <c r="D42" s="8" t="str">
        <f>IF(A42="","","Interest_Adjustment")</f>
        <v/>
      </c>
      <c r="E42" s="49" t="str">
        <f>IF(A42="","",ROUND(B31,4))</f>
        <v/>
      </c>
      <c r="F42" s="8" t="str">
        <f>IF(A42="","",EOD!$D$2)</f>
        <v/>
      </c>
    </row>
    <row r="43" spans="1:6" x14ac:dyDescent="0.25">
      <c r="A43" s="1" t="str">
        <f>IF(ROUND(B32,4)=0,"",$B$4)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IF(A43="","","Payment_Interest")</f>
        <v/>
      </c>
      <c r="E43" s="49" t="str">
        <f>IF(A43="","",ROUND(B32,4)*-1)</f>
        <v/>
      </c>
      <c r="F43" s="8" t="str">
        <f>IF(A43="","",EOD!$D$2)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 t="shared" si="10"/>
        <v/>
      </c>
      <c r="D44" s="8" t="str">
        <f>IF(A44="","","Payment_UPB")</f>
        <v/>
      </c>
      <c r="E44" s="49" t="str">
        <f>IF(A44="","",ROUND(B36,4)*-1)</f>
        <v/>
      </c>
      <c r="F44" s="8" t="str">
        <f>IF(A44="","",EOD!$D$2)</f>
        <v/>
      </c>
    </row>
    <row r="45" spans="1:6" x14ac:dyDescent="0.25">
      <c r="A45" s="1" t="str">
        <f>IF(ROUND(B37,4)=0,"",$B$4)</f>
        <v/>
      </c>
      <c r="B45" s="1" t="str">
        <f>IF(A45="","",A45)</f>
        <v/>
      </c>
      <c r="C45" s="8" t="str">
        <f>IF(A45="","",$B$3)</f>
        <v/>
      </c>
      <c r="D45" s="8" t="str">
        <f>IF(A45="","","Principal_Adjustment")</f>
        <v/>
      </c>
      <c r="E45" s="49" t="str">
        <f>IF(A45="","",ROUND(B37,4))</f>
        <v/>
      </c>
      <c r="F45" s="8" t="str">
        <f>IF(A45="","",EOD!$D$2)</f>
        <v/>
      </c>
    </row>
  </sheetData>
  <mergeCells count="5">
    <mergeCell ref="A1:K1"/>
    <mergeCell ref="A25:K25"/>
    <mergeCell ref="A29:B29"/>
    <mergeCell ref="A35:B35"/>
    <mergeCell ref="A39:F3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5"/>
  <sheetViews>
    <sheetView topLeftCell="A3" workbookViewId="0">
      <selection activeCell="C25" sqref="C25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81" t="s">
        <v>59</v>
      </c>
    </row>
    <row r="3" spans="1:3" x14ac:dyDescent="0.25">
      <c r="A3" t="s">
        <v>72</v>
      </c>
    </row>
    <row r="4" spans="1:3" x14ac:dyDescent="0.25">
      <c r="A4" t="s">
        <v>73</v>
      </c>
    </row>
    <row r="6" spans="1:3" x14ac:dyDescent="0.25">
      <c r="A6" t="s">
        <v>74</v>
      </c>
    </row>
    <row r="7" spans="1:3" x14ac:dyDescent="0.25">
      <c r="A7" t="s">
        <v>34</v>
      </c>
      <c r="B7" t="s">
        <v>75</v>
      </c>
      <c r="C7" t="s">
        <v>86</v>
      </c>
    </row>
    <row r="8" spans="1:3" x14ac:dyDescent="0.25">
      <c r="A8" t="s">
        <v>76</v>
      </c>
      <c r="B8" t="s">
        <v>77</v>
      </c>
      <c r="C8" t="s">
        <v>78</v>
      </c>
    </row>
    <row r="11" spans="1:3" x14ac:dyDescent="0.25">
      <c r="A11" s="81" t="s">
        <v>60</v>
      </c>
    </row>
    <row r="13" spans="1:3" x14ac:dyDescent="0.25">
      <c r="A13" s="82" t="s">
        <v>72</v>
      </c>
      <c r="B13" t="s">
        <v>79</v>
      </c>
    </row>
    <row r="14" spans="1:3" x14ac:dyDescent="0.25">
      <c r="A14" s="82" t="s">
        <v>80</v>
      </c>
      <c r="B14" t="s">
        <v>48</v>
      </c>
    </row>
    <row r="17" spans="1:3" x14ac:dyDescent="0.25">
      <c r="A17" s="82" t="s">
        <v>74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81" t="s">
        <v>61</v>
      </c>
    </row>
    <row r="21" spans="1:3" x14ac:dyDescent="0.25">
      <c r="A21" s="82" t="s">
        <v>72</v>
      </c>
      <c r="B21" s="82" t="s">
        <v>79</v>
      </c>
    </row>
    <row r="22" spans="1:3" x14ac:dyDescent="0.25">
      <c r="A22" s="82" t="s">
        <v>81</v>
      </c>
      <c r="B22" s="82" t="s">
        <v>48</v>
      </c>
    </row>
    <row r="24" spans="1:3" x14ac:dyDescent="0.25">
      <c r="A24" s="82" t="s">
        <v>74</v>
      </c>
      <c r="B24" s="82"/>
      <c r="C24" s="82"/>
    </row>
    <row r="25" spans="1:3" x14ac:dyDescent="0.25">
      <c r="A25" s="82" t="s">
        <v>0</v>
      </c>
      <c r="B25" s="82" t="s">
        <v>1</v>
      </c>
      <c r="C25" s="82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D1" sqref="D1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5" customWidth="1"/>
    <col min="4" max="4" width="32.7109375" style="95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4" t="s">
        <v>5</v>
      </c>
      <c r="D1" s="96" t="s">
        <v>106</v>
      </c>
      <c r="E1" s="26" t="s">
        <v>1</v>
      </c>
      <c r="F1" s="26" t="s">
        <v>6</v>
      </c>
    </row>
    <row r="2" spans="1:6" x14ac:dyDescent="0.25">
      <c r="A2" s="3" t="str">
        <f>CALCULATION!A41</f>
        <v/>
      </c>
      <c r="B2" s="3" t="str">
        <f>CALCULATION!B41</f>
        <v/>
      </c>
      <c r="C2" s="95" t="str">
        <f>CALCULATION!C41</f>
        <v/>
      </c>
      <c r="D2" s="95" t="str">
        <f>CALCULATION!D41</f>
        <v/>
      </c>
      <c r="E2" s="6" t="str">
        <f>CALCULATION!E41</f>
        <v/>
      </c>
      <c r="F2" s="7" t="str">
        <f>CALCULATION!F41</f>
        <v/>
      </c>
    </row>
    <row r="3" spans="1:6" x14ac:dyDescent="0.25">
      <c r="A3" s="3" t="str">
        <f>CALCULATION!A42</f>
        <v/>
      </c>
      <c r="B3" s="3" t="str">
        <f>CALCULATION!B42</f>
        <v/>
      </c>
      <c r="C3" s="95" t="str">
        <f>CALCULATION!C42</f>
        <v/>
      </c>
      <c r="D3" s="95" t="str">
        <f>CALCULATION!D42</f>
        <v/>
      </c>
      <c r="E3" s="6" t="str">
        <f>CALCULATION!E42</f>
        <v/>
      </c>
      <c r="F3" s="7" t="str">
        <f>CALCULATION!F42</f>
        <v/>
      </c>
    </row>
    <row r="4" spans="1:6" x14ac:dyDescent="0.25">
      <c r="A4" s="3" t="str">
        <f>CALCULATION!A43</f>
        <v/>
      </c>
      <c r="B4" s="3" t="str">
        <f>CALCULATION!B43</f>
        <v/>
      </c>
      <c r="C4" s="95" t="str">
        <f>CALCULATION!C43</f>
        <v/>
      </c>
      <c r="D4" s="95" t="str">
        <f>CALCULATION!D43</f>
        <v/>
      </c>
      <c r="E4" s="6" t="str">
        <f>CALCULATION!E43</f>
        <v/>
      </c>
      <c r="F4" s="7" t="str">
        <f>CALCULATION!F43</f>
        <v/>
      </c>
    </row>
    <row r="5" spans="1:6" x14ac:dyDescent="0.25">
      <c r="A5" s="3" t="str">
        <f>CALCULATION!A44</f>
        <v/>
      </c>
      <c r="B5" s="3" t="str">
        <f>CALCULATION!B44</f>
        <v/>
      </c>
      <c r="C5" s="95" t="str">
        <f>CALCULATION!C44</f>
        <v/>
      </c>
      <c r="D5" s="95" t="str">
        <f>CALCULATION!D44</f>
        <v/>
      </c>
      <c r="E5" s="6" t="str">
        <f>CALCULATION!E44</f>
        <v/>
      </c>
      <c r="F5" s="7" t="str">
        <f>CALCULATION!F44</f>
        <v/>
      </c>
    </row>
    <row r="6" spans="1:6" x14ac:dyDescent="0.25">
      <c r="A6" s="3" t="str">
        <f>CALCULATION!A45</f>
        <v/>
      </c>
      <c r="B6" s="3" t="str">
        <f>CALCULATION!B45</f>
        <v/>
      </c>
      <c r="C6" s="95" t="str">
        <f>CALCULATION!C45</f>
        <v/>
      </c>
      <c r="D6" s="95" t="str">
        <f>CALCULATION!D45</f>
        <v/>
      </c>
      <c r="E6" s="6" t="str">
        <f>CALCULATION!E45</f>
        <v/>
      </c>
      <c r="F6" s="7" t="str">
        <f>CALCULATION!F45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topLeftCell="A4" zoomScale="115" zoomScaleNormal="115" workbookViewId="0">
      <selection activeCell="J16" sqref="J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8" t="s">
        <v>53</v>
      </c>
      <c r="B5" s="108"/>
      <c r="C5" s="108"/>
      <c r="D5" s="108"/>
      <c r="E5" s="108"/>
      <c r="F5" s="108"/>
      <c r="H5" s="109" t="s">
        <v>46</v>
      </c>
      <c r="I5" s="109"/>
      <c r="J5" s="109"/>
      <c r="K5" s="109"/>
      <c r="L5" s="109"/>
      <c r="M5" s="109"/>
      <c r="P5" s="108" t="s">
        <v>53</v>
      </c>
      <c r="Q5" s="108"/>
      <c r="R5" s="108"/>
      <c r="S5" s="108"/>
      <c r="T5" s="108"/>
      <c r="U5" s="108"/>
      <c r="W5" s="108" t="s">
        <v>46</v>
      </c>
      <c r="X5" s="108"/>
      <c r="Y5" s="108"/>
      <c r="Z5" s="108"/>
      <c r="AA5" s="108"/>
      <c r="AB5" s="108"/>
    </row>
    <row r="6" spans="1:28" x14ac:dyDescent="0.25">
      <c r="A6" s="75" t="s">
        <v>3</v>
      </c>
      <c r="B6" s="11" t="s">
        <v>54</v>
      </c>
      <c r="C6" s="11" t="s">
        <v>55</v>
      </c>
      <c r="D6" s="11" t="s">
        <v>48</v>
      </c>
      <c r="E6" s="11" t="s">
        <v>56</v>
      </c>
      <c r="F6" s="11" t="s">
        <v>57</v>
      </c>
      <c r="H6" s="75" t="s">
        <v>3</v>
      </c>
      <c r="I6" s="11" t="s">
        <v>54</v>
      </c>
      <c r="J6" s="11" t="s">
        <v>55</v>
      </c>
      <c r="K6" s="11" t="s">
        <v>56</v>
      </c>
      <c r="L6" s="11" t="s">
        <v>8</v>
      </c>
      <c r="M6" s="11" t="s">
        <v>57</v>
      </c>
      <c r="P6" s="75" t="s">
        <v>3</v>
      </c>
      <c r="Q6" s="11" t="s">
        <v>54</v>
      </c>
      <c r="R6" s="11" t="s">
        <v>55</v>
      </c>
      <c r="S6" s="11" t="s">
        <v>48</v>
      </c>
      <c r="T6" s="11" t="s">
        <v>56</v>
      </c>
      <c r="U6" s="11" t="s">
        <v>57</v>
      </c>
      <c r="W6" s="75" t="s">
        <v>3</v>
      </c>
      <c r="X6" s="11" t="s">
        <v>54</v>
      </c>
      <c r="Y6" s="11" t="s">
        <v>55</v>
      </c>
      <c r="Z6" s="11" t="s">
        <v>56</v>
      </c>
      <c r="AA6" s="11" t="s">
        <v>8</v>
      </c>
      <c r="AB6" s="11" t="s">
        <v>57</v>
      </c>
    </row>
    <row r="7" spans="1:28" x14ac:dyDescent="0.25">
      <c r="A7" s="66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6">
        <v>44592</v>
      </c>
      <c r="I7" s="11" t="s">
        <v>42</v>
      </c>
      <c r="J7" s="69">
        <v>0</v>
      </c>
      <c r="K7" s="69">
        <v>100</v>
      </c>
      <c r="M7" s="69">
        <v>100</v>
      </c>
      <c r="P7" s="66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6">
        <v>44592</v>
      </c>
      <c r="X7" s="11" t="s">
        <v>42</v>
      </c>
      <c r="Y7" s="69">
        <v>0</v>
      </c>
      <c r="Z7" s="69">
        <v>100</v>
      </c>
      <c r="AB7" s="69">
        <v>100</v>
      </c>
    </row>
    <row r="8" spans="1:28" x14ac:dyDescent="0.25">
      <c r="A8" s="66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6">
        <v>44593</v>
      </c>
      <c r="I8" s="11" t="s">
        <v>42</v>
      </c>
      <c r="J8" s="69">
        <f t="shared" ref="J8:J16" si="1">M7</f>
        <v>100</v>
      </c>
      <c r="K8" s="76">
        <f>(F8*$Q$1)/360</f>
        <v>27.777777777777779</v>
      </c>
      <c r="M8" s="69">
        <f>J8+K8</f>
        <v>127.77777777777777</v>
      </c>
      <c r="P8" s="66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6">
        <v>44593</v>
      </c>
      <c r="X8" s="11" t="s">
        <v>42</v>
      </c>
      <c r="Y8" s="69">
        <f t="shared" ref="Y8:Y16" si="3">AB7</f>
        <v>100</v>
      </c>
      <c r="Z8" s="76">
        <f>(U8*$Q$1)/360</f>
        <v>27.777777777777779</v>
      </c>
      <c r="AB8" s="69">
        <f>Y8+Z8</f>
        <v>127.77777777777777</v>
      </c>
    </row>
    <row r="9" spans="1:28" x14ac:dyDescent="0.25">
      <c r="A9" s="66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6">
        <v>44594</v>
      </c>
      <c r="I9" s="11" t="s">
        <v>42</v>
      </c>
      <c r="J9" s="69">
        <f t="shared" si="1"/>
        <v>127.77777777777777</v>
      </c>
      <c r="K9" s="76">
        <f>(F9*$Q$1)/360</f>
        <v>27.777777777777779</v>
      </c>
      <c r="M9" s="69">
        <f>J9+K9</f>
        <v>155.55555555555554</v>
      </c>
      <c r="P9" s="66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6">
        <v>44594</v>
      </c>
      <c r="X9" s="11" t="s">
        <v>42</v>
      </c>
      <c r="Y9" s="69">
        <f t="shared" si="3"/>
        <v>127.77777777777777</v>
      </c>
      <c r="Z9" s="76">
        <f>(U9*$Q$1)/360</f>
        <v>27.777777777777779</v>
      </c>
      <c r="AB9" s="69">
        <f>Y9+Z9</f>
        <v>155.55555555555554</v>
      </c>
    </row>
    <row r="10" spans="1:28" x14ac:dyDescent="0.25">
      <c r="A10" s="66">
        <v>44595</v>
      </c>
      <c r="B10" s="11" t="s">
        <v>41</v>
      </c>
      <c r="C10" s="11">
        <f t="shared" si="0"/>
        <v>100000</v>
      </c>
      <c r="E10" s="69">
        <v>0</v>
      </c>
      <c r="F10" s="69">
        <f>C10+E10</f>
        <v>100000</v>
      </c>
      <c r="G10" s="69"/>
      <c r="H10" s="66">
        <v>44595</v>
      </c>
      <c r="I10" s="11" t="s">
        <v>42</v>
      </c>
      <c r="J10" s="69">
        <f t="shared" si="1"/>
        <v>155.55555555555554</v>
      </c>
      <c r="K10" s="76">
        <f>+(F10*$Q$1/360)</f>
        <v>27.777777777777779</v>
      </c>
      <c r="L10" s="69">
        <v>0</v>
      </c>
      <c r="M10" s="69">
        <f t="shared" ref="M10:M16" si="4">J10+K10+L10</f>
        <v>183.33333333333331</v>
      </c>
      <c r="N10" s="69"/>
      <c r="O10" s="77"/>
      <c r="P10" s="66">
        <v>44595</v>
      </c>
      <c r="Q10" s="11" t="s">
        <v>41</v>
      </c>
      <c r="R10" s="11">
        <f t="shared" si="2"/>
        <v>100000</v>
      </c>
      <c r="S10" s="11">
        <v>50</v>
      </c>
      <c r="T10" s="69">
        <v>0</v>
      </c>
      <c r="U10" s="69">
        <f>R10+T10</f>
        <v>100000</v>
      </c>
      <c r="W10" s="66">
        <v>44595</v>
      </c>
      <c r="X10" s="11" t="s">
        <v>42</v>
      </c>
      <c r="Y10" s="69">
        <f t="shared" si="3"/>
        <v>155.55555555555554</v>
      </c>
      <c r="Z10" s="76">
        <f>(U10*$Q$1/360)</f>
        <v>27.777777777777779</v>
      </c>
      <c r="AA10" s="11">
        <f>-S10</f>
        <v>-50</v>
      </c>
      <c r="AB10" s="69">
        <f t="shared" ref="AB10:AB16" si="5">Y10+Z10+AA10</f>
        <v>133.33333333333331</v>
      </c>
    </row>
    <row r="11" spans="1:28" x14ac:dyDescent="0.25">
      <c r="A11" s="66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9"/>
      <c r="H11" s="66">
        <v>44596</v>
      </c>
      <c r="I11" s="11" t="s">
        <v>42</v>
      </c>
      <c r="J11" s="69">
        <f t="shared" si="1"/>
        <v>183.33333333333331</v>
      </c>
      <c r="K11" s="76">
        <f>(F11*$Q$1)/360</f>
        <v>27.777777777777779</v>
      </c>
      <c r="L11" s="69"/>
      <c r="M11" s="69">
        <f t="shared" si="4"/>
        <v>211.11111111111109</v>
      </c>
      <c r="O11" s="77"/>
      <c r="P11" s="66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6">
        <v>44596</v>
      </c>
      <c r="X11" s="11" t="s">
        <v>42</v>
      </c>
      <c r="Y11" s="69">
        <f t="shared" si="3"/>
        <v>133.33333333333331</v>
      </c>
      <c r="Z11" s="76">
        <f>(U11*$Q$1)/360</f>
        <v>27.777777777777779</v>
      </c>
      <c r="AB11" s="69">
        <f t="shared" si="5"/>
        <v>161.11111111111109</v>
      </c>
    </row>
    <row r="12" spans="1:28" x14ac:dyDescent="0.25">
      <c r="A12" s="66">
        <v>44597</v>
      </c>
      <c r="B12" s="11" t="s">
        <v>41</v>
      </c>
      <c r="C12" s="11">
        <f t="shared" si="0"/>
        <v>100000</v>
      </c>
      <c r="E12" s="69">
        <v>0</v>
      </c>
      <c r="F12" s="11">
        <f>C12+E12</f>
        <v>100000</v>
      </c>
      <c r="G12" s="69"/>
      <c r="H12" s="66">
        <v>44597</v>
      </c>
      <c r="I12" s="11" t="s">
        <v>42</v>
      </c>
      <c r="J12" s="69">
        <f t="shared" si="1"/>
        <v>211.11111111111109</v>
      </c>
      <c r="K12" s="76">
        <f>+(F12*$Q$1/360)</f>
        <v>27.777777777777779</v>
      </c>
      <c r="L12" s="69">
        <v>0</v>
      </c>
      <c r="M12" s="69">
        <f t="shared" si="4"/>
        <v>238.88888888888886</v>
      </c>
      <c r="N12" s="69"/>
      <c r="O12" s="77"/>
      <c r="P12" s="66">
        <v>44597</v>
      </c>
      <c r="Q12" s="11" t="s">
        <v>41</v>
      </c>
      <c r="R12" s="11">
        <f t="shared" si="2"/>
        <v>100000</v>
      </c>
      <c r="S12" s="11">
        <v>0</v>
      </c>
      <c r="T12" s="69">
        <v>0</v>
      </c>
      <c r="U12" s="11">
        <f>R12+T12</f>
        <v>100000</v>
      </c>
      <c r="W12" s="66">
        <v>44597</v>
      </c>
      <c r="X12" s="11" t="s">
        <v>42</v>
      </c>
      <c r="Y12" s="69">
        <f t="shared" si="3"/>
        <v>161.11111111111109</v>
      </c>
      <c r="Z12" s="76">
        <f>+(U12*$Q$1/360)</f>
        <v>27.777777777777779</v>
      </c>
      <c r="AA12" s="69">
        <v>0</v>
      </c>
      <c r="AB12" s="69">
        <f t="shared" si="5"/>
        <v>188.88888888888886</v>
      </c>
    </row>
    <row r="13" spans="1:28" x14ac:dyDescent="0.25">
      <c r="A13" s="66">
        <v>44598</v>
      </c>
      <c r="B13" s="11" t="s">
        <v>41</v>
      </c>
      <c r="C13" s="11">
        <f t="shared" si="0"/>
        <v>100000</v>
      </c>
      <c r="E13" s="69">
        <v>0</v>
      </c>
      <c r="F13" s="11">
        <f t="shared" ref="F13:F16" si="6">C13+E13</f>
        <v>100000</v>
      </c>
      <c r="G13" s="69"/>
      <c r="H13" s="66">
        <v>44598</v>
      </c>
      <c r="I13" s="11" t="s">
        <v>42</v>
      </c>
      <c r="J13" s="69">
        <f t="shared" si="1"/>
        <v>238.88888888888886</v>
      </c>
      <c r="K13" s="76">
        <f>(F13*$Q$1/360)</f>
        <v>27.777777777777779</v>
      </c>
      <c r="L13" s="69">
        <v>0</v>
      </c>
      <c r="M13" s="69">
        <f t="shared" si="4"/>
        <v>266.66666666666663</v>
      </c>
      <c r="N13" s="78"/>
      <c r="O13" s="77"/>
      <c r="P13" s="66">
        <v>44598</v>
      </c>
      <c r="Q13" s="11" t="s">
        <v>41</v>
      </c>
      <c r="R13" s="11">
        <f t="shared" si="2"/>
        <v>100000</v>
      </c>
      <c r="S13" s="11">
        <v>0</v>
      </c>
      <c r="T13" s="69">
        <v>0</v>
      </c>
      <c r="U13" s="11">
        <f t="shared" ref="U13:U16" si="7">R13+T13</f>
        <v>100000</v>
      </c>
      <c r="W13" s="66">
        <v>44598</v>
      </c>
      <c r="X13" s="11" t="s">
        <v>42</v>
      </c>
      <c r="Y13" s="69">
        <f t="shared" si="3"/>
        <v>188.88888888888886</v>
      </c>
      <c r="Z13" s="76">
        <f>(U13*$Q$1/360)</f>
        <v>27.777777777777779</v>
      </c>
      <c r="AA13" s="69">
        <v>0</v>
      </c>
      <c r="AB13" s="69">
        <f t="shared" si="5"/>
        <v>216.66666666666663</v>
      </c>
    </row>
    <row r="14" spans="1:28" x14ac:dyDescent="0.25">
      <c r="A14" s="66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9"/>
      <c r="H14" s="66">
        <v>44599</v>
      </c>
      <c r="I14" s="11" t="s">
        <v>42</v>
      </c>
      <c r="J14" s="69">
        <f t="shared" si="1"/>
        <v>266.66666666666663</v>
      </c>
      <c r="K14" s="76">
        <f>(F14*$Q$1)/360</f>
        <v>27.777777777777779</v>
      </c>
      <c r="L14" s="69"/>
      <c r="M14" s="69">
        <f t="shared" si="4"/>
        <v>294.4444444444444</v>
      </c>
      <c r="O14" s="77"/>
      <c r="P14" s="66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6">
        <v>44599</v>
      </c>
      <c r="X14" s="11" t="s">
        <v>42</v>
      </c>
      <c r="Y14" s="69">
        <f t="shared" si="3"/>
        <v>216.66666666666663</v>
      </c>
      <c r="Z14" s="76">
        <f>(U14*$Q$1)/360</f>
        <v>27.777777777777779</v>
      </c>
      <c r="AB14" s="69">
        <f t="shared" si="5"/>
        <v>244.4444444444444</v>
      </c>
    </row>
    <row r="15" spans="1:28" x14ac:dyDescent="0.25">
      <c r="A15" s="66">
        <v>44600</v>
      </c>
      <c r="B15" s="63" t="s">
        <v>41</v>
      </c>
      <c r="C15" s="63">
        <f t="shared" si="0"/>
        <v>100000</v>
      </c>
      <c r="D15" s="63"/>
      <c r="E15" s="63">
        <v>0</v>
      </c>
      <c r="F15" s="63">
        <f t="shared" si="6"/>
        <v>100000</v>
      </c>
      <c r="G15" s="69"/>
      <c r="H15" s="66">
        <v>44600</v>
      </c>
      <c r="I15" s="63" t="s">
        <v>42</v>
      </c>
      <c r="J15" s="79">
        <f t="shared" si="1"/>
        <v>294.4444444444444</v>
      </c>
      <c r="K15" s="80">
        <f>(F15*$Q$1)/360</f>
        <v>27.777777777777779</v>
      </c>
      <c r="L15" s="69"/>
      <c r="M15" s="69">
        <f t="shared" si="4"/>
        <v>322.22222222222217</v>
      </c>
      <c r="O15" s="77"/>
      <c r="P15" s="66">
        <v>44600</v>
      </c>
      <c r="Q15" s="63" t="s">
        <v>41</v>
      </c>
      <c r="R15" s="63">
        <f t="shared" si="2"/>
        <v>100000</v>
      </c>
      <c r="S15" s="63"/>
      <c r="T15" s="63">
        <v>0</v>
      </c>
      <c r="U15" s="63">
        <f t="shared" si="7"/>
        <v>100000</v>
      </c>
      <c r="V15" s="63"/>
      <c r="W15" s="66">
        <v>44600</v>
      </c>
      <c r="X15" s="63" t="s">
        <v>42</v>
      </c>
      <c r="Y15" s="79">
        <f t="shared" si="3"/>
        <v>244.4444444444444</v>
      </c>
      <c r="Z15" s="80">
        <f>(U15*$Q$1)/360</f>
        <v>27.777777777777779</v>
      </c>
      <c r="AB15" s="69">
        <f t="shared" si="5"/>
        <v>272.22222222222217</v>
      </c>
    </row>
    <row r="16" spans="1:28" x14ac:dyDescent="0.25">
      <c r="A16" s="66">
        <v>44601</v>
      </c>
      <c r="B16" s="63" t="s">
        <v>41</v>
      </c>
      <c r="C16" s="63">
        <f t="shared" si="0"/>
        <v>100000</v>
      </c>
      <c r="D16" s="63"/>
      <c r="E16" s="63">
        <v>0</v>
      </c>
      <c r="F16" s="63">
        <f t="shared" si="6"/>
        <v>100000</v>
      </c>
      <c r="G16" s="63"/>
      <c r="H16" s="66">
        <v>44601</v>
      </c>
      <c r="I16" s="63" t="s">
        <v>42</v>
      </c>
      <c r="J16" s="79">
        <f t="shared" si="1"/>
        <v>322.22222222222217</v>
      </c>
      <c r="K16" s="80">
        <v>0</v>
      </c>
      <c r="L16" s="69"/>
      <c r="M16" s="69">
        <f t="shared" si="4"/>
        <v>322.22222222222217</v>
      </c>
      <c r="N16" s="78"/>
      <c r="P16" s="66">
        <v>44601</v>
      </c>
      <c r="Q16" s="63" t="s">
        <v>41</v>
      </c>
      <c r="R16" s="63">
        <f t="shared" si="2"/>
        <v>100000</v>
      </c>
      <c r="S16" s="63">
        <v>0</v>
      </c>
      <c r="T16" s="79">
        <v>0</v>
      </c>
      <c r="U16" s="63">
        <f t="shared" si="7"/>
        <v>100000</v>
      </c>
      <c r="V16" s="63"/>
      <c r="W16" s="66">
        <v>44601</v>
      </c>
      <c r="X16" s="63" t="s">
        <v>42</v>
      </c>
      <c r="Y16" s="79">
        <f t="shared" si="3"/>
        <v>272.22222222222217</v>
      </c>
      <c r="Z16" s="80">
        <f>(U16*$Q$1)/360</f>
        <v>27.777777777777779</v>
      </c>
      <c r="AA16" s="69">
        <v>0</v>
      </c>
      <c r="AB16" s="69">
        <f t="shared" si="5"/>
        <v>299.99999999999994</v>
      </c>
    </row>
    <row r="17" spans="26:28" x14ac:dyDescent="0.25">
      <c r="AB17" s="69">
        <v>0</v>
      </c>
    </row>
    <row r="18" spans="26:28" x14ac:dyDescent="0.25">
      <c r="AA18" s="69">
        <v>0</v>
      </c>
    </row>
    <row r="19" spans="26:28" x14ac:dyDescent="0.25">
      <c r="Z19" s="69">
        <v>0</v>
      </c>
    </row>
    <row r="20" spans="26:28" x14ac:dyDescent="0.25">
      <c r="Z20" s="69">
        <v>0</v>
      </c>
    </row>
    <row r="21" spans="26:28" x14ac:dyDescent="0.25">
      <c r="Z21" s="69">
        <v>0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TRANX</vt:lpstr>
      <vt:lpstr>EOD</vt:lpstr>
      <vt:lpstr>REPLAY</vt:lpstr>
      <vt:lpstr>Sample Data</vt:lpstr>
      <vt:lpstr>EXPECTED</vt:lpstr>
      <vt:lpstr>CALCULATION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2025-12-24T23:47:54Z</dcterms:modified>
  <dc:language>en-US</dc:language>
</cp:coreProperties>
</file>